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ran\Downloads\"/>
    </mc:Choice>
  </mc:AlternateContent>
  <xr:revisionPtr revIDLastSave="0" documentId="8_{21DA385F-4CF3-46AE-A29F-09EA15CC45B7}" xr6:coauthVersionLast="47" xr6:coauthVersionMax="47" xr10:uidLastSave="{00000000-0000-0000-0000-000000000000}"/>
  <bookViews>
    <workbookView xWindow="-120" yWindow="-120" windowWidth="29040" windowHeight="15840" xr2:uid="{FCA73487-EDCE-4441-9C78-CDBFC948005C}"/>
  </bookViews>
  <sheets>
    <sheet name="COA TABLE FORM" sheetId="1" r:id="rId1"/>
    <sheet name="ITEM" sheetId="2" r:id="rId2"/>
  </sheets>
  <definedNames>
    <definedName name="_xlnm._FilterDatabase" localSheetId="1" hidden="1">ITEM!$C$1:$M$100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88" i="2" l="1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12" i="2"/>
  <c r="H11" i="2"/>
  <c r="H10" i="2"/>
  <c r="H9" i="2"/>
  <c r="H8" i="2"/>
  <c r="H7" i="2"/>
  <c r="H6" i="2"/>
  <c r="H5" i="2"/>
  <c r="H4" i="2"/>
  <c r="H3" i="2"/>
  <c r="H2" i="2"/>
  <c r="E62" i="1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O48" i="2"/>
  <c r="E66" i="1"/>
  <c r="E65" i="1"/>
  <c r="E64" i="1"/>
  <c r="E63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N85" i="2" s="1" a="1"/>
  <c r="N85" i="2" s="1"/>
  <c r="O84" i="2"/>
  <c r="O83" i="2"/>
  <c r="O82" i="2"/>
  <c r="O81" i="2"/>
  <c r="O80" i="2"/>
  <c r="O79" i="2"/>
  <c r="O78" i="2"/>
  <c r="O77" i="2"/>
  <c r="O76" i="2"/>
  <c r="O75" i="2"/>
  <c r="O74" i="2"/>
  <c r="O73" i="2"/>
  <c r="B73" i="2" s="1" a="1"/>
  <c r="B73" i="2" s="1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N49" i="2" s="1" a="1"/>
  <c r="N49" i="2" s="1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12" i="2" l="1" a="1"/>
  <c r="B12" i="2" s="1"/>
  <c r="B24" i="2" a="1"/>
  <c r="B24" i="2" s="1"/>
  <c r="B36" i="2" a="1"/>
  <c r="B36" i="2" s="1"/>
  <c r="B19" i="2" a="1"/>
  <c r="B19" i="2" s="1"/>
  <c r="N25" i="2" a="1"/>
  <c r="N25" i="2" s="1"/>
  <c r="N60" i="2" a="1"/>
  <c r="N60" i="2" s="1"/>
  <c r="B6" i="2" a="1"/>
  <c r="B6" i="2" s="1"/>
  <c r="B25" i="2" a="1"/>
  <c r="B25" i="2" s="1"/>
  <c r="N19" i="2" a="1"/>
  <c r="N19" i="2" s="1"/>
  <c r="N43" i="2" a="1"/>
  <c r="N43" i="2" s="1"/>
  <c r="N56" i="2" a="1"/>
  <c r="N56" i="2" s="1"/>
  <c r="N80" i="2" a="1"/>
  <c r="N80" i="2" s="1"/>
  <c r="B69" i="2" a="1"/>
  <c r="B69" i="2" s="1"/>
  <c r="B58" i="2" a="1"/>
  <c r="B58" i="2" s="1"/>
  <c r="B94" i="2" a="1"/>
  <c r="B94" i="2" s="1"/>
  <c r="B10" i="2" a="1"/>
  <c r="B10" i="2" s="1"/>
  <c r="B34" i="2" a="1"/>
  <c r="B34" i="2" s="1"/>
  <c r="B46" i="2" a="1"/>
  <c r="B46" i="2" s="1"/>
  <c r="B59" i="2" a="1"/>
  <c r="B59" i="2" s="1"/>
  <c r="B83" i="2" a="1"/>
  <c r="B83" i="2" s="1"/>
  <c r="B95" i="2" a="1"/>
  <c r="B95" i="2" s="1"/>
  <c r="B49" i="2" a="1"/>
  <c r="B49" i="2" s="1"/>
  <c r="N13" i="2" a="1"/>
  <c r="N13" i="2" s="1"/>
  <c r="N37" i="2" a="1"/>
  <c r="N37" i="2" s="1"/>
  <c r="B65" i="2" a="1"/>
  <c r="B65" i="2" s="1"/>
  <c r="A24" i="2"/>
  <c r="B18" i="2" a="1"/>
  <c r="B18" i="2" s="1"/>
  <c r="N7" i="2" a="1"/>
  <c r="N7" i="2" s="1"/>
  <c r="N31" i="2" a="1"/>
  <c r="N31" i="2" s="1"/>
  <c r="N68" i="2" a="1"/>
  <c r="N68" i="2" s="1"/>
  <c r="N92" i="2" a="1"/>
  <c r="N92" i="2" s="1"/>
  <c r="B31" i="2" a="1"/>
  <c r="B31" i="2" s="1"/>
  <c r="N57" i="2" a="1"/>
  <c r="N57" i="2" s="1"/>
  <c r="B93" i="2" a="1"/>
  <c r="B93" i="2" s="1"/>
  <c r="B37" i="2" a="1"/>
  <c r="B37" i="2" s="1"/>
  <c r="B82" i="2" a="1"/>
  <c r="B82" i="2" s="1"/>
  <c r="B43" i="2" a="1"/>
  <c r="B43" i="2" s="1"/>
  <c r="B22" i="2" a="1"/>
  <c r="B22" i="2" s="1"/>
  <c r="B11" i="2" a="1"/>
  <c r="B11" i="2" s="1"/>
  <c r="B23" i="2" a="1"/>
  <c r="B23" i="2" s="1"/>
  <c r="B35" i="2" a="1"/>
  <c r="B35" i="2" s="1"/>
  <c r="B47" i="2" a="1"/>
  <c r="B47" i="2" s="1"/>
  <c r="B84" i="2" a="1"/>
  <c r="B84" i="2" s="1"/>
  <c r="B74" i="2" a="1"/>
  <c r="B74" i="2" s="1"/>
  <c r="B48" i="2" a="1"/>
  <c r="B48" i="2" s="1"/>
  <c r="B54" i="2" a="1"/>
  <c r="B54" i="2" s="1"/>
  <c r="B63" i="2" a="1"/>
  <c r="B63" i="2" s="1"/>
  <c r="N75" i="2" a="1"/>
  <c r="N75" i="2" s="1"/>
  <c r="B99" i="2" a="1"/>
  <c r="B99" i="2" s="1"/>
  <c r="B64" i="2" a="1"/>
  <c r="B64" i="2" s="1"/>
  <c r="N65" i="2" a="1"/>
  <c r="N65" i="2" s="1"/>
  <c r="B4" i="2" a="1"/>
  <c r="B4" i="2" s="1"/>
  <c r="N4" i="2" a="1"/>
  <c r="N4" i="2" s="1"/>
  <c r="N16" i="2" a="1"/>
  <c r="N16" i="2" s="1"/>
  <c r="B16" i="2" a="1"/>
  <c r="B16" i="2" s="1"/>
  <c r="B28" i="2" a="1"/>
  <c r="B28" i="2" s="1"/>
  <c r="N28" i="2" a="1"/>
  <c r="N28" i="2" s="1"/>
  <c r="N40" i="2" a="1"/>
  <c r="N40" i="2" s="1"/>
  <c r="B40" i="2" a="1"/>
  <c r="B40" i="2" s="1"/>
  <c r="B53" i="2" a="1"/>
  <c r="B53" i="2" s="1"/>
  <c r="N53" i="2" a="1"/>
  <c r="N53" i="2" s="1"/>
  <c r="N77" i="2" a="1"/>
  <c r="N77" i="2" s="1"/>
  <c r="B77" i="2" a="1"/>
  <c r="B77" i="2" s="1"/>
  <c r="N89" i="2" a="1"/>
  <c r="N89" i="2" s="1"/>
  <c r="B89" i="2" a="1"/>
  <c r="B89" i="2" s="1"/>
  <c r="B90" i="2" a="1"/>
  <c r="B90" i="2" s="1"/>
  <c r="B85" i="2" a="1"/>
  <c r="B85" i="2" s="1"/>
  <c r="N96" i="2" a="1"/>
  <c r="N96" i="2" s="1"/>
  <c r="N52" i="2" a="1"/>
  <c r="N52" i="2" s="1"/>
  <c r="B52" i="2" a="1"/>
  <c r="B52" i="2" s="1"/>
  <c r="N76" i="2" a="1"/>
  <c r="N76" i="2" s="1"/>
  <c r="B76" i="2" a="1"/>
  <c r="B76" i="2" s="1"/>
  <c r="B88" i="2" a="1"/>
  <c r="B88" i="2" s="1"/>
  <c r="N88" i="2" a="1"/>
  <c r="N88" i="2" s="1"/>
  <c r="N70" i="2" a="1"/>
  <c r="N70" i="2" s="1"/>
  <c r="B5" i="2" a="1"/>
  <c r="B5" i="2" s="1"/>
  <c r="B17" i="2" a="1"/>
  <c r="B17" i="2" s="1"/>
  <c r="B29" i="2" a="1"/>
  <c r="B29" i="2" s="1"/>
  <c r="B41" i="2" a="1"/>
  <c r="B41" i="2" s="1"/>
  <c r="N54" i="2" a="1"/>
  <c r="N54" i="2" s="1"/>
  <c r="B66" i="2" a="1"/>
  <c r="B66" i="2" s="1"/>
  <c r="B78" i="2" a="1"/>
  <c r="B78" i="2" s="1"/>
  <c r="N90" i="2" a="1"/>
  <c r="N90" i="2" s="1"/>
  <c r="N73" i="2" a="1"/>
  <c r="N73" i="2" s="1"/>
  <c r="B7" i="2" a="1"/>
  <c r="B7" i="2" s="1"/>
  <c r="B30" i="2" a="1"/>
  <c r="B30" i="2" s="1"/>
  <c r="B42" i="2" a="1"/>
  <c r="B42" i="2" s="1"/>
  <c r="B55" i="2" a="1"/>
  <c r="B55" i="2" s="1"/>
  <c r="B67" i="2" a="1"/>
  <c r="B67" i="2" s="1"/>
  <c r="B79" i="2" a="1"/>
  <c r="B79" i="2" s="1"/>
  <c r="B91" i="2" a="1"/>
  <c r="B91" i="2" s="1"/>
  <c r="B13" i="2" a="1"/>
  <c r="B13" i="2" s="1"/>
  <c r="B80" i="2" a="1"/>
  <c r="B80" i="2" s="1"/>
  <c r="N8" i="2" a="1"/>
  <c r="N8" i="2" s="1"/>
  <c r="N26" i="2" a="1"/>
  <c r="N26" i="2" s="1"/>
  <c r="N38" i="2" a="1"/>
  <c r="N38" i="2" s="1"/>
  <c r="N50" i="2" a="1"/>
  <c r="N50" i="2" s="1"/>
  <c r="B75" i="2" a="1"/>
  <c r="B75" i="2" s="1"/>
  <c r="N91" i="2" a="1"/>
  <c r="N91" i="2" s="1"/>
  <c r="B14" i="2" a="1"/>
  <c r="B14" i="2" s="1"/>
  <c r="B26" i="2" a="1"/>
  <c r="B26" i="2" s="1"/>
  <c r="B38" i="2" a="1"/>
  <c r="B38" i="2" s="1"/>
  <c r="B60" i="2" a="1"/>
  <c r="B60" i="2" s="1"/>
  <c r="N66" i="2" a="1"/>
  <c r="N66" i="2" s="1"/>
  <c r="B96" i="2" a="1"/>
  <c r="B96" i="2" s="1"/>
  <c r="N3" i="2" a="1"/>
  <c r="N3" i="2" s="1"/>
  <c r="N21" i="2" a="1"/>
  <c r="N21" i="2" s="1"/>
  <c r="N39" i="2" a="1"/>
  <c r="N39" i="2" s="1"/>
  <c r="N45" i="2" a="1"/>
  <c r="N45" i="2" s="1"/>
  <c r="B71" i="2" a="1"/>
  <c r="B71" i="2" s="1"/>
  <c r="N97" i="2" a="1"/>
  <c r="N97" i="2" s="1"/>
  <c r="B15" i="2" a="1"/>
  <c r="B15" i="2" s="1"/>
  <c r="B33" i="2" a="1"/>
  <c r="B33" i="2" s="1"/>
  <c r="B61" i="2" a="1"/>
  <c r="B61" i="2" s="1"/>
  <c r="N82" i="2" a="1"/>
  <c r="N82" i="2" s="1"/>
  <c r="B92" i="2" a="1"/>
  <c r="B92" i="2" s="1"/>
  <c r="N22" i="2" a="1"/>
  <c r="N22" i="2" s="1"/>
  <c r="N46" i="2" a="1"/>
  <c r="N46" i="2" s="1"/>
  <c r="N62" i="2" a="1"/>
  <c r="N62" i="2" s="1"/>
  <c r="N67" i="2" a="1"/>
  <c r="N67" i="2" s="1"/>
  <c r="N93" i="2" a="1"/>
  <c r="N93" i="2" s="1"/>
  <c r="B62" i="2" a="1"/>
  <c r="B62" i="2" s="1"/>
  <c r="N78" i="2" a="1"/>
  <c r="N78" i="2" s="1"/>
  <c r="N5" i="2" a="1"/>
  <c r="N5" i="2" s="1"/>
  <c r="N11" i="2" a="1"/>
  <c r="N11" i="2" s="1"/>
  <c r="N17" i="2" a="1"/>
  <c r="N17" i="2" s="1"/>
  <c r="N23" i="2" a="1"/>
  <c r="N23" i="2" s="1"/>
  <c r="N29" i="2" a="1"/>
  <c r="N29" i="2" s="1"/>
  <c r="N35" i="2" a="1"/>
  <c r="N35" i="2" s="1"/>
  <c r="N41" i="2" a="1"/>
  <c r="N41" i="2" s="1"/>
  <c r="N47" i="2" a="1"/>
  <c r="N47" i="2" s="1"/>
  <c r="B57" i="2" a="1"/>
  <c r="B57" i="2" s="1"/>
  <c r="N99" i="2" a="1"/>
  <c r="N99" i="2" s="1"/>
  <c r="N58" i="2" a="1"/>
  <c r="N58" i="2" s="1"/>
  <c r="B68" i="2" a="1"/>
  <c r="B68" i="2" s="1"/>
  <c r="N84" i="2" a="1"/>
  <c r="N84" i="2" s="1"/>
  <c r="N94" i="2" a="1"/>
  <c r="N94" i="2" s="1"/>
  <c r="N6" i="2" a="1"/>
  <c r="N6" i="2" s="1"/>
  <c r="N12" i="2" a="1"/>
  <c r="N12" i="2" s="1"/>
  <c r="N18" i="2" a="1"/>
  <c r="N18" i="2" s="1"/>
  <c r="N24" i="2" a="1"/>
  <c r="N24" i="2" s="1"/>
  <c r="N30" i="2" a="1"/>
  <c r="N30" i="2" s="1"/>
  <c r="N36" i="2" a="1"/>
  <c r="N36" i="2" s="1"/>
  <c r="N42" i="2" a="1"/>
  <c r="N42" i="2" s="1"/>
  <c r="N48" i="2" a="1"/>
  <c r="N48" i="2" s="1"/>
  <c r="N69" i="2" a="1"/>
  <c r="N69" i="2" s="1"/>
  <c r="N74" i="2" a="1"/>
  <c r="N74" i="2" s="1"/>
  <c r="N79" i="2" a="1"/>
  <c r="N79" i="2" s="1"/>
  <c r="N2" i="2" a="1"/>
  <c r="N2" i="2" s="1"/>
  <c r="N20" i="2" a="1"/>
  <c r="N20" i="2" s="1"/>
  <c r="N44" i="2" a="1"/>
  <c r="N44" i="2" s="1"/>
  <c r="B70" i="2" a="1"/>
  <c r="B70" i="2" s="1"/>
  <c r="N86" i="2" a="1"/>
  <c r="N86" i="2" s="1"/>
  <c r="B2" i="2" a="1"/>
  <c r="B2" i="2" s="1"/>
  <c r="B20" i="2" a="1"/>
  <c r="B20" i="2" s="1"/>
  <c r="B50" i="2" a="1"/>
  <c r="B50" i="2" s="1"/>
  <c r="B86" i="2" a="1"/>
  <c r="B86" i="2" s="1"/>
  <c r="N9" i="2" a="1"/>
  <c r="N9" i="2" s="1"/>
  <c r="N33" i="2" a="1"/>
  <c r="N33" i="2" s="1"/>
  <c r="N61" i="2" a="1"/>
  <c r="N61" i="2" s="1"/>
  <c r="N87" i="2" a="1"/>
  <c r="N87" i="2" s="1"/>
  <c r="B9" i="2" a="1"/>
  <c r="B9" i="2" s="1"/>
  <c r="B27" i="2" a="1"/>
  <c r="B27" i="2" s="1"/>
  <c r="B45" i="2" a="1"/>
  <c r="B45" i="2" s="1"/>
  <c r="B56" i="2" a="1"/>
  <c r="B56" i="2" s="1"/>
  <c r="B97" i="2" a="1"/>
  <c r="B97" i="2" s="1"/>
  <c r="B51" i="2" a="1"/>
  <c r="B51" i="2" s="1"/>
  <c r="N98" i="2" a="1"/>
  <c r="N98" i="2" s="1"/>
  <c r="A91" i="2"/>
  <c r="B98" i="2" a="1"/>
  <c r="B98" i="2" s="1"/>
  <c r="N63" i="2" a="1"/>
  <c r="N63" i="2" s="1"/>
  <c r="N59" i="2" a="1"/>
  <c r="N59" i="2" s="1"/>
  <c r="N64" i="2" a="1"/>
  <c r="N64" i="2" s="1"/>
  <c r="N95" i="2" a="1"/>
  <c r="N95" i="2" s="1"/>
  <c r="N100" i="2" a="1"/>
  <c r="N100" i="2" s="1"/>
  <c r="N14" i="2" a="1"/>
  <c r="N14" i="2" s="1"/>
  <c r="N32" i="2" a="1"/>
  <c r="N32" i="2" s="1"/>
  <c r="N55" i="2" a="1"/>
  <c r="N55" i="2" s="1"/>
  <c r="N81" i="2" a="1"/>
  <c r="N81" i="2" s="1"/>
  <c r="B8" i="2" a="1"/>
  <c r="B8" i="2" s="1"/>
  <c r="B32" i="2" a="1"/>
  <c r="B32" i="2" s="1"/>
  <c r="B44" i="2" a="1"/>
  <c r="B44" i="2" s="1"/>
  <c r="N71" i="2" a="1"/>
  <c r="N71" i="2" s="1"/>
  <c r="N15" i="2" a="1"/>
  <c r="N15" i="2" s="1"/>
  <c r="N27" i="2" a="1"/>
  <c r="N27" i="2" s="1"/>
  <c r="N51" i="2" a="1"/>
  <c r="N51" i="2" s="1"/>
  <c r="B81" i="2" a="1"/>
  <c r="B81" i="2" s="1"/>
  <c r="B3" i="2" a="1"/>
  <c r="B3" i="2" s="1"/>
  <c r="B21" i="2" a="1"/>
  <c r="B21" i="2" s="1"/>
  <c r="B39" i="2" a="1"/>
  <c r="B39" i="2" s="1"/>
  <c r="N72" i="2" a="1"/>
  <c r="N72" i="2" s="1"/>
  <c r="N10" i="2" a="1"/>
  <c r="N10" i="2" s="1"/>
  <c r="N34" i="2" a="1"/>
  <c r="N34" i="2" s="1"/>
  <c r="B87" i="2" a="1"/>
  <c r="B87" i="2" s="1"/>
  <c r="B72" i="2" a="1"/>
  <c r="B72" i="2" s="1"/>
  <c r="N83" i="2" a="1"/>
  <c r="N83" i="2" s="1"/>
  <c r="A36" i="2"/>
  <c r="A60" i="2"/>
  <c r="A37" i="2"/>
  <c r="A49" i="2"/>
  <c r="A61" i="2"/>
  <c r="A75" i="2"/>
  <c r="A28" i="2"/>
  <c r="A83" i="2"/>
  <c r="A95" i="2"/>
  <c r="A88" i="2"/>
  <c r="A100" i="2"/>
  <c r="A20" i="2"/>
  <c r="A32" i="2"/>
  <c r="A44" i="2"/>
  <c r="A56" i="2"/>
  <c r="A68" i="2"/>
  <c r="A97" i="2"/>
  <c r="A93" i="2"/>
  <c r="A89" i="2"/>
  <c r="A85" i="2"/>
  <c r="A30" i="2"/>
  <c r="A26" i="2"/>
  <c r="A22" i="2"/>
  <c r="A18" i="2"/>
  <c r="A14" i="2"/>
  <c r="A10" i="2"/>
  <c r="A77" i="2"/>
  <c r="A73" i="2"/>
  <c r="A6" i="2"/>
  <c r="A2" i="2"/>
  <c r="A66" i="2"/>
  <c r="A62" i="2"/>
  <c r="A58" i="2"/>
  <c r="A54" i="2"/>
  <c r="A50" i="2"/>
  <c r="A46" i="2"/>
  <c r="A42" i="2"/>
  <c r="A38" i="2"/>
  <c r="A34" i="2"/>
  <c r="A81" i="2"/>
  <c r="A33" i="2"/>
  <c r="A29" i="2"/>
  <c r="A25" i="2"/>
  <c r="A21" i="2"/>
  <c r="A17" i="2"/>
  <c r="A13" i="2"/>
  <c r="A80" i="2"/>
  <c r="A76" i="2"/>
  <c r="A72" i="2"/>
  <c r="A5" i="2"/>
  <c r="A98" i="2"/>
  <c r="A12" i="2"/>
  <c r="A4" i="2"/>
  <c r="A45" i="2"/>
  <c r="A57" i="2"/>
  <c r="A69" i="2"/>
  <c r="A92" i="2"/>
  <c r="A48" i="2"/>
  <c r="A16" i="2"/>
  <c r="A84" i="2"/>
  <c r="A96" i="2"/>
  <c r="A8" i="2"/>
  <c r="A40" i="2"/>
  <c r="A52" i="2"/>
  <c r="A64" i="2"/>
  <c r="A87" i="2"/>
  <c r="A99" i="2"/>
  <c r="A9" i="2"/>
  <c r="A41" i="2"/>
  <c r="A53" i="2"/>
  <c r="A65" i="2"/>
  <c r="A79" i="2"/>
  <c r="A71" i="2"/>
  <c r="A70" i="2"/>
  <c r="A74" i="2"/>
  <c r="A78" i="2"/>
  <c r="A82" i="2"/>
  <c r="A3" i="2"/>
  <c r="A7" i="2"/>
  <c r="A11" i="2"/>
  <c r="A15" i="2"/>
  <c r="A19" i="2"/>
  <c r="A23" i="2"/>
  <c r="A27" i="2"/>
  <c r="A31" i="2"/>
  <c r="A35" i="2"/>
  <c r="A39" i="2"/>
  <c r="A43" i="2"/>
  <c r="A47" i="2"/>
  <c r="A51" i="2"/>
  <c r="A55" i="2"/>
  <c r="A59" i="2"/>
  <c r="A63" i="2"/>
  <c r="A67" i="2"/>
  <c r="A86" i="2"/>
  <c r="A90" i="2"/>
  <c r="A9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malik hassan</author>
  </authors>
  <commentList>
    <comment ref="P1" authorId="0" shapeId="0" xr:uid="{291D67BC-FD46-4A90-889A-30EA64817F95}">
      <text>
        <r>
          <rPr>
            <b/>
            <sz val="9"/>
            <color indexed="81"/>
            <rFont val="Tahoma"/>
            <family val="2"/>
          </rPr>
          <t>malik hassan:</t>
        </r>
        <r>
          <rPr>
            <sz val="9"/>
            <color indexed="81"/>
            <rFont val="Tahoma"/>
            <family val="2"/>
          </rPr>
          <t xml:space="preserve">
PTCL/Nayatel phone lines are billed under Internet/Broadband (5010) per user instruction.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<sst xmlns="http://schemas.openxmlformats.org/spreadsheetml/2006/main" count="1050" uniqueCount="552">
  <si>
    <t>CATEGORY</t>
  </si>
  <si>
    <t>SUB CATEGORY</t>
  </si>
  <si>
    <t>COA Code - Account Name</t>
  </si>
  <si>
    <t>Entertainment Expenses</t>
  </si>
  <si>
    <t>Board &amp; Committee Meeting Expenses</t>
  </si>
  <si>
    <t>5006 -  Entertainment Expenses</t>
  </si>
  <si>
    <t>Entertainment</t>
  </si>
  <si>
    <t>Guest Hospitality</t>
  </si>
  <si>
    <t>Charity/ Donation / General Expenses</t>
  </si>
  <si>
    <t>CSR Expenses</t>
  </si>
  <si>
    <t>5001 - Charity/ Donation / General Expenses</t>
  </si>
  <si>
    <t>Donations</t>
  </si>
  <si>
    <t>Fee Subscription &amp; Membership</t>
  </si>
  <si>
    <t>Chamber &amp; Association Membership</t>
  </si>
  <si>
    <t>5004 - Fee Subscription &amp; Membership</t>
  </si>
  <si>
    <t>Cloud &amp; Data Services</t>
  </si>
  <si>
    <t>ERP Support &amp; AMC</t>
  </si>
  <si>
    <t>Newspapers, Books &amp; Periodicals</t>
  </si>
  <si>
    <t>SECP / Regulatory Filing Fees</t>
  </si>
  <si>
    <t>Software Licences</t>
  </si>
  <si>
    <t>Software Subscriptions - SaaS</t>
  </si>
  <si>
    <t>Stamp Duty &amp; Registration Charges</t>
  </si>
  <si>
    <t>Subscription Fees - Other</t>
  </si>
  <si>
    <t>Trade Licence &amp; Professional Tax</t>
  </si>
  <si>
    <t>Website, Domain &amp; Hosting</t>
  </si>
  <si>
    <t>Fuel &amp; Transport</t>
  </si>
  <si>
    <t>Generator Fuel</t>
  </si>
  <si>
    <t>6300 - Fuel &amp; Transport</t>
  </si>
  <si>
    <t>Vehicle Fuel</t>
  </si>
  <si>
    <t>Vehicle Registration &amp; Token Tax</t>
  </si>
  <si>
    <t>Vehicle Rental / Hire</t>
  </si>
  <si>
    <t>Vehicle Tracker &amp; Accessories</t>
  </si>
  <si>
    <t>Insurance Expense</t>
  </si>
  <si>
    <t>Insurance - General / Other</t>
  </si>
  <si>
    <t>6600 - Insurance Expense</t>
  </si>
  <si>
    <t>Vehicle Insurance</t>
  </si>
  <si>
    <t>Miscellaneous Expense</t>
  </si>
  <si>
    <t>Miscellaneous Expenses</t>
  </si>
  <si>
    <t>7300 - Miscellaneous Expense</t>
  </si>
  <si>
    <t>Penalties &amp; Fines</t>
  </si>
  <si>
    <t>Office Supplies &amp; Stationery</t>
  </si>
  <si>
    <t>Cleaning &amp; Janitorial</t>
  </si>
  <si>
    <t>6700 - Office Supplies &amp; Stationery</t>
  </si>
  <si>
    <t>Drinking Water</t>
  </si>
  <si>
    <t>Horticulture &amp; Landscaping (NEW)</t>
  </si>
  <si>
    <t>Kitchen &amp; Pantry Supplies</t>
  </si>
  <si>
    <t>Office Consumables</t>
  </si>
  <si>
    <t>Photocopying</t>
  </si>
  <si>
    <t>Printing</t>
  </si>
  <si>
    <t>Stationery</t>
  </si>
  <si>
    <t>Professional Fees (Legal/Audit)</t>
  </si>
  <si>
    <t>Audit Fee</t>
  </si>
  <si>
    <t>7000 - Professional Fees (Legal/Audit)</t>
  </si>
  <si>
    <t>Company Secretarial Fee</t>
  </si>
  <si>
    <t>Consultancy Fee</t>
  </si>
  <si>
    <t>Legal Fee</t>
  </si>
  <si>
    <t>Other Professional Charges</t>
  </si>
  <si>
    <t>Tax Advisory Fee</t>
  </si>
  <si>
    <t>Rent Expense</t>
  </si>
  <si>
    <t>Office Rent</t>
  </si>
  <si>
    <t>6100 - Rent Expense</t>
  </si>
  <si>
    <t>Repairs &amp; Maintenance</t>
  </si>
  <si>
    <t>Building Repairs &amp; Maintenance</t>
  </si>
  <si>
    <t>6400 - Repairs &amp; Maintenance</t>
  </si>
  <si>
    <t>Computer Repairs &amp; Maintenance</t>
  </si>
  <si>
    <t>Generator Repairs &amp; Maintenance</t>
  </si>
  <si>
    <t>Office Renovation</t>
  </si>
  <si>
    <t>R&amp;M - Electrical</t>
  </si>
  <si>
    <t>R&amp;M - Furniture &amp; Fixtures</t>
  </si>
  <si>
    <t>R&amp;M - Office Equipment</t>
  </si>
  <si>
    <t>R&amp;M - Others</t>
  </si>
  <si>
    <t>Vehicle Repairs &amp; Maintenance</t>
  </si>
  <si>
    <t>Security Expenses</t>
  </si>
  <si>
    <t>Security Services</t>
  </si>
  <si>
    <t>5005 - Security Expenses</t>
  </si>
  <si>
    <t>Travel &amp; Conveyance</t>
  </si>
  <si>
    <t>Air Fare</t>
  </si>
  <si>
    <t>6900 - Travel &amp; Conveyance</t>
  </si>
  <si>
    <t>Conveyance</t>
  </si>
  <si>
    <t>Daily Allowance / Per Diem</t>
  </si>
  <si>
    <t>Hotel &amp; Lodging</t>
  </si>
  <si>
    <t>Toll &amp; Parking</t>
  </si>
  <si>
    <t>Travelling - Domestic</t>
  </si>
  <si>
    <t>Travelling - Foreign</t>
  </si>
  <si>
    <t>Visa &amp; Travel Documentation</t>
  </si>
  <si>
    <t> Utilities Charges</t>
  </si>
  <si>
    <t>Electricity</t>
  </si>
  <si>
    <t>Gas</t>
  </si>
  <si>
    <t>Internet / Broadband</t>
  </si>
  <si>
    <t>Water</t>
  </si>
  <si>
    <t>Postage and Courier</t>
  </si>
  <si>
    <t>Courier</t>
  </si>
  <si>
    <t>6800 -  Postage and Courier</t>
  </si>
  <si>
    <t>Postage</t>
  </si>
  <si>
    <t>Site Office Expenditure</t>
  </si>
  <si>
    <t>SITE EXPENSES</t>
  </si>
  <si>
    <t>5007 - Site Office Expenditure</t>
  </si>
  <si>
    <t>Category</t>
  </si>
  <si>
    <t>Code</t>
  </si>
  <si>
    <t>Item name</t>
  </si>
  <si>
    <t>Type</t>
  </si>
  <si>
    <t>Meter</t>
  </si>
  <si>
    <t>Location</t>
  </si>
  <si>
    <t>Account</t>
  </si>
  <si>
    <t>Amount</t>
  </si>
  <si>
    <t>COA</t>
  </si>
  <si>
    <t>Actions</t>
  </si>
  <si>
    <t>Other</t>
  </si>
  <si>
    <t>—</t>
  </si>
  <si>
    <t>Main Office</t>
  </si>
  <si>
    <t>6200 — Utilities Charges</t>
  </si>
  <si>
    <t>SGC</t>
  </si>
  <si>
    <t>Head Office</t>
  </si>
  <si>
    <t>7300 — Miscellaneous Expense</t>
  </si>
  <si>
    <t>CDA Water</t>
  </si>
  <si>
    <t>CSI-000108</t>
  </si>
  <si>
    <t>Muhammad Ilyas Khan Hafi,H#2 St#49 F-8/4 (6084000056)</t>
  </si>
  <si>
    <t>Muhammad Ilyas Khan Hafi,H#2 St#49 F-8/4</t>
  </si>
  <si>
    <t>President Personal</t>
  </si>
  <si>
    <t>Rs 15,054</t>
  </si>
  <si>
    <t>CSI-000109</t>
  </si>
  <si>
    <t>Tanvver Ilyas,H#4,St# 49 F-8/4 Anexy Office (6084000058)</t>
  </si>
  <si>
    <t>Tanvver Ilyas,H#4,St# 49 F-8/4 Anexy Office</t>
  </si>
  <si>
    <t>CSI-000110</t>
  </si>
  <si>
    <t>Samina AnnieTariq,H#12,St#37,F-8/1 (6081000285)</t>
  </si>
  <si>
    <t>Samina AnnieTariq,H#12,St#37,F-8/1</t>
  </si>
  <si>
    <t>Rs 10,509</t>
  </si>
  <si>
    <t>CSI-000111</t>
  </si>
  <si>
    <t>Tanveer Ilys &amp; Others,H#4-B St# 37 F-8/1 (6081000276)</t>
  </si>
  <si>
    <t>Tanveer Ilys &amp; Others,H#4-B St# 37 F-8/1</t>
  </si>
  <si>
    <t>Rs 8,145</t>
  </si>
  <si>
    <t>CSI-000112</t>
  </si>
  <si>
    <t>Maj.General M.R.Khan House # 5,St # 34 F-8/1 (6081000265)</t>
  </si>
  <si>
    <t>Maj.General M.R.Khan House # 5,St # 34 F-8/1</t>
  </si>
  <si>
    <t>Rs 13,938</t>
  </si>
  <si>
    <t>CSI-000113</t>
  </si>
  <si>
    <t>Asma Tanveer,H#5,St#43, F-8/4, (6081000389)</t>
  </si>
  <si>
    <t>Asma Tanveer,H#5,St#43, F-8/4,</t>
  </si>
  <si>
    <t>Rs 12,994</t>
  </si>
  <si>
    <t>CSI-000114</t>
  </si>
  <si>
    <t>BegumNaseemHajazi &amp; Others,H#40,Park Road F-8/2 (6082000217)</t>
  </si>
  <si>
    <t>BegumNaseemHajazi &amp; Others,H#40,Park Road F-8/2</t>
  </si>
  <si>
    <t>CSI-000115</t>
  </si>
  <si>
    <t>Sardar Tanveer Ilyas Khan,App#1902,Tower A,Centaurus F-8/G-8 (2838000216)</t>
  </si>
  <si>
    <t>Sardar Tanveer Ilyas Khan,App#1902,Tower A,Centaurus F-8/G-8</t>
  </si>
  <si>
    <t>Rs 6,924</t>
  </si>
  <si>
    <t>CSI-000116</t>
  </si>
  <si>
    <t>Mr.Tanveer Ilyas,21-W,Blue Area,F-6/G-6,Islamabad (2636000037)</t>
  </si>
  <si>
    <t>Mr.Tanveer Ilyas,21-W,Blue Area,F-6/G-6,Islamabad</t>
  </si>
  <si>
    <t>Rs 356,952</t>
  </si>
  <si>
    <t>CSI-000117</t>
  </si>
  <si>
    <t>Sardar Tanveer Ilyas,Appt#1708,Tower B,Centaurus F-8/G-8,Islamabad (2838000439)</t>
  </si>
  <si>
    <t>Sardar Tanveer Ilyas,Appt#1708,Tower B,Centaurus F-8/G-8,Islamabad</t>
  </si>
  <si>
    <t>Rs 40,500</t>
  </si>
  <si>
    <t>CSI-000118</t>
  </si>
  <si>
    <t>Sardar Tanveer Ilyas,Appt#1107,Tower B,Centaurus F-8/G-8,Islamabad (2838000401)</t>
  </si>
  <si>
    <t>Sardar Tanveer Ilyas,Appt#1107,Tower B,Centaurus F-8/G-8,Islamabad</t>
  </si>
  <si>
    <t>Rs 20,945</t>
  </si>
  <si>
    <t>IESCO</t>
  </si>
  <si>
    <t>CSI-000001</t>
  </si>
  <si>
    <t>Shah Allah ditta (3-P 60709)</t>
  </si>
  <si>
    <t>3-P 60709</t>
  </si>
  <si>
    <t>Shah Allah ditta</t>
  </si>
  <si>
    <t>Rs 4,854</t>
  </si>
  <si>
    <t>CSI-000002</t>
  </si>
  <si>
    <t>Farm House - H9 (3-P 35981)</t>
  </si>
  <si>
    <t>3-P 35981</t>
  </si>
  <si>
    <t>Farm House - H9</t>
  </si>
  <si>
    <t>Rs 174,927</t>
  </si>
  <si>
    <t>CSI-000004</t>
  </si>
  <si>
    <t>Tanveer Ilyas Khan S/O M.Ilyas Khan PLOT#11, Orchard Scheeme,Murre Road,IBD (3-P 517209)</t>
  </si>
  <si>
    <t>3-P 517209</t>
  </si>
  <si>
    <t>Tanveer Ilyas Khan S/O M.Ilyas Khan PLOT#11, Orchard Scheeme,Murre Road,IBD</t>
  </si>
  <si>
    <t>Rs 7,501</t>
  </si>
  <si>
    <t>CSI-000005</t>
  </si>
  <si>
    <t>Sardar Tanveer Ilys Khan,H#4,St#49, F-8/4 Anexy Office (3-P 120063769)</t>
  </si>
  <si>
    <t>3-P 120063769</t>
  </si>
  <si>
    <t>Sardar Tanveer Ilys Khan,H#4,St#49, F-8/4 Anexy Office</t>
  </si>
  <si>
    <t>Rs 117,734</t>
  </si>
  <si>
    <t>CSI-000006</t>
  </si>
  <si>
    <t>Sardar Tanveer Ilys Khan,H#4,St#49, F-8/4 Anexy Office (S-P 5378590)</t>
  </si>
  <si>
    <t>S-P 5378590</t>
  </si>
  <si>
    <t>Rs 124</t>
  </si>
  <si>
    <t>CSI-000007</t>
  </si>
  <si>
    <t>H-34, St 55, G-9/4 FCSS (S-P 828171)</t>
  </si>
  <si>
    <t>S-P 828171</t>
  </si>
  <si>
    <t>H-34, St 55, G-9/4 FCSS</t>
  </si>
  <si>
    <t>Rs 36,113</t>
  </si>
  <si>
    <t>CSI-000008</t>
  </si>
  <si>
    <t>H-34, St 55, G-9/4 FCSS (3-P301953)</t>
  </si>
  <si>
    <t>3-P301953</t>
  </si>
  <si>
    <t>Rs 15,642</t>
  </si>
  <si>
    <t>CSI-000009</t>
  </si>
  <si>
    <t>Sardar M.Ilyas Khan S/O Muhammad Sharif Khan, House # 2,St # 49,F-8/4 (1422400011463)</t>
  </si>
  <si>
    <t>Sardar M.Ilyas Khan S/O Muhammad Sharif Khan, House # 2,St # 49,F-8/4</t>
  </si>
  <si>
    <t>Rs 732,228</t>
  </si>
  <si>
    <t>CSI-000010</t>
  </si>
  <si>
    <t>Sardar Tanveer Ilyas S/O M.Ilyas Khan Plot#21Office#5 3rd Floor F-11 Markaz (S-P3300253)</t>
  </si>
  <si>
    <t>S-P3300253</t>
  </si>
  <si>
    <t>Sardar Tanveer Ilyas S/O M.Ilyas Khan Plot#21Office#5 3rd Floor F-11 Markaz</t>
  </si>
  <si>
    <t>Rs 1,402</t>
  </si>
  <si>
    <t>CSI-000011</t>
  </si>
  <si>
    <t>Sardar Tanveer Ilyas S/O M.Ilyas Khan Plot#21Office#13 3rd Floor F-11 Markaz(New) Rented (S-P 3300228)</t>
  </si>
  <si>
    <t>S-P 3300228</t>
  </si>
  <si>
    <t>Sardar Tanveer Ilyas S/O M.Ilyas Khan Plot#21Office#13 3rd Floor F-11 Markaz(New) Rented</t>
  </si>
  <si>
    <t>Rs 6,759</t>
  </si>
  <si>
    <t>CSI-000012</t>
  </si>
  <si>
    <t>Sardar Tanveer Ilyas S/O M.Ilyas Khan Plot#21,Office # 11,2nd Floor,F-11 Markaz(Rented) (S-P-373797)</t>
  </si>
  <si>
    <t>S-P-373797</t>
  </si>
  <si>
    <t>Sardar Tanveer Ilyas S/O M.Ilyas Khan Plot#21,Office # 11,2nd Floor,F-11 Markaz(Rented)</t>
  </si>
  <si>
    <t>Rs 602</t>
  </si>
  <si>
    <t>CSI-000013</t>
  </si>
  <si>
    <t>Mrs.Sameena Annie Tariq W/O Javed Tariq House # 12, Street # 37,F8/1 (3-P-21025)</t>
  </si>
  <si>
    <t>3-P-21025</t>
  </si>
  <si>
    <t>Mrs.Sameena Annie Tariq W/O Javed Tariq House # 12, Street # 37,F8/1</t>
  </si>
  <si>
    <t>Rs 64,912</t>
  </si>
  <si>
    <t>CSI-000014</t>
  </si>
  <si>
    <t>M.Umer Tanveer S/O Tanveer Ilyas Plot#3 Class-3 Shoping Centre G8/4-4 (3-P 5470205)</t>
  </si>
  <si>
    <t>3-P 5470205</t>
  </si>
  <si>
    <t>M.Umer Tanveer S/O Tanveer Ilyas Plot#3 Class-3 Shoping Centre G8/4-4</t>
  </si>
  <si>
    <t>Rs 8,889</t>
  </si>
  <si>
    <t>CSI-000015</t>
  </si>
  <si>
    <t>Sardar Tanveer Ilyas S/O SardarM.Ilyas Shah Allah Ditta Farm (3-P 60709)</t>
  </si>
  <si>
    <t>Sardar Tanveer Ilyas S/O SardarM.Ilyas Shah Allah Ditta Farm</t>
  </si>
  <si>
    <t>Rs 27,239</t>
  </si>
  <si>
    <t>CSI-000016</t>
  </si>
  <si>
    <t>Tanveer IlyasS/O Muhammad Ilyas Khan H# B-21 Scheme#2 Chak Shahzad(President House) (SP-40008429)</t>
  </si>
  <si>
    <t>SP-40008429</t>
  </si>
  <si>
    <t>Tanveer IlyasS/O Muhammad Ilyas Khan H# B-21 Scheme#2 Chak Shahzad(President House)</t>
  </si>
  <si>
    <t>Rs 522,290</t>
  </si>
  <si>
    <t>CSI-000017</t>
  </si>
  <si>
    <t>Tanveer IlyasS/O Muhammad Ilyas Khan H#1321/A Scheme-2 Chak Shahzad (3-P 40008427)</t>
  </si>
  <si>
    <t>3-P 40008427</t>
  </si>
  <si>
    <t>Tanveer IlyasS/O Muhammad Ilyas Khan H#1321/A Scheme-2 Chak Shahzad</t>
  </si>
  <si>
    <t>Rs 127,429</t>
  </si>
  <si>
    <t>CSI-000019</t>
  </si>
  <si>
    <t>Tanveer Ilyas S/O Muhammad Ilyas Khan H # B-21/A Scheme-2 Chak Shahzad (3-P 40008426)</t>
  </si>
  <si>
    <t>3-P 40008426</t>
  </si>
  <si>
    <t>Tanveer Ilyas S/O Muhammad Ilyas Khan H # B-21/A Scheme-2 Chak Shahzad</t>
  </si>
  <si>
    <t>Rs 109,757</t>
  </si>
  <si>
    <t>CSI-000020</t>
  </si>
  <si>
    <t>Sardar Tanveer Ilyas S/O M.Ilyas KhanThanda Pani Plot (S-P 9729378)</t>
  </si>
  <si>
    <t>S-P 9729378</t>
  </si>
  <si>
    <t>Sardar Tanveer Ilyas S/O M.Ilyas KhanThanda Pani Plot</t>
  </si>
  <si>
    <t>Rs 1,200</t>
  </si>
  <si>
    <t>CSI-000021</t>
  </si>
  <si>
    <t>Mushtaq Ahmad S/o Muhammad Din Vill Konjri Dakhli Mourat Thalian Fateh Jang (3-P 01322400015801)</t>
  </si>
  <si>
    <t>3-P 01322400015801</t>
  </si>
  <si>
    <t>Mushtaq Ahmad S/o Muhammad Din Vill Konjri Dakhli Mourat Thalian Fateh Jang</t>
  </si>
  <si>
    <t>Rs 32,907</t>
  </si>
  <si>
    <t>CSI-000022</t>
  </si>
  <si>
    <t>Tanveer Ilyas, S/O Muhammad Ilyas Khan,Sardar Palace Bangion Rawalakot,AJK (A00004)</t>
  </si>
  <si>
    <t>A00004</t>
  </si>
  <si>
    <t>Tanveer Ilyas, S/O Muhammad Ilyas Khan,Sardar Palace Bangion Rawalakot,AJK</t>
  </si>
  <si>
    <t>Rs 33,564</t>
  </si>
  <si>
    <t>CSI-000023</t>
  </si>
  <si>
    <t>Tanveer Ilyas/Muhammad Ilyas Khan,Banjosa,AJK (S-P-085237)</t>
  </si>
  <si>
    <t>S-P-085237</t>
  </si>
  <si>
    <t>Tanveer Ilyas/Muhammad Ilyas Khan,Banjosa,AJK</t>
  </si>
  <si>
    <t>Rs 654</t>
  </si>
  <si>
    <t>CSI-000024</t>
  </si>
  <si>
    <t>Ch.Muhammad HussainS/O Ch.Badar Din,H# S-207,,New Industry Area,Mirpur (S-P 01075489)</t>
  </si>
  <si>
    <t>S-P 01075489</t>
  </si>
  <si>
    <t>Ch.Muhammad HussainS/O Ch.Badar Din,H# S-207,,New Industry Area,Mirpur</t>
  </si>
  <si>
    <t>Rs 5,992</t>
  </si>
  <si>
    <t>CSI-000025</t>
  </si>
  <si>
    <t>A.Mod Khan /H-5, St 43, F-8/1 (3-P10106)</t>
  </si>
  <si>
    <t>3-P10106</t>
  </si>
  <si>
    <t>A.Mod Khan /H-5, St 43, F-8/1</t>
  </si>
  <si>
    <t>Rs 101,413</t>
  </si>
  <si>
    <t>CSI-000026</t>
  </si>
  <si>
    <t>Shaukat Ali S/O Ahmad Din /H-5, St 43, F-8/1 (3-P422)</t>
  </si>
  <si>
    <t>3-P422</t>
  </si>
  <si>
    <t>Shaukat Ali S/O Ahmad Din /H-5, St 43, F-8/1</t>
  </si>
  <si>
    <t>Rs 104,977</t>
  </si>
  <si>
    <t>CSI-000033</t>
  </si>
  <si>
    <t>Mrs.Farida Afzal/Muhammad Afzal/House # 5,St # 34 F-8/1 (1859)</t>
  </si>
  <si>
    <t>Mrs.Farida Afzal/Muhammad Afzal/House # 5,St # 34 F-8/1</t>
  </si>
  <si>
    <t>Rs 104,117</t>
  </si>
  <si>
    <t>CSI-000034</t>
  </si>
  <si>
    <t>M.A.R.Khan/House # 5,St # 34 F-8/1 (261267)</t>
  </si>
  <si>
    <t>M.A.R.Khan/House # 5,St # 34 F-8/1</t>
  </si>
  <si>
    <t>Rs 287,444</t>
  </si>
  <si>
    <t>CSI-000035</t>
  </si>
  <si>
    <t>Sardar Tanveer Ilyas Khan S/O Sardar M.Ilyas Khan/Shop#1,P-21,W.Ground Floor,Blue Area (S-P1748952)</t>
  </si>
  <si>
    <t>S-P1748952</t>
  </si>
  <si>
    <t>Sardar Tanveer Ilyas Khan S/O Sardar M.Ilyas Khan/Shop#1,P-21,W.Ground Floor,Blue Area</t>
  </si>
  <si>
    <t>Rs 7,712</t>
  </si>
  <si>
    <t>CSI-000036</t>
  </si>
  <si>
    <t>Sardar Tanveer Ilyas Khan S/O M.Ilyas Khan/P-NO21WShop#1-A Bule Area (335053)</t>
  </si>
  <si>
    <t>Sardar Tanveer Ilyas Khan S/O M.Ilyas Khan/P-NO21WShop#1-A Bule Area</t>
  </si>
  <si>
    <t>Rs 2,128</t>
  </si>
  <si>
    <t>CSI-000037</t>
  </si>
  <si>
    <t>Sardar Tanveer Ilyas Khan,Sardar Plaza Blue Area,P.No21-W,Fazal-E-Rd.Isb (1422400011607)</t>
  </si>
  <si>
    <t>Sardar Tanveer Ilyas Khan,Sardar Plaza Blue Area,P.No21-W,Fazal-E-Rd.Isb</t>
  </si>
  <si>
    <t>Rs 320,266</t>
  </si>
  <si>
    <t>CSI-000038</t>
  </si>
  <si>
    <t>Ch.Khizar Hayat/Ch.Muhammad Akram Dhoke Kazim Building (Tarlai) (S-P 184614)</t>
  </si>
  <si>
    <t>S-P 184614</t>
  </si>
  <si>
    <t>Ch.Khizar Hayat/Ch.Muhammad Akram Dhoke Kazim Building (Tarlai)</t>
  </si>
  <si>
    <t>Rs 149,606</t>
  </si>
  <si>
    <t>CSI-000039</t>
  </si>
  <si>
    <t>Muhammad Ilyas S/O Abdul Rehman Dhoke Kazim Building (Tarlai) (S-P 358882)</t>
  </si>
  <si>
    <t>S-P 358882</t>
  </si>
  <si>
    <t>Muhammad Ilyas S/O Abdul Rehman Dhoke Kazim Building (Tarlai)</t>
  </si>
  <si>
    <t>Rs 101,960</t>
  </si>
  <si>
    <t>CSI-000040</t>
  </si>
  <si>
    <t>Ch.M.Akram S/OAbdul Rehman Dhoke Kazim Building (Tarlai) (S-P-3307975)</t>
  </si>
  <si>
    <t>S-P-3307975</t>
  </si>
  <si>
    <t>Ch.M.Akram S/OAbdul Rehman Dhoke Kazim Building (Tarlai)</t>
  </si>
  <si>
    <t>Rs 10,555</t>
  </si>
  <si>
    <t>CSI-000041</t>
  </si>
  <si>
    <t>Amjad Mehmood D/O Mohammad Akram Dhoke Kazim Building (Tarlai) (S-P 48146)</t>
  </si>
  <si>
    <t>S-P 48146</t>
  </si>
  <si>
    <t>Amjad Mehmood D/O Mohammad Akram Dhoke Kazim Building (Tarlai)</t>
  </si>
  <si>
    <t>Rs 99,068</t>
  </si>
  <si>
    <t>CSI-000042</t>
  </si>
  <si>
    <t>Malik Muhammad Saqiq Noor H# 8,Park Road Chata Bakhtawar(Squad Residence) (3-P 148884)</t>
  </si>
  <si>
    <t>3-P 148884</t>
  </si>
  <si>
    <t>Malik Muhammad Saqiq Noor H# 8,Park Road Chata Bakhtawar(Squad Residence)</t>
  </si>
  <si>
    <t>Rs 67,338</t>
  </si>
  <si>
    <t>CSI-000043</t>
  </si>
  <si>
    <t>Mohd Ayub Khan H # 4-B, St 37, F-8/1 (17567)</t>
  </si>
  <si>
    <t>Mohd Ayub Khan H # 4-B, St 37, F-8/1</t>
  </si>
  <si>
    <t>Rs 5,521</t>
  </si>
  <si>
    <t>Phone</t>
  </si>
  <si>
    <t>PTCL-Nayatel</t>
  </si>
  <si>
    <t>CSI-000055</t>
  </si>
  <si>
    <t>Ch.Qadir Bakhsh Sardar House # 2 St# 49 F-8/4 (2851230)</t>
  </si>
  <si>
    <t>Ch.Qadir Bakhsh Sardar House # 2 St# 49 F-8/4</t>
  </si>
  <si>
    <t>Rs 1,630</t>
  </si>
  <si>
    <t>CSI-000056</t>
  </si>
  <si>
    <t>Muhammad Umer Tanveer,Sardar House # 2 Ground St# 49 F-8/4(Gate) (2253099)</t>
  </si>
  <si>
    <t>Muhammad Umer Tanveer,Sardar House # 2 Ground St# 49 F-8/4(Gate)</t>
  </si>
  <si>
    <t>Rs 3,920</t>
  </si>
  <si>
    <t>CSI-000057</t>
  </si>
  <si>
    <t>Sardar Muhammad Ilyas Khan Sardar House # 2 St# 49 F-8/4 (2744788)</t>
  </si>
  <si>
    <t>Sardar Muhammad Ilyas Khan Sardar House # 2 St# 49 F-8/4</t>
  </si>
  <si>
    <t>Rs 6,050</t>
  </si>
  <si>
    <t>CSI-000058</t>
  </si>
  <si>
    <t>Pak Gulf Construction H # 12 St#37 F-8/1(Political Office) (2745085)</t>
  </si>
  <si>
    <t>Pak Gulf Construction H # 12 St#37 F-8/1(Political Office)</t>
  </si>
  <si>
    <t>Rs 13,190</t>
  </si>
  <si>
    <t>CSI-000059</t>
  </si>
  <si>
    <t>Sardar Palace Rawalakot(SCOM) Saqib Mehmood Abbasi(0010078340600013) (5824425017)</t>
  </si>
  <si>
    <t>Sardar Palace Rawalakot(SCOM) Saqib Mehmood Abbasi(0010078340600013)</t>
  </si>
  <si>
    <t>Rs 6,457,899</t>
  </si>
  <si>
    <t>CSI-000060</t>
  </si>
  <si>
    <t>Sardar Palace Rawalakot(SCOM) Saqib Mehmood Abbasi(0010078340600013) (5824426740)</t>
  </si>
  <si>
    <t>Rs 6,566,349</t>
  </si>
  <si>
    <t>Internet</t>
  </si>
  <si>
    <t>CSI-000069</t>
  </si>
  <si>
    <t>TXY.CO(Net) (2000064)</t>
  </si>
  <si>
    <t>TXY.CO(Net)</t>
  </si>
  <si>
    <t>Rs 4,150</t>
  </si>
  <si>
    <t>CSI-000070</t>
  </si>
  <si>
    <t>TXY.CO(Net) (2120089)</t>
  </si>
  <si>
    <t>Rs 4,120</t>
  </si>
  <si>
    <t>CSI-000071</t>
  </si>
  <si>
    <t>TXY.CO (2120065)</t>
  </si>
  <si>
    <t>TXY.CO</t>
  </si>
  <si>
    <t>Rs 13,140</t>
  </si>
  <si>
    <t>CSI-000072</t>
  </si>
  <si>
    <t>SGC(HQ) Installed at Server Room IT SGC HQ,Blue Area (2257451)</t>
  </si>
  <si>
    <t>SGC(HQ) Installed at Server Room IT SGC HQ,Blue Area</t>
  </si>
  <si>
    <t>Rs 11,180</t>
  </si>
  <si>
    <t>CSI-000073</t>
  </si>
  <si>
    <t>Taj Technical College Off#5 Floor Street Light Sector Link Road114 Islamabad (2708041)</t>
  </si>
  <si>
    <t>Taj Technical College Off#5 Floor Street Light Sector Link Road114 Islamabad</t>
  </si>
  <si>
    <t>Rs 5,480</t>
  </si>
  <si>
    <t>CSI-000074</t>
  </si>
  <si>
    <t>Boly.Pk (2120481)</t>
  </si>
  <si>
    <t>Boly.Pk</t>
  </si>
  <si>
    <t>Boly.pk</t>
  </si>
  <si>
    <t>Rs 11,710</t>
  </si>
  <si>
    <t>CSI-000075</t>
  </si>
  <si>
    <t>Boly.Pk (2120482)</t>
  </si>
  <si>
    <t>CSI-000076</t>
  </si>
  <si>
    <t>Boly.Pk (2120483)</t>
  </si>
  <si>
    <t>CSI-000078</t>
  </si>
  <si>
    <t>House 12, Street 37, F-8/1 (151292)</t>
  </si>
  <si>
    <t>House 12, Street 37, F-8/1</t>
  </si>
  <si>
    <t>Rs 8,644</t>
  </si>
  <si>
    <t>CSI-000079</t>
  </si>
  <si>
    <t>House 12, Street 37, F-8/1 (152121)</t>
  </si>
  <si>
    <t>Rs 7,954</t>
  </si>
  <si>
    <t>CSI-000080</t>
  </si>
  <si>
    <t>Sardar House# 2 , St# 49, F-8/4 (35542)</t>
  </si>
  <si>
    <t>Sardar House# 2 , St# 49, F-8/4</t>
  </si>
  <si>
    <t>Rs 10,361</t>
  </si>
  <si>
    <t>CSI-000081</t>
  </si>
  <si>
    <t>House# 2 (10168) NAYATEL Bill</t>
  </si>
  <si>
    <t>House# 2 Street 49, F8-1 (10168)</t>
  </si>
  <si>
    <t>Rs 13,984</t>
  </si>
  <si>
    <t>CSI-000082</t>
  </si>
  <si>
    <t>Farm House Chak Shahzad (402645)</t>
  </si>
  <si>
    <t>Farm House Chak Shahzad</t>
  </si>
  <si>
    <t>Rs 13,288</t>
  </si>
  <si>
    <t>CSI-000083</t>
  </si>
  <si>
    <t>Farm House Chak Shahzad (402646)</t>
  </si>
  <si>
    <t>Rs 15,128</t>
  </si>
  <si>
    <t>CSI-000084</t>
  </si>
  <si>
    <t>Farm House Chak Shahzad (413620)</t>
  </si>
  <si>
    <t>Rs 4,353</t>
  </si>
  <si>
    <t>CSI-000085</t>
  </si>
  <si>
    <t>Farm House Chak Shahzad (420236)</t>
  </si>
  <si>
    <t>Rs 7,705</t>
  </si>
  <si>
    <t>CSI-000086</t>
  </si>
  <si>
    <t>Chatha Bakhtawar Squad Residence (423631)</t>
  </si>
  <si>
    <t>Chatha Bakhtawar Squad Residence</t>
  </si>
  <si>
    <t>Rs 4,123</t>
  </si>
  <si>
    <t>CSI-000087</t>
  </si>
  <si>
    <t>Sardar House #4 St# 49 F-8/4(Anexy Office) (200810)</t>
  </si>
  <si>
    <t>Sardar House #4 St# 49 F-8/4(Anexy Office)</t>
  </si>
  <si>
    <t>Rs 14,323</t>
  </si>
  <si>
    <t>CSI-000088</t>
  </si>
  <si>
    <t>Hamza Sb Farm House Chak Shahzad(New Connection) (650839)</t>
  </si>
  <si>
    <t>Hamza Sb Farm House Chak Shahzad(New Connection)</t>
  </si>
  <si>
    <t>Rs 7,791</t>
  </si>
  <si>
    <t>CSI-000089</t>
  </si>
  <si>
    <t>App#1708,TowerB Centaurus (251522)</t>
  </si>
  <si>
    <t>App#1708,TowerB Centaurus</t>
  </si>
  <si>
    <t>Rs 5,566</t>
  </si>
  <si>
    <t>CSI-000091</t>
  </si>
  <si>
    <t>SGC(HQ) (309904)</t>
  </si>
  <si>
    <t>SGC(HQ)</t>
  </si>
  <si>
    <t>Rs 9,494</t>
  </si>
  <si>
    <t>CSI-000092</t>
  </si>
  <si>
    <t>House 4-B St # 37 F-8/1 Admin &amp; Txy.Co (419613)</t>
  </si>
  <si>
    <t>House 4-B St # 37 F-8/1 Admin &amp; Txy.Co</t>
  </si>
  <si>
    <t>Rs 13,172</t>
  </si>
  <si>
    <t>CSI-000093</t>
  </si>
  <si>
    <t>App#1902 Centaurus F-8/4 (311664)</t>
  </si>
  <si>
    <t>App#1902 Centaurus F-8/4</t>
  </si>
  <si>
    <t>Rs 14,305</t>
  </si>
  <si>
    <t>CSI-000094</t>
  </si>
  <si>
    <t>Dhoke Kazim Squad Residence (186285)</t>
  </si>
  <si>
    <t>Dhoke Kazim Squad Residence</t>
  </si>
  <si>
    <t>Rs 3,622</t>
  </si>
  <si>
    <t>CSI-000095</t>
  </si>
  <si>
    <t>App#1902 Centaurus F-8/4 (410645)</t>
  </si>
  <si>
    <t>Rs 6,459</t>
  </si>
  <si>
    <t>CSI-000096</t>
  </si>
  <si>
    <t>H # 5 St# 34 F-8/1(Shofited to FinanceSardar Plaza ) (479622)</t>
  </si>
  <si>
    <t>H # 5 St# 34 F-8/1(Shofited to FinanceSardar Plaza )</t>
  </si>
  <si>
    <t>Rs 14,147</t>
  </si>
  <si>
    <t>CSI-000097</t>
  </si>
  <si>
    <t>Suleman ShahWith Family House 5, Street 43, F-8/1 (305149)</t>
  </si>
  <si>
    <t>Suleman ShahWith Family House 5, Street 43, F-8/1</t>
  </si>
  <si>
    <t>Rs 9,600</t>
  </si>
  <si>
    <t>CSI-000098</t>
  </si>
  <si>
    <t>Sardar Plaza(New Connection) (653439)</t>
  </si>
  <si>
    <t>Sardar Plaza(New Connection)</t>
  </si>
  <si>
    <t>Rs 5,635</t>
  </si>
  <si>
    <t>CSI-000099</t>
  </si>
  <si>
    <t>H#9St#8,Park Road,Chatta Bakhtawar (423631)</t>
  </si>
  <si>
    <t>H#9St#8,Park Road,Chatta Bakhtawar</t>
  </si>
  <si>
    <t>CSI-000100</t>
  </si>
  <si>
    <t>Boly.Pk,Sardar Plaza Blue Area (336040)</t>
  </si>
  <si>
    <t>Boly.Pk,Sardar Plaza Blue Area</t>
  </si>
  <si>
    <t>Rs 11,682</t>
  </si>
  <si>
    <t>CSI-000102</t>
  </si>
  <si>
    <t>Hamza Paper Brand Pvt.Ltd. I-9/3 (540692)</t>
  </si>
  <si>
    <t>Hamza Paper Brand Pvt.Ltd. I-9/3</t>
  </si>
  <si>
    <t>Hamza</t>
  </si>
  <si>
    <t>Rs 2,817</t>
  </si>
  <si>
    <t>CSI-000104</t>
  </si>
  <si>
    <t>Tiges House # 40, Park Road (349842)</t>
  </si>
  <si>
    <t>Tiges House # 40, Park Road</t>
  </si>
  <si>
    <t>Edu.Head Office</t>
  </si>
  <si>
    <t>Rs 6,945</t>
  </si>
  <si>
    <t>CSI-000105</t>
  </si>
  <si>
    <t>Nursing College(Cicon)H#F-854 Satellite Town Rawalpindi (424718)</t>
  </si>
  <si>
    <t>Nursing College(Cicon)H#F-854 Satellite Town Rawalpindi</t>
  </si>
  <si>
    <t>SGCHealth</t>
  </si>
  <si>
    <t>Rs 11,708</t>
  </si>
  <si>
    <t>CSI-000106</t>
  </si>
  <si>
    <t>Tenacious Int.University 6th Road Sattlite Town Rwp (422703)</t>
  </si>
  <si>
    <t>Tenacious Int.University 6th Road Sattlite Town Rwp</t>
  </si>
  <si>
    <t>Tenacious</t>
  </si>
  <si>
    <t>Rs 7,154</t>
  </si>
  <si>
    <t>CSI-000107</t>
  </si>
  <si>
    <t>NAYATEL TOTAL AMOUNT</t>
  </si>
  <si>
    <t>Rs 234,083</t>
  </si>
  <si>
    <t>SNGPL</t>
  </si>
  <si>
    <t>CSI-000044</t>
  </si>
  <si>
    <t>Lt.Col.Qadir Bakush President House Plot # 2 Street # 49 F-8/4 (CU03060324)</t>
  </si>
  <si>
    <t>CU03060324</t>
  </si>
  <si>
    <t>Lt.Col.Qadir Bakush President House Plot # 2 Street # 49 F-8/4</t>
  </si>
  <si>
    <t>Rs 2,960</t>
  </si>
  <si>
    <t>CSI-000045</t>
  </si>
  <si>
    <t>Farooqa Gul President House# 4 St# 49 F-8/4 (Anexy Office) (CT08367262-0)</t>
  </si>
  <si>
    <t>CT08367262-0</t>
  </si>
  <si>
    <t>Farooqa Gul President House# 4 St# 49 F-8/4 (Anexy Office)</t>
  </si>
  <si>
    <t>Rs 2,120</t>
  </si>
  <si>
    <t>CSI-000046</t>
  </si>
  <si>
    <t>Muhammad Mustafa Bin Talha/H#B-21/A P &amp; V SchemeII Park RoadChak Shahzad (CT00005225906)</t>
  </si>
  <si>
    <t>CT00005225906</t>
  </si>
  <si>
    <t>Muhammad Mustafa Bin Talha/H#B-21/A P &amp; V SchemeII Park RoadChak Shahzad</t>
  </si>
  <si>
    <t>Rs 111,890</t>
  </si>
  <si>
    <t>CSI-000047</t>
  </si>
  <si>
    <t>Muhammad Mustafa Bin Talha,H#B-21,P &amp; V SchemeII Park Road Chak Shahzad(President House) (CU00063501-0)</t>
  </si>
  <si>
    <t>CU00063501-0</t>
  </si>
  <si>
    <t>Muhammad Mustafa Bin Talha,H#B-21,P &amp; V SchemeII Park Road Chak Shahzad(President House)</t>
  </si>
  <si>
    <t>Rs 8,230</t>
  </si>
  <si>
    <t>CSI-000048</t>
  </si>
  <si>
    <t>Samina Annie Tariq House#12, Street# 37 F-8/1 (Potical Office) (CU000058354-0)</t>
  </si>
  <si>
    <t>CU000058354-0</t>
  </si>
  <si>
    <t>Samina Annie Tariq House#12, Street# 37 F-8/1 (Potical Office)</t>
  </si>
  <si>
    <t>Rs 120,350</t>
  </si>
  <si>
    <t>CSI-000049</t>
  </si>
  <si>
    <t>House # 4-B St # 37 F-8/1 (CU00069222-0)</t>
  </si>
  <si>
    <t>CU00069222-0</t>
  </si>
  <si>
    <t>House # 4-B St # 37 F-8/1</t>
  </si>
  <si>
    <t>Rs 142,190</t>
  </si>
  <si>
    <t>CSI-000050</t>
  </si>
  <si>
    <t>Telenor Pakistan,21-W Fazal-E-Haq Road Blue Area (MK00011138816)</t>
  </si>
  <si>
    <t>MK00011138816</t>
  </si>
  <si>
    <t>Telenor Pakistan,21-W Fazal-E-Haq Road Blue Area</t>
  </si>
  <si>
    <t>Rs 10,660</t>
  </si>
  <si>
    <t>CSI-000051</t>
  </si>
  <si>
    <t>M.Saqib Noor H#8 Chatta Bakhtawar Building Park Road(Squad Residence) (DS04255315)</t>
  </si>
  <si>
    <t>DS04255315</t>
  </si>
  <si>
    <t>M.Saqib Noor H#8 Chatta Bakhtawar Building Park Road(Squad Residence)</t>
  </si>
  <si>
    <t>Rs 52,600</t>
  </si>
  <si>
    <t>CSI-000052</t>
  </si>
  <si>
    <t>Shaukat Ali Chaudhary House#05,Street # 43, F-8/1 (CT07392579)</t>
  </si>
  <si>
    <t>CT07392579</t>
  </si>
  <si>
    <t>Shaukat Ali Chaudhary House#05,Street # 43, F-8/1</t>
  </si>
  <si>
    <t>Rs 247,530</t>
  </si>
  <si>
    <t>CSI-000053</t>
  </si>
  <si>
    <t>A.M.Khan H#05,Street 43 F-8/1 (CT06154867)</t>
  </si>
  <si>
    <t>CT06154867</t>
  </si>
  <si>
    <t>A.M.Khan H#05,Street 43 F-8/1</t>
  </si>
  <si>
    <t>Rs 92,680</t>
  </si>
  <si>
    <t>CSI-000054</t>
  </si>
  <si>
    <t>Tanveer Ilyas,House# 5 St# 34 F-8/1 (CT07081732)</t>
  </si>
  <si>
    <t>CT07081732</t>
  </si>
  <si>
    <t>Tanveer Ilyas,House# 5 St# 34 F-8/1</t>
  </si>
  <si>
    <t>Rs 15,140</t>
  </si>
  <si>
    <t>Toner Refilling</t>
  </si>
  <si>
    <t>CSI-000179</t>
  </si>
  <si>
    <t>Number in Item Name</t>
  </si>
  <si>
    <t>Code (helper)</t>
  </si>
  <si>
    <t>Sub Category</t>
  </si>
  <si>
    <t>5008 - ELECTRICITY CHARGES</t>
  </si>
  <si>
    <t>5009 - Gas Charges</t>
  </si>
  <si>
    <t>5010 - Internet / Broadband Charges</t>
  </si>
  <si>
    <t>5012 - Water Charges</t>
  </si>
  <si>
    <t>Category (trimmed helper)</t>
  </si>
  <si>
    <t>Category Key (helper)</t>
  </si>
  <si>
    <t>Type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</si>
</sst>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976D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1" xfId="0" applyFill="1" applyBorder="1"/>
    <xf numFmtId="0" fontId="0" fillId="0" borderId="2" xfId="0" applyBorder="1"/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"/>
        <scheme val="none"/>
      </font>
      <fill>
        <patternFill patternType="solid">
          <fgColor indexed="64"/>
          <bgColor rgb="FF1F38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3F3BC-1264-41CC-B605-709497917380}" name="COA_Flat_Table" displayName="COA_Flat_Table" ref="A1:C66" totalsRowShown="0" headerRowDxfId="0">
  <autoFilter ref="A1:C66" xr:uid="{D8376314-4D54-442D-8361-A8EBD0D4C891}"/>
  <tableColumns count="3">
    <tableColumn id="1" xr3:uid="{F9FC88A4-2A47-4B3E-B73E-B92C2559FA57}" name="CATEGORY"/>
    <tableColumn id="2" xr3:uid="{34E788CA-F9EB-4F57-83BC-3CC7A13F55F5}" name="SUB CATEGORY"/>
    <tableColumn id="3" xr3:uid="{053A31A9-B971-41A1-BADD-9E2F960648B7}" name="COA Code - Accoun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44CD0B-3138-441A-936C-556B120B00C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372b17b-32a4-4f4b-a776-229a05641c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FB6B-D460-43C0-AB4D-46D306AAB4CC}">
  <dimension ref="A1:E66"/>
  <sheetViews>
    <sheetView tabSelected="1" topLeftCell="A47" workbookViewId="0">
      <selection activeCell="N60" sqref="N60"/>
    </sheetView>
  </sheetViews>
  <sheetFormatPr defaultRowHeight="15" x14ac:dyDescent="0.25"/>
  <cols>
    <col min="1" max="1" width="31.140625" bestFit="1" customWidth="1"/>
    <col min="2" max="2" width="31.7109375" bestFit="1" customWidth="1"/>
    <col min="3" max="3" width="36.5703125" bestFit="1" customWidth="1"/>
    <col min="4" max="5" width="0" hidden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543</v>
      </c>
      <c r="E1" t="s">
        <v>549</v>
      </c>
    </row>
    <row r="2" spans="1:5" x14ac:dyDescent="0.25">
      <c r="A2" t="s">
        <v>3</v>
      </c>
      <c r="B2" t="s">
        <v>4</v>
      </c>
      <c r="C2" t="s">
        <v>5</v>
      </c>
      <c r="D2" t="str">
        <f>LEFT(C2,4)</f>
        <v>5006</v>
      </c>
      <c r="E2" t="str">
        <f>TRIM(SUBSTITUTE(A2,CHAR(160)," "))</f>
        <v>Entertainment Expenses</v>
      </c>
    </row>
    <row r="3" spans="1:5" x14ac:dyDescent="0.25">
      <c r="A3" t="s">
        <v>3</v>
      </c>
      <c r="B3" t="s">
        <v>6</v>
      </c>
      <c r="C3" t="s">
        <v>5</v>
      </c>
      <c r="D3" t="str">
        <f t="shared" ref="D3:D66" si="0">LEFT(C3,4)</f>
        <v>5006</v>
      </c>
      <c r="E3" t="str">
        <f t="shared" ref="E3:E66" si="1">TRIM(SUBSTITUTE(A3,CHAR(160)," "))</f>
        <v>Entertainment Expenses</v>
      </c>
    </row>
    <row r="4" spans="1:5" x14ac:dyDescent="0.25">
      <c r="A4" t="s">
        <v>3</v>
      </c>
      <c r="B4" t="s">
        <v>7</v>
      </c>
      <c r="C4" t="s">
        <v>5</v>
      </c>
      <c r="D4" t="str">
        <f t="shared" si="0"/>
        <v>5006</v>
      </c>
      <c r="E4" t="str">
        <f t="shared" si="1"/>
        <v>Entertainment Expenses</v>
      </c>
    </row>
    <row r="5" spans="1:5" x14ac:dyDescent="0.25">
      <c r="A5" t="s">
        <v>8</v>
      </c>
      <c r="B5" t="s">
        <v>9</v>
      </c>
      <c r="C5" t="s">
        <v>10</v>
      </c>
      <c r="D5" t="str">
        <f t="shared" si="0"/>
        <v>5001</v>
      </c>
      <c r="E5" t="str">
        <f t="shared" si="1"/>
        <v>Charity/ Donation / General Expenses</v>
      </c>
    </row>
    <row r="6" spans="1:5" x14ac:dyDescent="0.25">
      <c r="A6" t="s">
        <v>8</v>
      </c>
      <c r="B6" t="s">
        <v>11</v>
      </c>
      <c r="C6" t="s">
        <v>10</v>
      </c>
      <c r="D6" t="str">
        <f t="shared" si="0"/>
        <v>5001</v>
      </c>
      <c r="E6" t="str">
        <f t="shared" si="1"/>
        <v>Charity/ Donation / General Expenses</v>
      </c>
    </row>
    <row r="7" spans="1:5" x14ac:dyDescent="0.25">
      <c r="A7" t="s">
        <v>12</v>
      </c>
      <c r="B7" t="s">
        <v>13</v>
      </c>
      <c r="C7" t="s">
        <v>14</v>
      </c>
      <c r="D7" t="str">
        <f t="shared" si="0"/>
        <v>5004</v>
      </c>
      <c r="E7" t="str">
        <f t="shared" si="1"/>
        <v>Fee Subscription &amp; Membership</v>
      </c>
    </row>
    <row r="8" spans="1:5" x14ac:dyDescent="0.25">
      <c r="A8" t="s">
        <v>12</v>
      </c>
      <c r="B8" t="s">
        <v>15</v>
      </c>
      <c r="C8" t="s">
        <v>14</v>
      </c>
      <c r="D8" t="str">
        <f t="shared" si="0"/>
        <v>5004</v>
      </c>
      <c r="E8" t="str">
        <f t="shared" si="1"/>
        <v>Fee Subscription &amp; Membership</v>
      </c>
    </row>
    <row r="9" spans="1:5" x14ac:dyDescent="0.25">
      <c r="A9" t="s">
        <v>12</v>
      </c>
      <c r="B9" t="s">
        <v>16</v>
      </c>
      <c r="C9" t="s">
        <v>14</v>
      </c>
      <c r="D9" t="str">
        <f t="shared" si="0"/>
        <v>5004</v>
      </c>
      <c r="E9" t="str">
        <f t="shared" si="1"/>
        <v>Fee Subscription &amp; Membership</v>
      </c>
    </row>
    <row r="10" spans="1:5" x14ac:dyDescent="0.25">
      <c r="A10" t="s">
        <v>12</v>
      </c>
      <c r="B10" t="s">
        <v>17</v>
      </c>
      <c r="C10" t="s">
        <v>14</v>
      </c>
      <c r="D10" t="str">
        <f t="shared" si="0"/>
        <v>5004</v>
      </c>
      <c r="E10" t="str">
        <f t="shared" si="1"/>
        <v>Fee Subscription &amp; Membership</v>
      </c>
    </row>
    <row r="11" spans="1:5" x14ac:dyDescent="0.25">
      <c r="A11" t="s">
        <v>12</v>
      </c>
      <c r="B11" t="s">
        <v>18</v>
      </c>
      <c r="C11" t="s">
        <v>14</v>
      </c>
      <c r="D11" t="str">
        <f t="shared" si="0"/>
        <v>5004</v>
      </c>
      <c r="E11" t="str">
        <f t="shared" si="1"/>
        <v>Fee Subscription &amp; Membership</v>
      </c>
    </row>
    <row r="12" spans="1:5" x14ac:dyDescent="0.25">
      <c r="A12" t="s">
        <v>12</v>
      </c>
      <c r="B12" t="s">
        <v>19</v>
      </c>
      <c r="C12" t="s">
        <v>14</v>
      </c>
      <c r="D12" t="str">
        <f t="shared" si="0"/>
        <v>5004</v>
      </c>
      <c r="E12" t="str">
        <f t="shared" si="1"/>
        <v>Fee Subscription &amp; Membership</v>
      </c>
    </row>
    <row r="13" spans="1:5" x14ac:dyDescent="0.25">
      <c r="A13" t="s">
        <v>12</v>
      </c>
      <c r="B13" t="s">
        <v>20</v>
      </c>
      <c r="C13" t="s">
        <v>14</v>
      </c>
      <c r="D13" t="str">
        <f t="shared" si="0"/>
        <v>5004</v>
      </c>
      <c r="E13" t="str">
        <f t="shared" si="1"/>
        <v>Fee Subscription &amp; Membership</v>
      </c>
    </row>
    <row r="14" spans="1:5" x14ac:dyDescent="0.25">
      <c r="A14" t="s">
        <v>12</v>
      </c>
      <c r="B14" t="s">
        <v>21</v>
      </c>
      <c r="C14" t="s">
        <v>14</v>
      </c>
      <c r="D14" t="str">
        <f t="shared" si="0"/>
        <v>5004</v>
      </c>
      <c r="E14" t="str">
        <f t="shared" si="1"/>
        <v>Fee Subscription &amp; Membership</v>
      </c>
    </row>
    <row r="15" spans="1:5" x14ac:dyDescent="0.25">
      <c r="A15" t="s">
        <v>12</v>
      </c>
      <c r="B15" t="s">
        <v>22</v>
      </c>
      <c r="C15" t="s">
        <v>14</v>
      </c>
      <c r="D15" t="str">
        <f t="shared" si="0"/>
        <v>5004</v>
      </c>
      <c r="E15" t="str">
        <f t="shared" si="1"/>
        <v>Fee Subscription &amp; Membership</v>
      </c>
    </row>
    <row r="16" spans="1:5" x14ac:dyDescent="0.25">
      <c r="A16" t="s">
        <v>12</v>
      </c>
      <c r="B16" t="s">
        <v>23</v>
      </c>
      <c r="C16" t="s">
        <v>14</v>
      </c>
      <c r="D16" t="str">
        <f t="shared" si="0"/>
        <v>5004</v>
      </c>
      <c r="E16" t="str">
        <f t="shared" si="1"/>
        <v>Fee Subscription &amp; Membership</v>
      </c>
    </row>
    <row r="17" spans="1:5" x14ac:dyDescent="0.25">
      <c r="A17" t="s">
        <v>12</v>
      </c>
      <c r="B17" t="s">
        <v>24</v>
      </c>
      <c r="C17" t="s">
        <v>14</v>
      </c>
      <c r="D17" t="str">
        <f t="shared" si="0"/>
        <v>5004</v>
      </c>
      <c r="E17" t="str">
        <f t="shared" si="1"/>
        <v>Fee Subscription &amp; Membership</v>
      </c>
    </row>
    <row r="18" spans="1:5" x14ac:dyDescent="0.25">
      <c r="A18" t="s">
        <v>25</v>
      </c>
      <c r="B18" t="s">
        <v>26</v>
      </c>
      <c r="C18" t="s">
        <v>27</v>
      </c>
      <c r="D18" t="str">
        <f t="shared" si="0"/>
        <v>6300</v>
      </c>
      <c r="E18" t="str">
        <f t="shared" si="1"/>
        <v>Fuel &amp; Transport</v>
      </c>
    </row>
    <row r="19" spans="1:5" x14ac:dyDescent="0.25">
      <c r="A19" t="s">
        <v>25</v>
      </c>
      <c r="B19" t="s">
        <v>28</v>
      </c>
      <c r="C19" t="s">
        <v>27</v>
      </c>
      <c r="D19" t="str">
        <f t="shared" si="0"/>
        <v>6300</v>
      </c>
      <c r="E19" t="str">
        <f t="shared" si="1"/>
        <v>Fuel &amp; Transport</v>
      </c>
    </row>
    <row r="20" spans="1:5" x14ac:dyDescent="0.25">
      <c r="A20" t="s">
        <v>25</v>
      </c>
      <c r="B20" t="s">
        <v>29</v>
      </c>
      <c r="C20" t="s">
        <v>27</v>
      </c>
      <c r="D20" t="str">
        <f t="shared" si="0"/>
        <v>6300</v>
      </c>
      <c r="E20" t="str">
        <f t="shared" si="1"/>
        <v>Fuel &amp; Transport</v>
      </c>
    </row>
    <row r="21" spans="1:5" x14ac:dyDescent="0.25">
      <c r="A21" t="s">
        <v>25</v>
      </c>
      <c r="B21" t="s">
        <v>30</v>
      </c>
      <c r="C21" t="s">
        <v>27</v>
      </c>
      <c r="D21" t="str">
        <f t="shared" si="0"/>
        <v>6300</v>
      </c>
      <c r="E21" t="str">
        <f t="shared" si="1"/>
        <v>Fuel &amp; Transport</v>
      </c>
    </row>
    <row r="22" spans="1:5" x14ac:dyDescent="0.25">
      <c r="A22" t="s">
        <v>25</v>
      </c>
      <c r="B22" t="s">
        <v>31</v>
      </c>
      <c r="C22" t="s">
        <v>27</v>
      </c>
      <c r="D22" t="str">
        <f t="shared" si="0"/>
        <v>6300</v>
      </c>
      <c r="E22" t="str">
        <f t="shared" si="1"/>
        <v>Fuel &amp; Transport</v>
      </c>
    </row>
    <row r="23" spans="1:5" x14ac:dyDescent="0.25">
      <c r="A23" t="s">
        <v>32</v>
      </c>
      <c r="B23" t="s">
        <v>33</v>
      </c>
      <c r="C23" t="s">
        <v>34</v>
      </c>
      <c r="D23" t="str">
        <f t="shared" si="0"/>
        <v>6600</v>
      </c>
      <c r="E23" t="str">
        <f t="shared" si="1"/>
        <v>Insurance Expense</v>
      </c>
    </row>
    <row r="24" spans="1:5" x14ac:dyDescent="0.25">
      <c r="A24" t="s">
        <v>32</v>
      </c>
      <c r="B24" t="s">
        <v>35</v>
      </c>
      <c r="C24" t="s">
        <v>34</v>
      </c>
      <c r="D24" t="str">
        <f t="shared" si="0"/>
        <v>6600</v>
      </c>
      <c r="E24" t="str">
        <f t="shared" si="1"/>
        <v>Insurance Expense</v>
      </c>
    </row>
    <row r="25" spans="1:5" x14ac:dyDescent="0.25">
      <c r="A25" t="s">
        <v>36</v>
      </c>
      <c r="B25" t="s">
        <v>37</v>
      </c>
      <c r="C25" t="s">
        <v>38</v>
      </c>
      <c r="D25" t="str">
        <f t="shared" si="0"/>
        <v>7300</v>
      </c>
      <c r="E25" t="str">
        <f t="shared" si="1"/>
        <v>Miscellaneous Expense</v>
      </c>
    </row>
    <row r="26" spans="1:5" x14ac:dyDescent="0.25">
      <c r="A26" t="s">
        <v>36</v>
      </c>
      <c r="B26" t="s">
        <v>39</v>
      </c>
      <c r="C26" t="s">
        <v>38</v>
      </c>
      <c r="D26" t="str">
        <f t="shared" si="0"/>
        <v>7300</v>
      </c>
      <c r="E26" t="str">
        <f t="shared" si="1"/>
        <v>Miscellaneous Expense</v>
      </c>
    </row>
    <row r="27" spans="1:5" x14ac:dyDescent="0.25">
      <c r="A27" t="s">
        <v>40</v>
      </c>
      <c r="B27" t="s">
        <v>41</v>
      </c>
      <c r="C27" t="s">
        <v>42</v>
      </c>
      <c r="D27" t="str">
        <f t="shared" si="0"/>
        <v>6700</v>
      </c>
      <c r="E27" t="str">
        <f t="shared" si="1"/>
        <v>Office Supplies &amp; Stationery</v>
      </c>
    </row>
    <row r="28" spans="1:5" x14ac:dyDescent="0.25">
      <c r="A28" t="s">
        <v>40</v>
      </c>
      <c r="B28" t="s">
        <v>43</v>
      </c>
      <c r="C28" t="s">
        <v>42</v>
      </c>
      <c r="D28" t="str">
        <f t="shared" si="0"/>
        <v>6700</v>
      </c>
      <c r="E28" t="str">
        <f t="shared" si="1"/>
        <v>Office Supplies &amp; Stationery</v>
      </c>
    </row>
    <row r="29" spans="1:5" x14ac:dyDescent="0.25">
      <c r="A29" t="s">
        <v>40</v>
      </c>
      <c r="B29" t="s">
        <v>44</v>
      </c>
      <c r="C29" t="s">
        <v>42</v>
      </c>
      <c r="D29" t="str">
        <f t="shared" si="0"/>
        <v>6700</v>
      </c>
      <c r="E29" t="str">
        <f t="shared" si="1"/>
        <v>Office Supplies &amp; Stationery</v>
      </c>
    </row>
    <row r="30" spans="1:5" x14ac:dyDescent="0.25">
      <c r="A30" t="s">
        <v>40</v>
      </c>
      <c r="B30" t="s">
        <v>45</v>
      </c>
      <c r="C30" t="s">
        <v>42</v>
      </c>
      <c r="D30" t="str">
        <f t="shared" si="0"/>
        <v>6700</v>
      </c>
      <c r="E30" t="str">
        <f t="shared" si="1"/>
        <v>Office Supplies &amp; Stationery</v>
      </c>
    </row>
    <row r="31" spans="1:5" x14ac:dyDescent="0.25">
      <c r="A31" t="s">
        <v>40</v>
      </c>
      <c r="B31" t="s">
        <v>46</v>
      </c>
      <c r="C31" t="s">
        <v>42</v>
      </c>
      <c r="D31" t="str">
        <f t="shared" si="0"/>
        <v>6700</v>
      </c>
      <c r="E31" t="str">
        <f t="shared" si="1"/>
        <v>Office Supplies &amp; Stationery</v>
      </c>
    </row>
    <row r="32" spans="1:5" x14ac:dyDescent="0.25">
      <c r="A32" t="s">
        <v>40</v>
      </c>
      <c r="B32" t="s">
        <v>47</v>
      </c>
      <c r="C32" t="s">
        <v>42</v>
      </c>
      <c r="D32" t="str">
        <f t="shared" si="0"/>
        <v>6700</v>
      </c>
      <c r="E32" t="str">
        <f t="shared" si="1"/>
        <v>Office Supplies &amp; Stationery</v>
      </c>
    </row>
    <row r="33" spans="1:5" x14ac:dyDescent="0.25">
      <c r="A33" t="s">
        <v>40</v>
      </c>
      <c r="B33" t="s">
        <v>48</v>
      </c>
      <c r="C33" t="s">
        <v>42</v>
      </c>
      <c r="D33" t="str">
        <f t="shared" si="0"/>
        <v>6700</v>
      </c>
      <c r="E33" t="str">
        <f t="shared" si="1"/>
        <v>Office Supplies &amp; Stationery</v>
      </c>
    </row>
    <row r="34" spans="1:5" x14ac:dyDescent="0.25">
      <c r="A34" t="s">
        <v>40</v>
      </c>
      <c r="B34" t="s">
        <v>49</v>
      </c>
      <c r="C34" t="s">
        <v>42</v>
      </c>
      <c r="D34" t="str">
        <f t="shared" si="0"/>
        <v>6700</v>
      </c>
      <c r="E34" t="str">
        <f t="shared" si="1"/>
        <v>Office Supplies &amp; Stationery</v>
      </c>
    </row>
    <row r="35" spans="1:5" x14ac:dyDescent="0.25">
      <c r="A35" t="s">
        <v>50</v>
      </c>
      <c r="B35" t="s">
        <v>51</v>
      </c>
      <c r="C35" t="s">
        <v>52</v>
      </c>
      <c r="D35" t="str">
        <f t="shared" si="0"/>
        <v>7000</v>
      </c>
      <c r="E35" t="str">
        <f t="shared" si="1"/>
        <v>Professional Fees (Legal/Audit)</v>
      </c>
    </row>
    <row r="36" spans="1:5" x14ac:dyDescent="0.25">
      <c r="A36" t="s">
        <v>50</v>
      </c>
      <c r="B36" t="s">
        <v>53</v>
      </c>
      <c r="C36" t="s">
        <v>52</v>
      </c>
      <c r="D36" t="str">
        <f t="shared" si="0"/>
        <v>7000</v>
      </c>
      <c r="E36" t="str">
        <f t="shared" si="1"/>
        <v>Professional Fees (Legal/Audit)</v>
      </c>
    </row>
    <row r="37" spans="1:5" x14ac:dyDescent="0.25">
      <c r="A37" t="s">
        <v>50</v>
      </c>
      <c r="B37" t="s">
        <v>54</v>
      </c>
      <c r="C37" t="s">
        <v>52</v>
      </c>
      <c r="D37" t="str">
        <f t="shared" si="0"/>
        <v>7000</v>
      </c>
      <c r="E37" t="str">
        <f t="shared" si="1"/>
        <v>Professional Fees (Legal/Audit)</v>
      </c>
    </row>
    <row r="38" spans="1:5" x14ac:dyDescent="0.25">
      <c r="A38" t="s">
        <v>50</v>
      </c>
      <c r="B38" t="s">
        <v>55</v>
      </c>
      <c r="C38" t="s">
        <v>52</v>
      </c>
      <c r="D38" t="str">
        <f t="shared" si="0"/>
        <v>7000</v>
      </c>
      <c r="E38" t="str">
        <f t="shared" si="1"/>
        <v>Professional Fees (Legal/Audit)</v>
      </c>
    </row>
    <row r="39" spans="1:5" x14ac:dyDescent="0.25">
      <c r="A39" t="s">
        <v>50</v>
      </c>
      <c r="B39" t="s">
        <v>56</v>
      </c>
      <c r="C39" t="s">
        <v>52</v>
      </c>
      <c r="D39" t="str">
        <f t="shared" si="0"/>
        <v>7000</v>
      </c>
      <c r="E39" t="str">
        <f t="shared" si="1"/>
        <v>Professional Fees (Legal/Audit)</v>
      </c>
    </row>
    <row r="40" spans="1:5" x14ac:dyDescent="0.25">
      <c r="A40" t="s">
        <v>50</v>
      </c>
      <c r="B40" t="s">
        <v>57</v>
      </c>
      <c r="C40" t="s">
        <v>52</v>
      </c>
      <c r="D40" t="str">
        <f t="shared" si="0"/>
        <v>7000</v>
      </c>
      <c r="E40" t="str">
        <f t="shared" si="1"/>
        <v>Professional Fees (Legal/Audit)</v>
      </c>
    </row>
    <row r="41" spans="1:5" x14ac:dyDescent="0.25">
      <c r="A41" t="s">
        <v>58</v>
      </c>
      <c r="B41" t="s">
        <v>59</v>
      </c>
      <c r="C41" t="s">
        <v>60</v>
      </c>
      <c r="D41" t="str">
        <f t="shared" si="0"/>
        <v>6100</v>
      </c>
      <c r="E41" t="str">
        <f t="shared" si="1"/>
        <v>Rent Expense</v>
      </c>
    </row>
    <row r="42" spans="1:5" x14ac:dyDescent="0.25">
      <c r="A42" t="s">
        <v>61</v>
      </c>
      <c r="B42" t="s">
        <v>62</v>
      </c>
      <c r="C42" t="s">
        <v>63</v>
      </c>
      <c r="D42" t="str">
        <f t="shared" si="0"/>
        <v>6400</v>
      </c>
      <c r="E42" t="str">
        <f t="shared" si="1"/>
        <v>Repairs &amp; Maintenance</v>
      </c>
    </row>
    <row r="43" spans="1:5" x14ac:dyDescent="0.25">
      <c r="A43" t="s">
        <v>61</v>
      </c>
      <c r="B43" t="s">
        <v>64</v>
      </c>
      <c r="C43" t="s">
        <v>63</v>
      </c>
      <c r="D43" t="str">
        <f t="shared" si="0"/>
        <v>6400</v>
      </c>
      <c r="E43" t="str">
        <f t="shared" si="1"/>
        <v>Repairs &amp; Maintenance</v>
      </c>
    </row>
    <row r="44" spans="1:5" x14ac:dyDescent="0.25">
      <c r="A44" t="s">
        <v>61</v>
      </c>
      <c r="B44" t="s">
        <v>65</v>
      </c>
      <c r="C44" t="s">
        <v>63</v>
      </c>
      <c r="D44" t="str">
        <f t="shared" si="0"/>
        <v>6400</v>
      </c>
      <c r="E44" t="str">
        <f t="shared" si="1"/>
        <v>Repairs &amp; Maintenance</v>
      </c>
    </row>
    <row r="45" spans="1:5" x14ac:dyDescent="0.25">
      <c r="A45" t="s">
        <v>61</v>
      </c>
      <c r="B45" t="s">
        <v>66</v>
      </c>
      <c r="C45" t="s">
        <v>63</v>
      </c>
      <c r="D45" t="str">
        <f t="shared" si="0"/>
        <v>6400</v>
      </c>
      <c r="E45" t="str">
        <f t="shared" si="1"/>
        <v>Repairs &amp; Maintenance</v>
      </c>
    </row>
    <row r="46" spans="1:5" x14ac:dyDescent="0.25">
      <c r="A46" t="s">
        <v>61</v>
      </c>
      <c r="B46" t="s">
        <v>67</v>
      </c>
      <c r="C46" t="s">
        <v>63</v>
      </c>
      <c r="D46" t="str">
        <f t="shared" si="0"/>
        <v>6400</v>
      </c>
      <c r="E46" t="str">
        <f t="shared" si="1"/>
        <v>Repairs &amp; Maintenance</v>
      </c>
    </row>
    <row r="47" spans="1:5" x14ac:dyDescent="0.25">
      <c r="A47" t="s">
        <v>61</v>
      </c>
      <c r="B47" t="s">
        <v>68</v>
      </c>
      <c r="C47" t="s">
        <v>63</v>
      </c>
      <c r="D47" t="str">
        <f t="shared" si="0"/>
        <v>6400</v>
      </c>
      <c r="E47" t="str">
        <f t="shared" si="1"/>
        <v>Repairs &amp; Maintenance</v>
      </c>
    </row>
    <row r="48" spans="1:5" x14ac:dyDescent="0.25">
      <c r="A48" t="s">
        <v>61</v>
      </c>
      <c r="B48" t="s">
        <v>69</v>
      </c>
      <c r="C48" t="s">
        <v>63</v>
      </c>
      <c r="D48" t="str">
        <f t="shared" si="0"/>
        <v>6400</v>
      </c>
      <c r="E48" t="str">
        <f t="shared" si="1"/>
        <v>Repairs &amp; Maintenance</v>
      </c>
    </row>
    <row r="49" spans="1:5" x14ac:dyDescent="0.25">
      <c r="A49" t="s">
        <v>61</v>
      </c>
      <c r="B49" t="s">
        <v>70</v>
      </c>
      <c r="C49" t="s">
        <v>63</v>
      </c>
      <c r="D49" t="str">
        <f t="shared" si="0"/>
        <v>6400</v>
      </c>
      <c r="E49" t="str">
        <f t="shared" si="1"/>
        <v>Repairs &amp; Maintenance</v>
      </c>
    </row>
    <row r="50" spans="1:5" x14ac:dyDescent="0.25">
      <c r="A50" t="s">
        <v>61</v>
      </c>
      <c r="B50" t="s">
        <v>71</v>
      </c>
      <c r="C50" t="s">
        <v>63</v>
      </c>
      <c r="D50" t="str">
        <f t="shared" si="0"/>
        <v>6400</v>
      </c>
      <c r="E50" t="str">
        <f t="shared" si="1"/>
        <v>Repairs &amp; Maintenance</v>
      </c>
    </row>
    <row r="51" spans="1:5" x14ac:dyDescent="0.25">
      <c r="A51" t="s">
        <v>72</v>
      </c>
      <c r="B51" t="s">
        <v>73</v>
      </c>
      <c r="C51" t="s">
        <v>74</v>
      </c>
      <c r="D51" t="str">
        <f t="shared" si="0"/>
        <v>5005</v>
      </c>
      <c r="E51" t="str">
        <f t="shared" si="1"/>
        <v>Security Expenses</v>
      </c>
    </row>
    <row r="52" spans="1:5" x14ac:dyDescent="0.25">
      <c r="A52" t="s">
        <v>75</v>
      </c>
      <c r="B52" t="s">
        <v>76</v>
      </c>
      <c r="C52" t="s">
        <v>77</v>
      </c>
      <c r="D52" t="str">
        <f t="shared" si="0"/>
        <v>6900</v>
      </c>
      <c r="E52" t="str">
        <f t="shared" si="1"/>
        <v>Travel &amp; Conveyance</v>
      </c>
    </row>
    <row r="53" spans="1:5" x14ac:dyDescent="0.25">
      <c r="A53" t="s">
        <v>75</v>
      </c>
      <c r="B53" t="s">
        <v>78</v>
      </c>
      <c r="C53" t="s">
        <v>77</v>
      </c>
      <c r="D53" t="str">
        <f t="shared" si="0"/>
        <v>6900</v>
      </c>
      <c r="E53" t="str">
        <f t="shared" si="1"/>
        <v>Travel &amp; Conveyance</v>
      </c>
    </row>
    <row r="54" spans="1:5" x14ac:dyDescent="0.25">
      <c r="A54" t="s">
        <v>75</v>
      </c>
      <c r="B54" t="s">
        <v>79</v>
      </c>
      <c r="C54" t="s">
        <v>77</v>
      </c>
      <c r="D54" t="str">
        <f t="shared" si="0"/>
        <v>6900</v>
      </c>
      <c r="E54" t="str">
        <f t="shared" si="1"/>
        <v>Travel &amp; Conveyance</v>
      </c>
    </row>
    <row r="55" spans="1:5" x14ac:dyDescent="0.25">
      <c r="A55" t="s">
        <v>75</v>
      </c>
      <c r="B55" t="s">
        <v>80</v>
      </c>
      <c r="C55" t="s">
        <v>77</v>
      </c>
      <c r="D55" t="str">
        <f t="shared" si="0"/>
        <v>6900</v>
      </c>
      <c r="E55" t="str">
        <f t="shared" si="1"/>
        <v>Travel &amp; Conveyance</v>
      </c>
    </row>
    <row r="56" spans="1:5" x14ac:dyDescent="0.25">
      <c r="A56" t="s">
        <v>75</v>
      </c>
      <c r="B56" t="s">
        <v>81</v>
      </c>
      <c r="C56" t="s">
        <v>77</v>
      </c>
      <c r="D56" t="str">
        <f t="shared" si="0"/>
        <v>6900</v>
      </c>
      <c r="E56" t="str">
        <f t="shared" si="1"/>
        <v>Travel &amp; Conveyance</v>
      </c>
    </row>
    <row r="57" spans="1:5" x14ac:dyDescent="0.25">
      <c r="A57" t="s">
        <v>75</v>
      </c>
      <c r="B57" t="s">
        <v>82</v>
      </c>
      <c r="C57" t="s">
        <v>77</v>
      </c>
      <c r="D57" t="str">
        <f t="shared" si="0"/>
        <v>6900</v>
      </c>
      <c r="E57" t="str">
        <f t="shared" si="1"/>
        <v>Travel &amp; Conveyance</v>
      </c>
    </row>
    <row r="58" spans="1:5" x14ac:dyDescent="0.25">
      <c r="A58" t="s">
        <v>75</v>
      </c>
      <c r="B58" t="s">
        <v>83</v>
      </c>
      <c r="C58" t="s">
        <v>77</v>
      </c>
      <c r="D58" t="str">
        <f t="shared" si="0"/>
        <v>6900</v>
      </c>
      <c r="E58" t="str">
        <f t="shared" si="1"/>
        <v>Travel &amp; Conveyance</v>
      </c>
    </row>
    <row r="59" spans="1:5" x14ac:dyDescent="0.25">
      <c r="A59" t="s">
        <v>75</v>
      </c>
      <c r="B59" t="s">
        <v>84</v>
      </c>
      <c r="C59" t="s">
        <v>77</v>
      </c>
      <c r="D59" t="str">
        <f t="shared" si="0"/>
        <v>6900</v>
      </c>
      <c r="E59" t="str">
        <f t="shared" si="1"/>
        <v>Travel &amp; Conveyance</v>
      </c>
    </row>
    <row r="60" spans="1:5" x14ac:dyDescent="0.25">
      <c r="A60" s="2" t="s">
        <v>85</v>
      </c>
      <c r="B60" t="s">
        <v>86</v>
      </c>
      <c r="C60" t="s">
        <v>545</v>
      </c>
      <c r="D60" t="str">
        <f t="shared" si="0"/>
        <v>5008</v>
      </c>
      <c r="E60" t="str">
        <f t="shared" si="1"/>
        <v>Utilities Charges</v>
      </c>
    </row>
    <row r="61" spans="1:5" x14ac:dyDescent="0.25">
      <c r="A61" s="2" t="s">
        <v>85</v>
      </c>
      <c r="B61" t="s">
        <v>87</v>
      </c>
      <c r="C61" t="s">
        <v>546</v>
      </c>
      <c r="D61" t="str">
        <f t="shared" si="0"/>
        <v>5009</v>
      </c>
      <c r="E61" t="str">
        <f t="shared" si="1"/>
        <v>Utilities Charges</v>
      </c>
    </row>
    <row r="62" spans="1:5" x14ac:dyDescent="0.25">
      <c r="A62" s="2" t="s">
        <v>85</v>
      </c>
      <c r="B62" t="s">
        <v>88</v>
      </c>
      <c r="C62" t="s">
        <v>547</v>
      </c>
      <c r="D62" t="str">
        <f t="shared" si="0"/>
        <v>5010</v>
      </c>
      <c r="E62" s="3" t="str">
        <f>TRIM(SUBSTITUTE(A62,CHAR(160)," "))</f>
        <v>Utilities Charges</v>
      </c>
    </row>
    <row r="63" spans="1:5" x14ac:dyDescent="0.25">
      <c r="A63" s="2" t="s">
        <v>85</v>
      </c>
      <c r="B63" t="s">
        <v>89</v>
      </c>
      <c r="C63" t="s">
        <v>548</v>
      </c>
      <c r="D63" t="str">
        <f t="shared" si="0"/>
        <v>5012</v>
      </c>
      <c r="E63" t="str">
        <f t="shared" si="1"/>
        <v>Utilities Charges</v>
      </c>
    </row>
    <row r="64" spans="1:5" x14ac:dyDescent="0.25">
      <c r="A64" t="s">
        <v>90</v>
      </c>
      <c r="B64" t="s">
        <v>91</v>
      </c>
      <c r="C64" t="s">
        <v>92</v>
      </c>
      <c r="D64" t="str">
        <f t="shared" si="0"/>
        <v>6800</v>
      </c>
      <c r="E64" t="str">
        <f t="shared" si="1"/>
        <v>Postage and Courier</v>
      </c>
    </row>
    <row r="65" spans="1:5" x14ac:dyDescent="0.25">
      <c r="A65" t="s">
        <v>90</v>
      </c>
      <c r="B65" t="s">
        <v>93</v>
      </c>
      <c r="C65" t="s">
        <v>92</v>
      </c>
      <c r="D65" t="str">
        <f t="shared" si="0"/>
        <v>6800</v>
      </c>
      <c r="E65" t="str">
        <f t="shared" si="1"/>
        <v>Postage and Courier</v>
      </c>
    </row>
    <row r="66" spans="1:5" x14ac:dyDescent="0.25">
      <c r="A66" t="s">
        <v>94</v>
      </c>
      <c r="B66" t="s">
        <v>95</v>
      </c>
      <c r="C66" t="s">
        <v>96</v>
      </c>
      <c r="D66" t="str">
        <f t="shared" si="0"/>
        <v>5007</v>
      </c>
      <c r="E66" t="str">
        <f t="shared" si="1"/>
        <v>Site Office Expenditure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3206-D8D2-4D95-8BE3-908F77DBB096}">
  <dimension ref="A1:P100"/>
  <sheetViews>
    <sheetView workbookViewId="0">
      <selection activeCell="H49" sqref="H49:H88"/>
    </sheetView>
  </sheetViews>
  <sheetFormatPr defaultRowHeight="15" x14ac:dyDescent="0.25"/>
  <cols>
    <col min="1" max="1" width="19.7109375" bestFit="1" customWidth="1"/>
    <col min="2" max="2" width="30.28515625" bestFit="1" customWidth="1"/>
    <col min="3" max="3" width="23.85546875" bestFit="1" customWidth="1"/>
    <col min="4" max="4" width="11.85546875" bestFit="1" customWidth="1"/>
    <col min="5" max="5" width="19.85546875" bestFit="1" customWidth="1"/>
    <col min="6" max="6" width="92.7109375" hidden="1" customWidth="1"/>
    <col min="7" max="7" width="11.28515625" bestFit="1" customWidth="1"/>
    <col min="8" max="8" width="18.7109375" bestFit="1" customWidth="1"/>
    <col min="9" max="9" width="79.28515625" bestFit="1" customWidth="1"/>
    <col min="10" max="10" width="16.42578125" bestFit="1" customWidth="1"/>
    <col min="11" max="11" width="10.28515625" bestFit="1" customWidth="1"/>
    <col min="12" max="12" width="34.7109375" hidden="1" customWidth="1"/>
    <col min="13" max="13" width="7.5703125" hidden="1" customWidth="1"/>
    <col min="14" max="14" width="17.5703125" hidden="1" customWidth="1"/>
    <col min="15" max="15" width="20.42578125" hidden="1" customWidth="1"/>
    <col min="16" max="16" width="0" hidden="1" customWidth="1"/>
  </cols>
  <sheetData>
    <row r="1" spans="1:16" ht="15.75" thickBot="1" x14ac:dyDescent="0.3">
      <c r="A1" s="10" t="s">
        <v>97</v>
      </c>
      <c r="B1" s="10" t="s">
        <v>2</v>
      </c>
      <c r="C1" s="5" t="s">
        <v>97</v>
      </c>
      <c r="D1" s="5" t="s">
        <v>98</v>
      </c>
      <c r="E1" s="11" t="s">
        <v>542</v>
      </c>
      <c r="F1" s="5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6" t="s">
        <v>104</v>
      </c>
      <c r="L1" s="5" t="s">
        <v>105</v>
      </c>
      <c r="M1" s="6" t="s">
        <v>106</v>
      </c>
      <c r="N1" s="11" t="s">
        <v>544</v>
      </c>
      <c r="O1" s="11" t="s">
        <v>550</v>
      </c>
      <c r="P1" s="11" t="s">
        <v>551</v>
      </c>
    </row>
    <row r="2" spans="1:16" ht="15.75" thickBot="1" x14ac:dyDescent="0.3">
      <c r="A2" t="str">
        <f>IFERROR(INDEX('COA TABLE FORM'!$A$2:$A$66,MATCH($O2,'COA TABLE FORM'!$E$2:$E$66,0)),"")</f>
        <v> Utilities Charges</v>
      </c>
      <c r="B2" t="str" cm="1">
        <f t="array" ref="B2">IFERROR(INDEX('COA TABLE FORM'!$C$2:$C$66,MATCH(1,('COA TABLE FORM'!$E$2:$E$66=$O2)*(ISNUMBER(SEARCH($P2,'COA TABLE FORM'!$B$2:$B$66))),0)),"")</f>
        <v>5012 - Water Charges</v>
      </c>
      <c r="C2" s="7" t="s">
        <v>114</v>
      </c>
      <c r="D2" s="8" t="s">
        <v>115</v>
      </c>
      <c r="E2" t="str">
        <f t="shared" ref="E2:E33" si="0">IFERROR(MID(F2,FIND("@",SUBSTITUTE(F2,"(","@",LEN(F2)-LEN(SUBSTITUTE(F2,"(",""))))+1,FIND("@",SUBSTITUTE(F2,")","@",LEN(F2)-LEN(SUBSTITUTE(F2,")",""))))-FIND("@",SUBSTITUTE(F2,"(","@",LEN(F2)-LEN(SUBSTITUTE(F2,"(",""))))-1),"")</f>
        <v>6084000056</v>
      </c>
      <c r="F2" s="7" t="s">
        <v>116</v>
      </c>
      <c r="G2" s="7" t="s">
        <v>89</v>
      </c>
      <c r="H2" s="7" t="str">
        <f>E2</f>
        <v>6084000056</v>
      </c>
      <c r="I2" s="7" t="s">
        <v>117</v>
      </c>
      <c r="J2" s="7" t="s">
        <v>118</v>
      </c>
      <c r="K2" s="9" t="s">
        <v>119</v>
      </c>
      <c r="L2" s="7" t="s">
        <v>110</v>
      </c>
      <c r="M2" s="9"/>
      <c r="N2" t="str" cm="1">
        <f t="array" ref="N2">IFERROR(INDEX('COA TABLE FORM'!$B$2:$B$66,MATCH(1,('COA TABLE FORM'!$E$2:$E$66=$O2)*(ISNUMBER(SEARCH($P2,'COA TABLE FORM'!$B$2:$B$66))),0)),"")</f>
        <v>Water</v>
      </c>
      <c r="O2" t="str">
        <f>TRIM(MID($L2,FIND("—",$L2)+1,200))</f>
        <v>Utilities Charges</v>
      </c>
      <c r="P2" t="str">
        <f>IF($G2="Phone","Internet / Broadband",$G2)</f>
        <v>Water</v>
      </c>
    </row>
    <row r="3" spans="1:16" ht="15.75" thickBot="1" x14ac:dyDescent="0.3">
      <c r="A3" t="str">
        <f>IFERROR(INDEX('COA TABLE FORM'!$A$2:$A$66,MATCH($O3,'COA TABLE FORM'!$E$2:$E$66,0)),"")</f>
        <v> Utilities Charges</v>
      </c>
      <c r="B3" t="str" cm="1">
        <f t="array" ref="B3">IFERROR(INDEX('COA TABLE FORM'!$C$2:$C$66,MATCH(1,('COA TABLE FORM'!$E$2:$E$66=$O3)*(ISNUMBER(SEARCH($P3,'COA TABLE FORM'!$B$2:$B$66))),0)),"")</f>
        <v>5012 - Water Charges</v>
      </c>
      <c r="C3" s="7" t="s">
        <v>114</v>
      </c>
      <c r="D3" s="8" t="s">
        <v>120</v>
      </c>
      <c r="E3" t="str">
        <f t="shared" si="0"/>
        <v>6084000058</v>
      </c>
      <c r="F3" s="7" t="s">
        <v>121</v>
      </c>
      <c r="G3" s="7" t="s">
        <v>89</v>
      </c>
      <c r="H3" s="7" t="str">
        <f t="shared" ref="H3:H12" si="1">E3</f>
        <v>6084000058</v>
      </c>
      <c r="I3" s="7" t="s">
        <v>122</v>
      </c>
      <c r="J3" s="7" t="s">
        <v>118</v>
      </c>
      <c r="K3" s="9" t="s">
        <v>119</v>
      </c>
      <c r="L3" s="7" t="s">
        <v>110</v>
      </c>
      <c r="M3" s="9"/>
      <c r="N3" t="str" cm="1">
        <f t="array" ref="N3">IFERROR(INDEX('COA TABLE FORM'!$B$2:$B$66,MATCH(1,('COA TABLE FORM'!$E$2:$E$66=$O3)*(ISNUMBER(SEARCH($P3,'COA TABLE FORM'!$B$2:$B$66))),0)),"")</f>
        <v>Water</v>
      </c>
      <c r="O3" t="str">
        <f t="shared" ref="O3:O66" si="2">TRIM(MID($L3,FIND("—",$L3)+1,200))</f>
        <v>Utilities Charges</v>
      </c>
      <c r="P3" t="str">
        <f t="shared" ref="P3:P66" si="3">IF($G3="Phone","Internet / Broadband",$G3)</f>
        <v>Water</v>
      </c>
    </row>
    <row r="4" spans="1:16" ht="15.75" thickBot="1" x14ac:dyDescent="0.3">
      <c r="A4" t="str">
        <f>IFERROR(INDEX('COA TABLE FORM'!$A$2:$A$66,MATCH($O4,'COA TABLE FORM'!$E$2:$E$66,0)),"")</f>
        <v> Utilities Charges</v>
      </c>
      <c r="B4" t="str" cm="1">
        <f t="array" ref="B4">IFERROR(INDEX('COA TABLE FORM'!$C$2:$C$66,MATCH(1,('COA TABLE FORM'!$E$2:$E$66=$O4)*(ISNUMBER(SEARCH($P4,'COA TABLE FORM'!$B$2:$B$66))),0)),"")</f>
        <v>5012 - Water Charges</v>
      </c>
      <c r="C4" s="7" t="s">
        <v>114</v>
      </c>
      <c r="D4" s="8" t="s">
        <v>123</v>
      </c>
      <c r="E4" t="str">
        <f t="shared" si="0"/>
        <v>6081000285</v>
      </c>
      <c r="F4" s="7" t="s">
        <v>124</v>
      </c>
      <c r="G4" s="7" t="s">
        <v>89</v>
      </c>
      <c r="H4" s="7" t="str">
        <f t="shared" si="1"/>
        <v>6081000285</v>
      </c>
      <c r="I4" s="7" t="s">
        <v>125</v>
      </c>
      <c r="J4" s="7" t="s">
        <v>118</v>
      </c>
      <c r="K4" s="9" t="s">
        <v>126</v>
      </c>
      <c r="L4" s="7" t="s">
        <v>110</v>
      </c>
      <c r="M4" s="9"/>
      <c r="N4" t="str" cm="1">
        <f t="array" ref="N4">IFERROR(INDEX('COA TABLE FORM'!$B$2:$B$66,MATCH(1,('COA TABLE FORM'!$E$2:$E$66=$O4)*(ISNUMBER(SEARCH($P4,'COA TABLE FORM'!$B$2:$B$66))),0)),"")</f>
        <v>Water</v>
      </c>
      <c r="O4" t="str">
        <f t="shared" si="2"/>
        <v>Utilities Charges</v>
      </c>
      <c r="P4" t="str">
        <f t="shared" si="3"/>
        <v>Water</v>
      </c>
    </row>
    <row r="5" spans="1:16" ht="15.75" thickBot="1" x14ac:dyDescent="0.3">
      <c r="A5" t="str">
        <f>IFERROR(INDEX('COA TABLE FORM'!$A$2:$A$66,MATCH($O5,'COA TABLE FORM'!$E$2:$E$66,0)),"")</f>
        <v> Utilities Charges</v>
      </c>
      <c r="B5" t="str" cm="1">
        <f t="array" ref="B5">IFERROR(INDEX('COA TABLE FORM'!$C$2:$C$66,MATCH(1,('COA TABLE FORM'!$E$2:$E$66=$O5)*(ISNUMBER(SEARCH($P5,'COA TABLE FORM'!$B$2:$B$66))),0)),"")</f>
        <v>5012 - Water Charges</v>
      </c>
      <c r="C5" s="7" t="s">
        <v>114</v>
      </c>
      <c r="D5" s="8" t="s">
        <v>127</v>
      </c>
      <c r="E5" t="str">
        <f t="shared" si="0"/>
        <v>6081000276</v>
      </c>
      <c r="F5" s="7" t="s">
        <v>128</v>
      </c>
      <c r="G5" s="7" t="s">
        <v>89</v>
      </c>
      <c r="H5" s="7" t="str">
        <f t="shared" si="1"/>
        <v>6081000276</v>
      </c>
      <c r="I5" s="7" t="s">
        <v>129</v>
      </c>
      <c r="J5" s="7" t="s">
        <v>118</v>
      </c>
      <c r="K5" s="9" t="s">
        <v>130</v>
      </c>
      <c r="L5" s="7" t="s">
        <v>110</v>
      </c>
      <c r="M5" s="9"/>
      <c r="N5" t="str" cm="1">
        <f t="array" ref="N5">IFERROR(INDEX('COA TABLE FORM'!$B$2:$B$66,MATCH(1,('COA TABLE FORM'!$E$2:$E$66=$O5)*(ISNUMBER(SEARCH($P5,'COA TABLE FORM'!$B$2:$B$66))),0)),"")</f>
        <v>Water</v>
      </c>
      <c r="O5" t="str">
        <f t="shared" si="2"/>
        <v>Utilities Charges</v>
      </c>
      <c r="P5" t="str">
        <f t="shared" si="3"/>
        <v>Water</v>
      </c>
    </row>
    <row r="6" spans="1:16" ht="15.75" thickBot="1" x14ac:dyDescent="0.3">
      <c r="A6" t="str">
        <f>IFERROR(INDEX('COA TABLE FORM'!$A$2:$A$66,MATCH($O6,'COA TABLE FORM'!$E$2:$E$66,0)),"")</f>
        <v> Utilities Charges</v>
      </c>
      <c r="B6" t="str" cm="1">
        <f t="array" ref="B6">IFERROR(INDEX('COA TABLE FORM'!$C$2:$C$66,MATCH(1,('COA TABLE FORM'!$E$2:$E$66=$O6)*(ISNUMBER(SEARCH($P6,'COA TABLE FORM'!$B$2:$B$66))),0)),"")</f>
        <v>5012 - Water Charges</v>
      </c>
      <c r="C6" s="7" t="s">
        <v>114</v>
      </c>
      <c r="D6" s="8" t="s">
        <v>131</v>
      </c>
      <c r="E6" t="str">
        <f t="shared" si="0"/>
        <v>6081000265</v>
      </c>
      <c r="F6" s="7" t="s">
        <v>132</v>
      </c>
      <c r="G6" s="7" t="s">
        <v>89</v>
      </c>
      <c r="H6" s="7" t="str">
        <f t="shared" si="1"/>
        <v>6081000265</v>
      </c>
      <c r="I6" s="7" t="s">
        <v>133</v>
      </c>
      <c r="J6" s="7" t="s">
        <v>118</v>
      </c>
      <c r="K6" s="9" t="s">
        <v>134</v>
      </c>
      <c r="L6" s="7" t="s">
        <v>110</v>
      </c>
      <c r="M6" s="9"/>
      <c r="N6" t="str" cm="1">
        <f t="array" ref="N6">IFERROR(INDEX('COA TABLE FORM'!$B$2:$B$66,MATCH(1,('COA TABLE FORM'!$E$2:$E$66=$O6)*(ISNUMBER(SEARCH($P6,'COA TABLE FORM'!$B$2:$B$66))),0)),"")</f>
        <v>Water</v>
      </c>
      <c r="O6" t="str">
        <f t="shared" si="2"/>
        <v>Utilities Charges</v>
      </c>
      <c r="P6" t="str">
        <f t="shared" si="3"/>
        <v>Water</v>
      </c>
    </row>
    <row r="7" spans="1:16" ht="15.75" thickBot="1" x14ac:dyDescent="0.3">
      <c r="A7" t="str">
        <f>IFERROR(INDEX('COA TABLE FORM'!$A$2:$A$66,MATCH($O7,'COA TABLE FORM'!$E$2:$E$66,0)),"")</f>
        <v> Utilities Charges</v>
      </c>
      <c r="B7" t="str" cm="1">
        <f t="array" ref="B7">IFERROR(INDEX('COA TABLE FORM'!$C$2:$C$66,MATCH(1,('COA TABLE FORM'!$E$2:$E$66=$O7)*(ISNUMBER(SEARCH($P7,'COA TABLE FORM'!$B$2:$B$66))),0)),"")</f>
        <v>5012 - Water Charges</v>
      </c>
      <c r="C7" s="7" t="s">
        <v>114</v>
      </c>
      <c r="D7" s="8" t="s">
        <v>135</v>
      </c>
      <c r="E7" t="str">
        <f t="shared" si="0"/>
        <v>6081000389</v>
      </c>
      <c r="F7" s="7" t="s">
        <v>136</v>
      </c>
      <c r="G7" s="7" t="s">
        <v>89</v>
      </c>
      <c r="H7" s="7" t="str">
        <f t="shared" si="1"/>
        <v>6081000389</v>
      </c>
      <c r="I7" s="7" t="s">
        <v>137</v>
      </c>
      <c r="J7" s="7" t="s">
        <v>118</v>
      </c>
      <c r="K7" s="9" t="s">
        <v>138</v>
      </c>
      <c r="L7" s="7" t="s">
        <v>110</v>
      </c>
      <c r="M7" s="9"/>
      <c r="N7" t="str" cm="1">
        <f t="array" ref="N7">IFERROR(INDEX('COA TABLE FORM'!$B$2:$B$66,MATCH(1,('COA TABLE FORM'!$E$2:$E$66=$O7)*(ISNUMBER(SEARCH($P7,'COA TABLE FORM'!$B$2:$B$66))),0)),"")</f>
        <v>Water</v>
      </c>
      <c r="O7" t="str">
        <f t="shared" si="2"/>
        <v>Utilities Charges</v>
      </c>
      <c r="P7" t="str">
        <f t="shared" si="3"/>
        <v>Water</v>
      </c>
    </row>
    <row r="8" spans="1:16" ht="15.75" thickBot="1" x14ac:dyDescent="0.3">
      <c r="A8" t="str">
        <f>IFERROR(INDEX('COA TABLE FORM'!$A$2:$A$66,MATCH($O8,'COA TABLE FORM'!$E$2:$E$66,0)),"")</f>
        <v> Utilities Charges</v>
      </c>
      <c r="B8" t="str" cm="1">
        <f t="array" ref="B8">IFERROR(INDEX('COA TABLE FORM'!$C$2:$C$66,MATCH(1,('COA TABLE FORM'!$E$2:$E$66=$O8)*(ISNUMBER(SEARCH($P8,'COA TABLE FORM'!$B$2:$B$66))),0)),"")</f>
        <v>5012 - Water Charges</v>
      </c>
      <c r="C8" s="7" t="s">
        <v>114</v>
      </c>
      <c r="D8" s="8" t="s">
        <v>139</v>
      </c>
      <c r="E8" t="str">
        <f t="shared" si="0"/>
        <v>6082000217</v>
      </c>
      <c r="F8" s="7" t="s">
        <v>140</v>
      </c>
      <c r="G8" s="7" t="s">
        <v>89</v>
      </c>
      <c r="H8" s="7" t="str">
        <f t="shared" si="1"/>
        <v>6082000217</v>
      </c>
      <c r="I8" s="7" t="s">
        <v>141</v>
      </c>
      <c r="J8" s="7" t="s">
        <v>118</v>
      </c>
      <c r="K8" s="9" t="s">
        <v>134</v>
      </c>
      <c r="L8" s="7" t="s">
        <v>110</v>
      </c>
      <c r="M8" s="9"/>
      <c r="N8" t="str" cm="1">
        <f t="array" ref="N8">IFERROR(INDEX('COA TABLE FORM'!$B$2:$B$66,MATCH(1,('COA TABLE FORM'!$E$2:$E$66=$O8)*(ISNUMBER(SEARCH($P8,'COA TABLE FORM'!$B$2:$B$66))),0)),"")</f>
        <v>Water</v>
      </c>
      <c r="O8" t="str">
        <f t="shared" si="2"/>
        <v>Utilities Charges</v>
      </c>
      <c r="P8" t="str">
        <f t="shared" si="3"/>
        <v>Water</v>
      </c>
    </row>
    <row r="9" spans="1:16" ht="15.75" thickBot="1" x14ac:dyDescent="0.3">
      <c r="A9" t="str">
        <f>IFERROR(INDEX('COA TABLE FORM'!$A$2:$A$66,MATCH($O9,'COA TABLE FORM'!$E$2:$E$66,0)),"")</f>
        <v> Utilities Charges</v>
      </c>
      <c r="B9" t="str" cm="1">
        <f t="array" ref="B9">IFERROR(INDEX('COA TABLE FORM'!$C$2:$C$66,MATCH(1,('COA TABLE FORM'!$E$2:$E$66=$O9)*(ISNUMBER(SEARCH($P9,'COA TABLE FORM'!$B$2:$B$66))),0)),"")</f>
        <v>5012 - Water Charges</v>
      </c>
      <c r="C9" s="7" t="s">
        <v>114</v>
      </c>
      <c r="D9" s="8" t="s">
        <v>142</v>
      </c>
      <c r="E9" t="str">
        <f t="shared" si="0"/>
        <v>2838000216</v>
      </c>
      <c r="F9" s="7" t="s">
        <v>143</v>
      </c>
      <c r="G9" s="7" t="s">
        <v>89</v>
      </c>
      <c r="H9" s="7" t="str">
        <f t="shared" si="1"/>
        <v>2838000216</v>
      </c>
      <c r="I9" s="7" t="s">
        <v>144</v>
      </c>
      <c r="J9" s="7" t="s">
        <v>118</v>
      </c>
      <c r="K9" s="9" t="s">
        <v>145</v>
      </c>
      <c r="L9" s="7" t="s">
        <v>110</v>
      </c>
      <c r="M9" s="9"/>
      <c r="N9" t="str" cm="1">
        <f t="array" ref="N9">IFERROR(INDEX('COA TABLE FORM'!$B$2:$B$66,MATCH(1,('COA TABLE FORM'!$E$2:$E$66=$O9)*(ISNUMBER(SEARCH($P9,'COA TABLE FORM'!$B$2:$B$66))),0)),"")</f>
        <v>Water</v>
      </c>
      <c r="O9" t="str">
        <f t="shared" si="2"/>
        <v>Utilities Charges</v>
      </c>
      <c r="P9" t="str">
        <f t="shared" si="3"/>
        <v>Water</v>
      </c>
    </row>
    <row r="10" spans="1:16" ht="15.75" thickBot="1" x14ac:dyDescent="0.3">
      <c r="A10" t="str">
        <f>IFERROR(INDEX('COA TABLE FORM'!$A$2:$A$66,MATCH($O10,'COA TABLE FORM'!$E$2:$E$66,0)),"")</f>
        <v> Utilities Charges</v>
      </c>
      <c r="B10" t="str" cm="1">
        <f t="array" ref="B10">IFERROR(INDEX('COA TABLE FORM'!$C$2:$C$66,MATCH(1,('COA TABLE FORM'!$E$2:$E$66=$O10)*(ISNUMBER(SEARCH($P10,'COA TABLE FORM'!$B$2:$B$66))),0)),"")</f>
        <v>5012 - Water Charges</v>
      </c>
      <c r="C10" s="7" t="s">
        <v>114</v>
      </c>
      <c r="D10" s="8" t="s">
        <v>146</v>
      </c>
      <c r="E10" t="str">
        <f t="shared" si="0"/>
        <v>2636000037</v>
      </c>
      <c r="F10" s="7" t="s">
        <v>147</v>
      </c>
      <c r="G10" s="7" t="s">
        <v>89</v>
      </c>
      <c r="H10" s="7" t="str">
        <f t="shared" si="1"/>
        <v>2636000037</v>
      </c>
      <c r="I10" s="7" t="s">
        <v>148</v>
      </c>
      <c r="J10" s="7" t="s">
        <v>112</v>
      </c>
      <c r="K10" s="9" t="s">
        <v>149</v>
      </c>
      <c r="L10" s="7" t="s">
        <v>110</v>
      </c>
      <c r="M10" s="9"/>
      <c r="N10" t="str" cm="1">
        <f t="array" ref="N10">IFERROR(INDEX('COA TABLE FORM'!$B$2:$B$66,MATCH(1,('COA TABLE FORM'!$E$2:$E$66=$O10)*(ISNUMBER(SEARCH($P10,'COA TABLE FORM'!$B$2:$B$66))),0)),"")</f>
        <v>Water</v>
      </c>
      <c r="O10" t="str">
        <f t="shared" si="2"/>
        <v>Utilities Charges</v>
      </c>
      <c r="P10" t="str">
        <f t="shared" si="3"/>
        <v>Water</v>
      </c>
    </row>
    <row r="11" spans="1:16" ht="15.75" thickBot="1" x14ac:dyDescent="0.3">
      <c r="A11" t="str">
        <f>IFERROR(INDEX('COA TABLE FORM'!$A$2:$A$66,MATCH($O11,'COA TABLE FORM'!$E$2:$E$66,0)),"")</f>
        <v> Utilities Charges</v>
      </c>
      <c r="B11" t="str" cm="1">
        <f t="array" ref="B11">IFERROR(INDEX('COA TABLE FORM'!$C$2:$C$66,MATCH(1,('COA TABLE FORM'!$E$2:$E$66=$O11)*(ISNUMBER(SEARCH($P11,'COA TABLE FORM'!$B$2:$B$66))),0)),"")</f>
        <v>5012 - Water Charges</v>
      </c>
      <c r="C11" s="7" t="s">
        <v>114</v>
      </c>
      <c r="D11" s="8" t="s">
        <v>150</v>
      </c>
      <c r="E11" t="str">
        <f t="shared" si="0"/>
        <v>2838000439</v>
      </c>
      <c r="F11" s="7" t="s">
        <v>151</v>
      </c>
      <c r="G11" s="7" t="s">
        <v>89</v>
      </c>
      <c r="H11" s="7" t="str">
        <f t="shared" si="1"/>
        <v>2838000439</v>
      </c>
      <c r="I11" s="7" t="s">
        <v>152</v>
      </c>
      <c r="J11" s="7" t="s">
        <v>118</v>
      </c>
      <c r="K11" s="9" t="s">
        <v>153</v>
      </c>
      <c r="L11" s="7" t="s">
        <v>110</v>
      </c>
      <c r="M11" s="9"/>
      <c r="N11" t="str" cm="1">
        <f t="array" ref="N11">IFERROR(INDEX('COA TABLE FORM'!$B$2:$B$66,MATCH(1,('COA TABLE FORM'!$E$2:$E$66=$O11)*(ISNUMBER(SEARCH($P11,'COA TABLE FORM'!$B$2:$B$66))),0)),"")</f>
        <v>Water</v>
      </c>
      <c r="O11" t="str">
        <f t="shared" si="2"/>
        <v>Utilities Charges</v>
      </c>
      <c r="P11" t="str">
        <f t="shared" si="3"/>
        <v>Water</v>
      </c>
    </row>
    <row r="12" spans="1:16" ht="15.75" thickBot="1" x14ac:dyDescent="0.3">
      <c r="A12" t="str">
        <f>IFERROR(INDEX('COA TABLE FORM'!$A$2:$A$66,MATCH($O12,'COA TABLE FORM'!$E$2:$E$66,0)),"")</f>
        <v> Utilities Charges</v>
      </c>
      <c r="B12" t="str" cm="1">
        <f t="array" ref="B12">IFERROR(INDEX('COA TABLE FORM'!$C$2:$C$66,MATCH(1,('COA TABLE FORM'!$E$2:$E$66=$O12)*(ISNUMBER(SEARCH($P12,'COA TABLE FORM'!$B$2:$B$66))),0)),"")</f>
        <v>5012 - Water Charges</v>
      </c>
      <c r="C12" s="7" t="s">
        <v>114</v>
      </c>
      <c r="D12" s="8" t="s">
        <v>154</v>
      </c>
      <c r="E12" t="str">
        <f t="shared" si="0"/>
        <v>2838000401</v>
      </c>
      <c r="F12" s="7" t="s">
        <v>155</v>
      </c>
      <c r="G12" s="7" t="s">
        <v>89</v>
      </c>
      <c r="H12" s="7" t="str">
        <f t="shared" si="1"/>
        <v>2838000401</v>
      </c>
      <c r="I12" s="7" t="s">
        <v>156</v>
      </c>
      <c r="J12" s="7" t="s">
        <v>118</v>
      </c>
      <c r="K12" s="9" t="s">
        <v>157</v>
      </c>
      <c r="L12" s="7" t="s">
        <v>110</v>
      </c>
      <c r="M12" s="9"/>
      <c r="N12" t="str" cm="1">
        <f t="array" ref="N12">IFERROR(INDEX('COA TABLE FORM'!$B$2:$B$66,MATCH(1,('COA TABLE FORM'!$E$2:$E$66=$O12)*(ISNUMBER(SEARCH($P12,'COA TABLE FORM'!$B$2:$B$66))),0)),"")</f>
        <v>Water</v>
      </c>
      <c r="O12" t="str">
        <f t="shared" si="2"/>
        <v>Utilities Charges</v>
      </c>
      <c r="P12" t="str">
        <f t="shared" si="3"/>
        <v>Water</v>
      </c>
    </row>
    <row r="13" spans="1:16" ht="15.75" thickBot="1" x14ac:dyDescent="0.3">
      <c r="A13" t="str">
        <f>IFERROR(INDEX('COA TABLE FORM'!$A$2:$A$66,MATCH($O13,'COA TABLE FORM'!$E$2:$E$66,0)),"")</f>
        <v> Utilities Charges</v>
      </c>
      <c r="B13" t="str" cm="1">
        <f t="array" ref="B13">IFERROR(INDEX('COA TABLE FORM'!$C$2:$C$66,MATCH(1,('COA TABLE FORM'!$E$2:$E$66=$O13)*(ISNUMBER(SEARCH($P13,'COA TABLE FORM'!$B$2:$B$66))),0)),"")</f>
        <v>5008 - ELECTRICITY CHARGES</v>
      </c>
      <c r="C13" s="7" t="s">
        <v>158</v>
      </c>
      <c r="D13" s="8" t="s">
        <v>159</v>
      </c>
      <c r="E13" t="str">
        <f t="shared" si="0"/>
        <v>3-P 60709</v>
      </c>
      <c r="F13" s="7" t="s">
        <v>160</v>
      </c>
      <c r="G13" s="7" t="s">
        <v>86</v>
      </c>
      <c r="H13" s="7" t="s">
        <v>161</v>
      </c>
      <c r="I13" s="7" t="s">
        <v>162</v>
      </c>
      <c r="J13" s="7" t="s">
        <v>118</v>
      </c>
      <c r="K13" s="9" t="s">
        <v>163</v>
      </c>
      <c r="L13" s="7" t="s">
        <v>110</v>
      </c>
      <c r="M13" s="9"/>
      <c r="N13" t="str" cm="1">
        <f t="array" ref="N13">IFERROR(INDEX('COA TABLE FORM'!$B$2:$B$66,MATCH(1,('COA TABLE FORM'!$E$2:$E$66=$O13)*(ISNUMBER(SEARCH($P13,'COA TABLE FORM'!$B$2:$B$66))),0)),"")</f>
        <v>Electricity</v>
      </c>
      <c r="O13" t="str">
        <f t="shared" si="2"/>
        <v>Utilities Charges</v>
      </c>
      <c r="P13" t="str">
        <f t="shared" si="3"/>
        <v>Electricity</v>
      </c>
    </row>
    <row r="14" spans="1:16" ht="15.75" thickBot="1" x14ac:dyDescent="0.3">
      <c r="A14" t="str">
        <f>IFERROR(INDEX('COA TABLE FORM'!$A$2:$A$66,MATCH($O14,'COA TABLE FORM'!$E$2:$E$66,0)),"")</f>
        <v> Utilities Charges</v>
      </c>
      <c r="B14" t="str" cm="1">
        <f t="array" ref="B14">IFERROR(INDEX('COA TABLE FORM'!$C$2:$C$66,MATCH(1,('COA TABLE FORM'!$E$2:$E$66=$O14)*(ISNUMBER(SEARCH($P14,'COA TABLE FORM'!$B$2:$B$66))),0)),"")</f>
        <v>5008 - ELECTRICITY CHARGES</v>
      </c>
      <c r="C14" s="7" t="s">
        <v>158</v>
      </c>
      <c r="D14" s="8" t="s">
        <v>164</v>
      </c>
      <c r="E14" t="str">
        <f t="shared" si="0"/>
        <v>3-P 35981</v>
      </c>
      <c r="F14" s="7" t="s">
        <v>165</v>
      </c>
      <c r="G14" s="7" t="s">
        <v>86</v>
      </c>
      <c r="H14" s="7" t="s">
        <v>166</v>
      </c>
      <c r="I14" s="7" t="s">
        <v>167</v>
      </c>
      <c r="J14" s="7" t="s">
        <v>108</v>
      </c>
      <c r="K14" s="9" t="s">
        <v>168</v>
      </c>
      <c r="L14" s="7" t="s">
        <v>110</v>
      </c>
      <c r="M14" s="9"/>
      <c r="N14" t="str" cm="1">
        <f t="array" ref="N14">IFERROR(INDEX('COA TABLE FORM'!$B$2:$B$66,MATCH(1,('COA TABLE FORM'!$E$2:$E$66=$O14)*(ISNUMBER(SEARCH($P14,'COA TABLE FORM'!$B$2:$B$66))),0)),"")</f>
        <v>Electricity</v>
      </c>
      <c r="O14" t="str">
        <f t="shared" si="2"/>
        <v>Utilities Charges</v>
      </c>
      <c r="P14" t="str">
        <f t="shared" si="3"/>
        <v>Electricity</v>
      </c>
    </row>
    <row r="15" spans="1:16" ht="15.75" thickBot="1" x14ac:dyDescent="0.3">
      <c r="A15" t="str">
        <f>IFERROR(INDEX('COA TABLE FORM'!$A$2:$A$66,MATCH($O15,'COA TABLE FORM'!$E$2:$E$66,0)),"")</f>
        <v> Utilities Charges</v>
      </c>
      <c r="B15" t="str" cm="1">
        <f t="array" ref="B15">IFERROR(INDEX('COA TABLE FORM'!$C$2:$C$66,MATCH(1,('COA TABLE FORM'!$E$2:$E$66=$O15)*(ISNUMBER(SEARCH($P15,'COA TABLE FORM'!$B$2:$B$66))),0)),"")</f>
        <v>5008 - ELECTRICITY CHARGES</v>
      </c>
      <c r="C15" s="7" t="s">
        <v>158</v>
      </c>
      <c r="D15" s="8" t="s">
        <v>169</v>
      </c>
      <c r="E15" t="str">
        <f t="shared" si="0"/>
        <v>3-P 517209</v>
      </c>
      <c r="F15" s="7" t="s">
        <v>170</v>
      </c>
      <c r="G15" s="7" t="s">
        <v>86</v>
      </c>
      <c r="H15" s="7" t="s">
        <v>171</v>
      </c>
      <c r="I15" s="7" t="s">
        <v>172</v>
      </c>
      <c r="J15" s="7" t="s">
        <v>118</v>
      </c>
      <c r="K15" s="9" t="s">
        <v>173</v>
      </c>
      <c r="L15" s="7" t="s">
        <v>110</v>
      </c>
      <c r="M15" s="9"/>
      <c r="N15" t="str" cm="1">
        <f t="array" ref="N15">IFERROR(INDEX('COA TABLE FORM'!$B$2:$B$66,MATCH(1,('COA TABLE FORM'!$E$2:$E$66=$O15)*(ISNUMBER(SEARCH($P15,'COA TABLE FORM'!$B$2:$B$66))),0)),"")</f>
        <v>Electricity</v>
      </c>
      <c r="O15" t="str">
        <f t="shared" si="2"/>
        <v>Utilities Charges</v>
      </c>
      <c r="P15" t="str">
        <f t="shared" si="3"/>
        <v>Electricity</v>
      </c>
    </row>
    <row r="16" spans="1:16" ht="15.75" thickBot="1" x14ac:dyDescent="0.3">
      <c r="A16" t="str">
        <f>IFERROR(INDEX('COA TABLE FORM'!$A$2:$A$66,MATCH($O16,'COA TABLE FORM'!$E$2:$E$66,0)),"")</f>
        <v> Utilities Charges</v>
      </c>
      <c r="B16" t="str" cm="1">
        <f t="array" ref="B16">IFERROR(INDEX('COA TABLE FORM'!$C$2:$C$66,MATCH(1,('COA TABLE FORM'!$E$2:$E$66=$O16)*(ISNUMBER(SEARCH($P16,'COA TABLE FORM'!$B$2:$B$66))),0)),"")</f>
        <v>5008 - ELECTRICITY CHARGES</v>
      </c>
      <c r="C16" s="7" t="s">
        <v>158</v>
      </c>
      <c r="D16" s="8" t="s">
        <v>174</v>
      </c>
      <c r="E16" t="str">
        <f t="shared" si="0"/>
        <v>3-P 120063769</v>
      </c>
      <c r="F16" s="7" t="s">
        <v>175</v>
      </c>
      <c r="G16" s="7" t="s">
        <v>86</v>
      </c>
      <c r="H16" s="7" t="s">
        <v>176</v>
      </c>
      <c r="I16" s="7" t="s">
        <v>177</v>
      </c>
      <c r="J16" s="7" t="s">
        <v>118</v>
      </c>
      <c r="K16" s="9" t="s">
        <v>178</v>
      </c>
      <c r="L16" s="7" t="s">
        <v>110</v>
      </c>
      <c r="M16" s="9"/>
      <c r="N16" t="str" cm="1">
        <f t="array" ref="N16">IFERROR(INDEX('COA TABLE FORM'!$B$2:$B$66,MATCH(1,('COA TABLE FORM'!$E$2:$E$66=$O16)*(ISNUMBER(SEARCH($P16,'COA TABLE FORM'!$B$2:$B$66))),0)),"")</f>
        <v>Electricity</v>
      </c>
      <c r="O16" t="str">
        <f t="shared" si="2"/>
        <v>Utilities Charges</v>
      </c>
      <c r="P16" t="str">
        <f t="shared" si="3"/>
        <v>Electricity</v>
      </c>
    </row>
    <row r="17" spans="1:16" ht="15.75" thickBot="1" x14ac:dyDescent="0.3">
      <c r="A17" t="str">
        <f>IFERROR(INDEX('COA TABLE FORM'!$A$2:$A$66,MATCH($O17,'COA TABLE FORM'!$E$2:$E$66,0)),"")</f>
        <v> Utilities Charges</v>
      </c>
      <c r="B17" t="str" cm="1">
        <f t="array" ref="B17">IFERROR(INDEX('COA TABLE FORM'!$C$2:$C$66,MATCH(1,('COA TABLE FORM'!$E$2:$E$66=$O17)*(ISNUMBER(SEARCH($P17,'COA TABLE FORM'!$B$2:$B$66))),0)),"")</f>
        <v>5008 - ELECTRICITY CHARGES</v>
      </c>
      <c r="C17" s="7" t="s">
        <v>158</v>
      </c>
      <c r="D17" s="8" t="s">
        <v>179</v>
      </c>
      <c r="E17" t="str">
        <f t="shared" si="0"/>
        <v>S-P 5378590</v>
      </c>
      <c r="F17" s="7" t="s">
        <v>180</v>
      </c>
      <c r="G17" s="7" t="s">
        <v>86</v>
      </c>
      <c r="H17" s="7" t="s">
        <v>181</v>
      </c>
      <c r="I17" s="7" t="s">
        <v>177</v>
      </c>
      <c r="J17" s="7" t="s">
        <v>118</v>
      </c>
      <c r="K17" s="9" t="s">
        <v>182</v>
      </c>
      <c r="L17" s="7" t="s">
        <v>110</v>
      </c>
      <c r="M17" s="9"/>
      <c r="N17" t="str" cm="1">
        <f t="array" ref="N17">IFERROR(INDEX('COA TABLE FORM'!$B$2:$B$66,MATCH(1,('COA TABLE FORM'!$E$2:$E$66=$O17)*(ISNUMBER(SEARCH($P17,'COA TABLE FORM'!$B$2:$B$66))),0)),"")</f>
        <v>Electricity</v>
      </c>
      <c r="O17" t="str">
        <f t="shared" si="2"/>
        <v>Utilities Charges</v>
      </c>
      <c r="P17" t="str">
        <f t="shared" si="3"/>
        <v>Electricity</v>
      </c>
    </row>
    <row r="18" spans="1:16" ht="15.75" thickBot="1" x14ac:dyDescent="0.3">
      <c r="A18" t="str">
        <f>IFERROR(INDEX('COA TABLE FORM'!$A$2:$A$66,MATCH($O18,'COA TABLE FORM'!$E$2:$E$66,0)),"")</f>
        <v> Utilities Charges</v>
      </c>
      <c r="B18" t="str" cm="1">
        <f t="array" ref="B18">IFERROR(INDEX('COA TABLE FORM'!$C$2:$C$66,MATCH(1,('COA TABLE FORM'!$E$2:$E$66=$O18)*(ISNUMBER(SEARCH($P18,'COA TABLE FORM'!$B$2:$B$66))),0)),"")</f>
        <v>5008 - ELECTRICITY CHARGES</v>
      </c>
      <c r="C18" s="7" t="s">
        <v>158</v>
      </c>
      <c r="D18" s="8" t="s">
        <v>183</v>
      </c>
      <c r="E18" t="str">
        <f t="shared" si="0"/>
        <v>S-P 828171</v>
      </c>
      <c r="F18" s="7" t="s">
        <v>184</v>
      </c>
      <c r="G18" s="7" t="s">
        <v>86</v>
      </c>
      <c r="H18" s="7" t="s">
        <v>185</v>
      </c>
      <c r="I18" s="7" t="s">
        <v>186</v>
      </c>
      <c r="J18" s="7" t="s">
        <v>118</v>
      </c>
      <c r="K18" s="9" t="s">
        <v>187</v>
      </c>
      <c r="L18" s="7" t="s">
        <v>110</v>
      </c>
      <c r="M18" s="9"/>
      <c r="N18" t="str" cm="1">
        <f t="array" ref="N18">IFERROR(INDEX('COA TABLE FORM'!$B$2:$B$66,MATCH(1,('COA TABLE FORM'!$E$2:$E$66=$O18)*(ISNUMBER(SEARCH($P18,'COA TABLE FORM'!$B$2:$B$66))),0)),"")</f>
        <v>Electricity</v>
      </c>
      <c r="O18" t="str">
        <f t="shared" si="2"/>
        <v>Utilities Charges</v>
      </c>
      <c r="P18" t="str">
        <f t="shared" si="3"/>
        <v>Electricity</v>
      </c>
    </row>
    <row r="19" spans="1:16" ht="15.75" thickBot="1" x14ac:dyDescent="0.3">
      <c r="A19" t="str">
        <f>IFERROR(INDEX('COA TABLE FORM'!$A$2:$A$66,MATCH($O19,'COA TABLE FORM'!$E$2:$E$66,0)),"")</f>
        <v> Utilities Charges</v>
      </c>
      <c r="B19" t="str" cm="1">
        <f t="array" ref="B19">IFERROR(INDEX('COA TABLE FORM'!$C$2:$C$66,MATCH(1,('COA TABLE FORM'!$E$2:$E$66=$O19)*(ISNUMBER(SEARCH($P19,'COA TABLE FORM'!$B$2:$B$66))),0)),"")</f>
        <v>5008 - ELECTRICITY CHARGES</v>
      </c>
      <c r="C19" s="7" t="s">
        <v>158</v>
      </c>
      <c r="D19" s="8" t="s">
        <v>188</v>
      </c>
      <c r="E19" t="str">
        <f t="shared" si="0"/>
        <v>3-P301953</v>
      </c>
      <c r="F19" s="7" t="s">
        <v>189</v>
      </c>
      <c r="G19" s="7" t="s">
        <v>86</v>
      </c>
      <c r="H19" s="7" t="s">
        <v>190</v>
      </c>
      <c r="I19" s="7" t="s">
        <v>186</v>
      </c>
      <c r="J19" s="7" t="s">
        <v>118</v>
      </c>
      <c r="K19" s="9" t="s">
        <v>191</v>
      </c>
      <c r="L19" s="7" t="s">
        <v>110</v>
      </c>
      <c r="M19" s="9"/>
      <c r="N19" t="str" cm="1">
        <f t="array" ref="N19">IFERROR(INDEX('COA TABLE FORM'!$B$2:$B$66,MATCH(1,('COA TABLE FORM'!$E$2:$E$66=$O19)*(ISNUMBER(SEARCH($P19,'COA TABLE FORM'!$B$2:$B$66))),0)),"")</f>
        <v>Electricity</v>
      </c>
      <c r="O19" t="str">
        <f t="shared" si="2"/>
        <v>Utilities Charges</v>
      </c>
      <c r="P19" t="str">
        <f t="shared" si="3"/>
        <v>Electricity</v>
      </c>
    </row>
    <row r="20" spans="1:16" ht="15.75" thickBot="1" x14ac:dyDescent="0.3">
      <c r="A20" t="str">
        <f>IFERROR(INDEX('COA TABLE FORM'!$A$2:$A$66,MATCH($O20,'COA TABLE FORM'!$E$2:$E$66,0)),"")</f>
        <v> Utilities Charges</v>
      </c>
      <c r="B20" t="str" cm="1">
        <f t="array" ref="B20">IFERROR(INDEX('COA TABLE FORM'!$C$2:$C$66,MATCH(1,('COA TABLE FORM'!$E$2:$E$66=$O20)*(ISNUMBER(SEARCH($P20,'COA TABLE FORM'!$B$2:$B$66))),0)),"")</f>
        <v>5008 - ELECTRICITY CHARGES</v>
      </c>
      <c r="C20" s="7" t="s">
        <v>158</v>
      </c>
      <c r="D20" s="8" t="s">
        <v>192</v>
      </c>
      <c r="E20" t="str">
        <f t="shared" si="0"/>
        <v>1422400011463</v>
      </c>
      <c r="F20" s="7" t="s">
        <v>193</v>
      </c>
      <c r="G20" s="7" t="s">
        <v>86</v>
      </c>
      <c r="H20" s="7">
        <v>1422400011463</v>
      </c>
      <c r="I20" s="7" t="s">
        <v>194</v>
      </c>
      <c r="J20" s="7" t="s">
        <v>118</v>
      </c>
      <c r="K20" s="9" t="s">
        <v>195</v>
      </c>
      <c r="L20" s="7" t="s">
        <v>110</v>
      </c>
      <c r="M20" s="9"/>
      <c r="N20" t="str" cm="1">
        <f t="array" ref="N20">IFERROR(INDEX('COA TABLE FORM'!$B$2:$B$66,MATCH(1,('COA TABLE FORM'!$E$2:$E$66=$O20)*(ISNUMBER(SEARCH($P20,'COA TABLE FORM'!$B$2:$B$66))),0)),"")</f>
        <v>Electricity</v>
      </c>
      <c r="O20" t="str">
        <f t="shared" si="2"/>
        <v>Utilities Charges</v>
      </c>
      <c r="P20" t="str">
        <f t="shared" si="3"/>
        <v>Electricity</v>
      </c>
    </row>
    <row r="21" spans="1:16" ht="15.75" thickBot="1" x14ac:dyDescent="0.3">
      <c r="A21" t="str">
        <f>IFERROR(INDEX('COA TABLE FORM'!$A$2:$A$66,MATCH($O21,'COA TABLE FORM'!$E$2:$E$66,0)),"")</f>
        <v> Utilities Charges</v>
      </c>
      <c r="B21" t="str" cm="1">
        <f t="array" ref="B21">IFERROR(INDEX('COA TABLE FORM'!$C$2:$C$66,MATCH(1,('COA TABLE FORM'!$E$2:$E$66=$O21)*(ISNUMBER(SEARCH($P21,'COA TABLE FORM'!$B$2:$B$66))),0)),"")</f>
        <v>5008 - ELECTRICITY CHARGES</v>
      </c>
      <c r="C21" s="7" t="s">
        <v>158</v>
      </c>
      <c r="D21" s="8" t="s">
        <v>196</v>
      </c>
      <c r="E21" t="str">
        <f t="shared" si="0"/>
        <v>S-P3300253</v>
      </c>
      <c r="F21" s="7" t="s">
        <v>197</v>
      </c>
      <c r="G21" s="7" t="s">
        <v>86</v>
      </c>
      <c r="H21" s="7" t="s">
        <v>198</v>
      </c>
      <c r="I21" s="7" t="s">
        <v>199</v>
      </c>
      <c r="J21" s="7" t="s">
        <v>118</v>
      </c>
      <c r="K21" s="9" t="s">
        <v>200</v>
      </c>
      <c r="L21" s="7" t="s">
        <v>110</v>
      </c>
      <c r="M21" s="9"/>
      <c r="N21" t="str" cm="1">
        <f t="array" ref="N21">IFERROR(INDEX('COA TABLE FORM'!$B$2:$B$66,MATCH(1,('COA TABLE FORM'!$E$2:$E$66=$O21)*(ISNUMBER(SEARCH($P21,'COA TABLE FORM'!$B$2:$B$66))),0)),"")</f>
        <v>Electricity</v>
      </c>
      <c r="O21" t="str">
        <f t="shared" si="2"/>
        <v>Utilities Charges</v>
      </c>
      <c r="P21" t="str">
        <f t="shared" si="3"/>
        <v>Electricity</v>
      </c>
    </row>
    <row r="22" spans="1:16" ht="15.75" thickBot="1" x14ac:dyDescent="0.3">
      <c r="A22" t="str">
        <f>IFERROR(INDEX('COA TABLE FORM'!$A$2:$A$66,MATCH($O22,'COA TABLE FORM'!$E$2:$E$66,0)),"")</f>
        <v> Utilities Charges</v>
      </c>
      <c r="B22" t="str" cm="1">
        <f t="array" ref="B22">IFERROR(INDEX('COA TABLE FORM'!$C$2:$C$66,MATCH(1,('COA TABLE FORM'!$E$2:$E$66=$O22)*(ISNUMBER(SEARCH($P22,'COA TABLE FORM'!$B$2:$B$66))),0)),"")</f>
        <v>5008 - ELECTRICITY CHARGES</v>
      </c>
      <c r="C22" s="7" t="s">
        <v>158</v>
      </c>
      <c r="D22" s="8" t="s">
        <v>201</v>
      </c>
      <c r="E22" t="str">
        <f t="shared" si="0"/>
        <v>S-P 3300228</v>
      </c>
      <c r="F22" s="7" t="s">
        <v>202</v>
      </c>
      <c r="G22" s="7" t="s">
        <v>86</v>
      </c>
      <c r="H22" s="7" t="s">
        <v>203</v>
      </c>
      <c r="I22" s="7" t="s">
        <v>204</v>
      </c>
      <c r="J22" s="7" t="s">
        <v>118</v>
      </c>
      <c r="K22" s="9" t="s">
        <v>205</v>
      </c>
      <c r="L22" s="7" t="s">
        <v>110</v>
      </c>
      <c r="M22" s="9"/>
      <c r="N22" t="str" cm="1">
        <f t="array" ref="N22">IFERROR(INDEX('COA TABLE FORM'!$B$2:$B$66,MATCH(1,('COA TABLE FORM'!$E$2:$E$66=$O22)*(ISNUMBER(SEARCH($P22,'COA TABLE FORM'!$B$2:$B$66))),0)),"")</f>
        <v>Electricity</v>
      </c>
      <c r="O22" t="str">
        <f t="shared" si="2"/>
        <v>Utilities Charges</v>
      </c>
      <c r="P22" t="str">
        <f t="shared" si="3"/>
        <v>Electricity</v>
      </c>
    </row>
    <row r="23" spans="1:16" ht="15.75" thickBot="1" x14ac:dyDescent="0.3">
      <c r="A23" t="str">
        <f>IFERROR(INDEX('COA TABLE FORM'!$A$2:$A$66,MATCH($O23,'COA TABLE FORM'!$E$2:$E$66,0)),"")</f>
        <v> Utilities Charges</v>
      </c>
      <c r="B23" t="str" cm="1">
        <f t="array" ref="B23">IFERROR(INDEX('COA TABLE FORM'!$C$2:$C$66,MATCH(1,('COA TABLE FORM'!$E$2:$E$66=$O23)*(ISNUMBER(SEARCH($P23,'COA TABLE FORM'!$B$2:$B$66))),0)),"")</f>
        <v>5008 - ELECTRICITY CHARGES</v>
      </c>
      <c r="C23" s="7" t="s">
        <v>158</v>
      </c>
      <c r="D23" s="8" t="s">
        <v>206</v>
      </c>
      <c r="E23" t="str">
        <f t="shared" si="0"/>
        <v>S-P-373797</v>
      </c>
      <c r="F23" s="7" t="s">
        <v>207</v>
      </c>
      <c r="G23" s="7" t="s">
        <v>86</v>
      </c>
      <c r="H23" s="7" t="s">
        <v>208</v>
      </c>
      <c r="I23" s="7" t="s">
        <v>209</v>
      </c>
      <c r="J23" s="7" t="s">
        <v>118</v>
      </c>
      <c r="K23" s="9" t="s">
        <v>210</v>
      </c>
      <c r="L23" s="7" t="s">
        <v>110</v>
      </c>
      <c r="M23" s="9"/>
      <c r="N23" t="str" cm="1">
        <f t="array" ref="N23">IFERROR(INDEX('COA TABLE FORM'!$B$2:$B$66,MATCH(1,('COA TABLE FORM'!$E$2:$E$66=$O23)*(ISNUMBER(SEARCH($P23,'COA TABLE FORM'!$B$2:$B$66))),0)),"")</f>
        <v>Electricity</v>
      </c>
      <c r="O23" t="str">
        <f t="shared" si="2"/>
        <v>Utilities Charges</v>
      </c>
      <c r="P23" t="str">
        <f t="shared" si="3"/>
        <v>Electricity</v>
      </c>
    </row>
    <row r="24" spans="1:16" ht="15.75" thickBot="1" x14ac:dyDescent="0.3">
      <c r="A24" t="str">
        <f>IFERROR(INDEX('COA TABLE FORM'!$A$2:$A$66,MATCH($O24,'COA TABLE FORM'!$E$2:$E$66,0)),"")</f>
        <v> Utilities Charges</v>
      </c>
      <c r="B24" t="str" cm="1">
        <f t="array" ref="B24">IFERROR(INDEX('COA TABLE FORM'!$C$2:$C$66,MATCH(1,('COA TABLE FORM'!$E$2:$E$66=$O24)*(ISNUMBER(SEARCH($P24,'COA TABLE FORM'!$B$2:$B$66))),0)),"")</f>
        <v>5008 - ELECTRICITY CHARGES</v>
      </c>
      <c r="C24" s="7" t="s">
        <v>158</v>
      </c>
      <c r="D24" s="8" t="s">
        <v>211</v>
      </c>
      <c r="E24" t="str">
        <f t="shared" si="0"/>
        <v>3-P-21025</v>
      </c>
      <c r="F24" s="7" t="s">
        <v>212</v>
      </c>
      <c r="G24" s="7" t="s">
        <v>86</v>
      </c>
      <c r="H24" s="7" t="s">
        <v>213</v>
      </c>
      <c r="I24" s="7" t="s">
        <v>214</v>
      </c>
      <c r="J24" s="7" t="s">
        <v>118</v>
      </c>
      <c r="K24" s="9" t="s">
        <v>215</v>
      </c>
      <c r="L24" s="7" t="s">
        <v>110</v>
      </c>
      <c r="M24" s="9"/>
      <c r="N24" t="str" cm="1">
        <f t="array" ref="N24">IFERROR(INDEX('COA TABLE FORM'!$B$2:$B$66,MATCH(1,('COA TABLE FORM'!$E$2:$E$66=$O24)*(ISNUMBER(SEARCH($P24,'COA TABLE FORM'!$B$2:$B$66))),0)),"")</f>
        <v>Electricity</v>
      </c>
      <c r="O24" t="str">
        <f t="shared" si="2"/>
        <v>Utilities Charges</v>
      </c>
      <c r="P24" t="str">
        <f t="shared" si="3"/>
        <v>Electricity</v>
      </c>
    </row>
    <row r="25" spans="1:16" ht="15.75" thickBot="1" x14ac:dyDescent="0.3">
      <c r="A25" t="str">
        <f>IFERROR(INDEX('COA TABLE FORM'!$A$2:$A$66,MATCH($O25,'COA TABLE FORM'!$E$2:$E$66,0)),"")</f>
        <v> Utilities Charges</v>
      </c>
      <c r="B25" t="str" cm="1">
        <f t="array" ref="B25">IFERROR(INDEX('COA TABLE FORM'!$C$2:$C$66,MATCH(1,('COA TABLE FORM'!$E$2:$E$66=$O25)*(ISNUMBER(SEARCH($P25,'COA TABLE FORM'!$B$2:$B$66))),0)),"")</f>
        <v>5008 - ELECTRICITY CHARGES</v>
      </c>
      <c r="C25" s="7" t="s">
        <v>158</v>
      </c>
      <c r="D25" s="8" t="s">
        <v>216</v>
      </c>
      <c r="E25" t="str">
        <f t="shared" si="0"/>
        <v>3-P 5470205</v>
      </c>
      <c r="F25" s="7" t="s">
        <v>217</v>
      </c>
      <c r="G25" s="7" t="s">
        <v>86</v>
      </c>
      <c r="H25" s="7" t="s">
        <v>218</v>
      </c>
      <c r="I25" s="7" t="s">
        <v>219</v>
      </c>
      <c r="J25" s="7" t="s">
        <v>118</v>
      </c>
      <c r="K25" s="9" t="s">
        <v>220</v>
      </c>
      <c r="L25" s="7" t="s">
        <v>110</v>
      </c>
      <c r="M25" s="9"/>
      <c r="N25" t="str" cm="1">
        <f t="array" ref="N25">IFERROR(INDEX('COA TABLE FORM'!$B$2:$B$66,MATCH(1,('COA TABLE FORM'!$E$2:$E$66=$O25)*(ISNUMBER(SEARCH($P25,'COA TABLE FORM'!$B$2:$B$66))),0)),"")</f>
        <v>Electricity</v>
      </c>
      <c r="O25" t="str">
        <f t="shared" si="2"/>
        <v>Utilities Charges</v>
      </c>
      <c r="P25" t="str">
        <f t="shared" si="3"/>
        <v>Electricity</v>
      </c>
    </row>
    <row r="26" spans="1:16" ht="15.75" thickBot="1" x14ac:dyDescent="0.3">
      <c r="A26" t="str">
        <f>IFERROR(INDEX('COA TABLE FORM'!$A$2:$A$66,MATCH($O26,'COA TABLE FORM'!$E$2:$E$66,0)),"")</f>
        <v> Utilities Charges</v>
      </c>
      <c r="B26" t="str" cm="1">
        <f t="array" ref="B26">IFERROR(INDEX('COA TABLE FORM'!$C$2:$C$66,MATCH(1,('COA TABLE FORM'!$E$2:$E$66=$O26)*(ISNUMBER(SEARCH($P26,'COA TABLE FORM'!$B$2:$B$66))),0)),"")</f>
        <v>5008 - ELECTRICITY CHARGES</v>
      </c>
      <c r="C26" s="7" t="s">
        <v>158</v>
      </c>
      <c r="D26" s="8" t="s">
        <v>221</v>
      </c>
      <c r="E26" t="str">
        <f t="shared" si="0"/>
        <v>3-P 60709</v>
      </c>
      <c r="F26" s="7" t="s">
        <v>222</v>
      </c>
      <c r="G26" s="7" t="s">
        <v>86</v>
      </c>
      <c r="H26" s="7" t="s">
        <v>161</v>
      </c>
      <c r="I26" s="7" t="s">
        <v>223</v>
      </c>
      <c r="J26" s="7" t="s">
        <v>118</v>
      </c>
      <c r="K26" s="9" t="s">
        <v>224</v>
      </c>
      <c r="L26" s="7" t="s">
        <v>110</v>
      </c>
      <c r="M26" s="9"/>
      <c r="N26" t="str" cm="1">
        <f t="array" ref="N26">IFERROR(INDEX('COA TABLE FORM'!$B$2:$B$66,MATCH(1,('COA TABLE FORM'!$E$2:$E$66=$O26)*(ISNUMBER(SEARCH($P26,'COA TABLE FORM'!$B$2:$B$66))),0)),"")</f>
        <v>Electricity</v>
      </c>
      <c r="O26" t="str">
        <f t="shared" si="2"/>
        <v>Utilities Charges</v>
      </c>
      <c r="P26" t="str">
        <f t="shared" si="3"/>
        <v>Electricity</v>
      </c>
    </row>
    <row r="27" spans="1:16" ht="15.75" thickBot="1" x14ac:dyDescent="0.3">
      <c r="A27" t="str">
        <f>IFERROR(INDEX('COA TABLE FORM'!$A$2:$A$66,MATCH($O27,'COA TABLE FORM'!$E$2:$E$66,0)),"")</f>
        <v> Utilities Charges</v>
      </c>
      <c r="B27" t="str" cm="1">
        <f t="array" ref="B27">IFERROR(INDEX('COA TABLE FORM'!$C$2:$C$66,MATCH(1,('COA TABLE FORM'!$E$2:$E$66=$O27)*(ISNUMBER(SEARCH($P27,'COA TABLE FORM'!$B$2:$B$66))),0)),"")</f>
        <v>5008 - ELECTRICITY CHARGES</v>
      </c>
      <c r="C27" s="7" t="s">
        <v>158</v>
      </c>
      <c r="D27" s="8" t="s">
        <v>225</v>
      </c>
      <c r="E27" t="str">
        <f t="shared" si="0"/>
        <v>SP-40008429</v>
      </c>
      <c r="F27" s="7" t="s">
        <v>226</v>
      </c>
      <c r="G27" s="7" t="s">
        <v>86</v>
      </c>
      <c r="H27" s="7" t="s">
        <v>227</v>
      </c>
      <c r="I27" s="7" t="s">
        <v>228</v>
      </c>
      <c r="J27" s="7" t="s">
        <v>118</v>
      </c>
      <c r="K27" s="9" t="s">
        <v>229</v>
      </c>
      <c r="L27" s="7" t="s">
        <v>110</v>
      </c>
      <c r="M27" s="9"/>
      <c r="N27" t="str" cm="1">
        <f t="array" ref="N27">IFERROR(INDEX('COA TABLE FORM'!$B$2:$B$66,MATCH(1,('COA TABLE FORM'!$E$2:$E$66=$O27)*(ISNUMBER(SEARCH($P27,'COA TABLE FORM'!$B$2:$B$66))),0)),"")</f>
        <v>Electricity</v>
      </c>
      <c r="O27" t="str">
        <f t="shared" si="2"/>
        <v>Utilities Charges</v>
      </c>
      <c r="P27" t="str">
        <f t="shared" si="3"/>
        <v>Electricity</v>
      </c>
    </row>
    <row r="28" spans="1:16" ht="15.75" thickBot="1" x14ac:dyDescent="0.3">
      <c r="A28" t="str">
        <f>IFERROR(INDEX('COA TABLE FORM'!$A$2:$A$66,MATCH($O28,'COA TABLE FORM'!$E$2:$E$66,0)),"")</f>
        <v> Utilities Charges</v>
      </c>
      <c r="B28" t="str" cm="1">
        <f t="array" ref="B28">IFERROR(INDEX('COA TABLE FORM'!$C$2:$C$66,MATCH(1,('COA TABLE FORM'!$E$2:$E$66=$O28)*(ISNUMBER(SEARCH($P28,'COA TABLE FORM'!$B$2:$B$66))),0)),"")</f>
        <v>5008 - ELECTRICITY CHARGES</v>
      </c>
      <c r="C28" s="7" t="s">
        <v>158</v>
      </c>
      <c r="D28" s="8" t="s">
        <v>230</v>
      </c>
      <c r="E28" t="str">
        <f t="shared" si="0"/>
        <v>3-P 40008427</v>
      </c>
      <c r="F28" s="7" t="s">
        <v>231</v>
      </c>
      <c r="G28" s="7" t="s">
        <v>86</v>
      </c>
      <c r="H28" s="7" t="s">
        <v>232</v>
      </c>
      <c r="I28" s="7" t="s">
        <v>233</v>
      </c>
      <c r="J28" s="7" t="s">
        <v>118</v>
      </c>
      <c r="K28" s="9" t="s">
        <v>234</v>
      </c>
      <c r="L28" s="7" t="s">
        <v>110</v>
      </c>
      <c r="M28" s="9"/>
      <c r="N28" t="str" cm="1">
        <f t="array" ref="N28">IFERROR(INDEX('COA TABLE FORM'!$B$2:$B$66,MATCH(1,('COA TABLE FORM'!$E$2:$E$66=$O28)*(ISNUMBER(SEARCH($P28,'COA TABLE FORM'!$B$2:$B$66))),0)),"")</f>
        <v>Electricity</v>
      </c>
      <c r="O28" t="str">
        <f t="shared" si="2"/>
        <v>Utilities Charges</v>
      </c>
      <c r="P28" t="str">
        <f t="shared" si="3"/>
        <v>Electricity</v>
      </c>
    </row>
    <row r="29" spans="1:16" ht="15.75" thickBot="1" x14ac:dyDescent="0.3">
      <c r="A29" t="str">
        <f>IFERROR(INDEX('COA TABLE FORM'!$A$2:$A$66,MATCH($O29,'COA TABLE FORM'!$E$2:$E$66,0)),"")</f>
        <v> Utilities Charges</v>
      </c>
      <c r="B29" t="str" cm="1">
        <f t="array" ref="B29">IFERROR(INDEX('COA TABLE FORM'!$C$2:$C$66,MATCH(1,('COA TABLE FORM'!$E$2:$E$66=$O29)*(ISNUMBER(SEARCH($P29,'COA TABLE FORM'!$B$2:$B$66))),0)),"")</f>
        <v>5008 - ELECTRICITY CHARGES</v>
      </c>
      <c r="C29" s="7" t="s">
        <v>158</v>
      </c>
      <c r="D29" s="8" t="s">
        <v>235</v>
      </c>
      <c r="E29" t="str">
        <f t="shared" si="0"/>
        <v>3-P 40008426</v>
      </c>
      <c r="F29" s="7" t="s">
        <v>236</v>
      </c>
      <c r="G29" s="7" t="s">
        <v>86</v>
      </c>
      <c r="H29" s="7" t="s">
        <v>237</v>
      </c>
      <c r="I29" s="7" t="s">
        <v>238</v>
      </c>
      <c r="J29" s="7" t="s">
        <v>118</v>
      </c>
      <c r="K29" s="9" t="s">
        <v>239</v>
      </c>
      <c r="L29" s="7" t="s">
        <v>110</v>
      </c>
      <c r="M29" s="9"/>
      <c r="N29" t="str" cm="1">
        <f t="array" ref="N29">IFERROR(INDEX('COA TABLE FORM'!$B$2:$B$66,MATCH(1,('COA TABLE FORM'!$E$2:$E$66=$O29)*(ISNUMBER(SEARCH($P29,'COA TABLE FORM'!$B$2:$B$66))),0)),"")</f>
        <v>Electricity</v>
      </c>
      <c r="O29" t="str">
        <f t="shared" si="2"/>
        <v>Utilities Charges</v>
      </c>
      <c r="P29" t="str">
        <f t="shared" si="3"/>
        <v>Electricity</v>
      </c>
    </row>
    <row r="30" spans="1:16" ht="15.75" thickBot="1" x14ac:dyDescent="0.3">
      <c r="A30" t="str">
        <f>IFERROR(INDEX('COA TABLE FORM'!$A$2:$A$66,MATCH($O30,'COA TABLE FORM'!$E$2:$E$66,0)),"")</f>
        <v> Utilities Charges</v>
      </c>
      <c r="B30" t="str" cm="1">
        <f t="array" ref="B30">IFERROR(INDEX('COA TABLE FORM'!$C$2:$C$66,MATCH(1,('COA TABLE FORM'!$E$2:$E$66=$O30)*(ISNUMBER(SEARCH($P30,'COA TABLE FORM'!$B$2:$B$66))),0)),"")</f>
        <v>5008 - ELECTRICITY CHARGES</v>
      </c>
      <c r="C30" s="7" t="s">
        <v>158</v>
      </c>
      <c r="D30" s="8" t="s">
        <v>240</v>
      </c>
      <c r="E30" t="str">
        <f t="shared" si="0"/>
        <v>S-P 9729378</v>
      </c>
      <c r="F30" s="7" t="s">
        <v>241</v>
      </c>
      <c r="G30" s="7" t="s">
        <v>86</v>
      </c>
      <c r="H30" s="7" t="s">
        <v>242</v>
      </c>
      <c r="I30" s="7" t="s">
        <v>243</v>
      </c>
      <c r="J30" s="7" t="s">
        <v>118</v>
      </c>
      <c r="K30" s="9" t="s">
        <v>244</v>
      </c>
      <c r="L30" s="7" t="s">
        <v>110</v>
      </c>
      <c r="M30" s="9"/>
      <c r="N30" t="str" cm="1">
        <f t="array" ref="N30">IFERROR(INDEX('COA TABLE FORM'!$B$2:$B$66,MATCH(1,('COA TABLE FORM'!$E$2:$E$66=$O30)*(ISNUMBER(SEARCH($P30,'COA TABLE FORM'!$B$2:$B$66))),0)),"")</f>
        <v>Electricity</v>
      </c>
      <c r="O30" t="str">
        <f t="shared" si="2"/>
        <v>Utilities Charges</v>
      </c>
      <c r="P30" t="str">
        <f t="shared" si="3"/>
        <v>Electricity</v>
      </c>
    </row>
    <row r="31" spans="1:16" ht="15.75" thickBot="1" x14ac:dyDescent="0.3">
      <c r="A31" t="str">
        <f>IFERROR(INDEX('COA TABLE FORM'!$A$2:$A$66,MATCH($O31,'COA TABLE FORM'!$E$2:$E$66,0)),"")</f>
        <v> Utilities Charges</v>
      </c>
      <c r="B31" t="str" cm="1">
        <f t="array" ref="B31">IFERROR(INDEX('COA TABLE FORM'!$C$2:$C$66,MATCH(1,('COA TABLE FORM'!$E$2:$E$66=$O31)*(ISNUMBER(SEARCH($P31,'COA TABLE FORM'!$B$2:$B$66))),0)),"")</f>
        <v>5008 - ELECTRICITY CHARGES</v>
      </c>
      <c r="C31" s="7" t="s">
        <v>158</v>
      </c>
      <c r="D31" s="8" t="s">
        <v>245</v>
      </c>
      <c r="E31" t="str">
        <f t="shared" si="0"/>
        <v>3-P 01322400015801</v>
      </c>
      <c r="F31" s="7" t="s">
        <v>246</v>
      </c>
      <c r="G31" s="7" t="s">
        <v>86</v>
      </c>
      <c r="H31" s="7" t="s">
        <v>247</v>
      </c>
      <c r="I31" s="7" t="s">
        <v>248</v>
      </c>
      <c r="J31" s="7" t="s">
        <v>118</v>
      </c>
      <c r="K31" s="9" t="s">
        <v>249</v>
      </c>
      <c r="L31" s="7" t="s">
        <v>110</v>
      </c>
      <c r="M31" s="9"/>
      <c r="N31" t="str" cm="1">
        <f t="array" ref="N31">IFERROR(INDEX('COA TABLE FORM'!$B$2:$B$66,MATCH(1,('COA TABLE FORM'!$E$2:$E$66=$O31)*(ISNUMBER(SEARCH($P31,'COA TABLE FORM'!$B$2:$B$66))),0)),"")</f>
        <v>Electricity</v>
      </c>
      <c r="O31" t="str">
        <f t="shared" si="2"/>
        <v>Utilities Charges</v>
      </c>
      <c r="P31" t="str">
        <f t="shared" si="3"/>
        <v>Electricity</v>
      </c>
    </row>
    <row r="32" spans="1:16" ht="15.75" thickBot="1" x14ac:dyDescent="0.3">
      <c r="A32" t="str">
        <f>IFERROR(INDEX('COA TABLE FORM'!$A$2:$A$66,MATCH($O32,'COA TABLE FORM'!$E$2:$E$66,0)),"")</f>
        <v> Utilities Charges</v>
      </c>
      <c r="B32" t="str" cm="1">
        <f t="array" ref="B32">IFERROR(INDEX('COA TABLE FORM'!$C$2:$C$66,MATCH(1,('COA TABLE FORM'!$E$2:$E$66=$O32)*(ISNUMBER(SEARCH($P32,'COA TABLE FORM'!$B$2:$B$66))),0)),"")</f>
        <v>5008 - ELECTRICITY CHARGES</v>
      </c>
      <c r="C32" s="7" t="s">
        <v>158</v>
      </c>
      <c r="D32" s="8" t="s">
        <v>250</v>
      </c>
      <c r="E32" t="str">
        <f t="shared" si="0"/>
        <v>A00004</v>
      </c>
      <c r="F32" s="7" t="s">
        <v>251</v>
      </c>
      <c r="G32" s="7" t="s">
        <v>86</v>
      </c>
      <c r="H32" s="7" t="s">
        <v>252</v>
      </c>
      <c r="I32" s="7" t="s">
        <v>253</v>
      </c>
      <c r="J32" s="7" t="s">
        <v>118</v>
      </c>
      <c r="K32" s="9" t="s">
        <v>254</v>
      </c>
      <c r="L32" s="7" t="s">
        <v>110</v>
      </c>
      <c r="M32" s="9"/>
      <c r="N32" t="str" cm="1">
        <f t="array" ref="N32">IFERROR(INDEX('COA TABLE FORM'!$B$2:$B$66,MATCH(1,('COA TABLE FORM'!$E$2:$E$66=$O32)*(ISNUMBER(SEARCH($P32,'COA TABLE FORM'!$B$2:$B$66))),0)),"")</f>
        <v>Electricity</v>
      </c>
      <c r="O32" t="str">
        <f t="shared" si="2"/>
        <v>Utilities Charges</v>
      </c>
      <c r="P32" t="str">
        <f t="shared" si="3"/>
        <v>Electricity</v>
      </c>
    </row>
    <row r="33" spans="1:16" ht="15.75" thickBot="1" x14ac:dyDescent="0.3">
      <c r="A33" t="str">
        <f>IFERROR(INDEX('COA TABLE FORM'!$A$2:$A$66,MATCH($O33,'COA TABLE FORM'!$E$2:$E$66,0)),"")</f>
        <v> Utilities Charges</v>
      </c>
      <c r="B33" t="str" cm="1">
        <f t="array" ref="B33">IFERROR(INDEX('COA TABLE FORM'!$C$2:$C$66,MATCH(1,('COA TABLE FORM'!$E$2:$E$66=$O33)*(ISNUMBER(SEARCH($P33,'COA TABLE FORM'!$B$2:$B$66))),0)),"")</f>
        <v>5008 - ELECTRICITY CHARGES</v>
      </c>
      <c r="C33" s="7" t="s">
        <v>158</v>
      </c>
      <c r="D33" s="8" t="s">
        <v>255</v>
      </c>
      <c r="E33" t="str">
        <f t="shared" si="0"/>
        <v>S-P-085237</v>
      </c>
      <c r="F33" s="7" t="s">
        <v>256</v>
      </c>
      <c r="G33" s="7" t="s">
        <v>86</v>
      </c>
      <c r="H33" s="7" t="s">
        <v>257</v>
      </c>
      <c r="I33" s="7" t="s">
        <v>258</v>
      </c>
      <c r="J33" s="7" t="s">
        <v>118</v>
      </c>
      <c r="K33" s="9" t="s">
        <v>259</v>
      </c>
      <c r="L33" s="7" t="s">
        <v>110</v>
      </c>
      <c r="N33" t="str" cm="1">
        <f t="array" ref="N33">IFERROR(INDEX('COA TABLE FORM'!$B$2:$B$66,MATCH(1,('COA TABLE FORM'!$E$2:$E$66=$O33)*(ISNUMBER(SEARCH($P33,'COA TABLE FORM'!$B$2:$B$66))),0)),"")</f>
        <v>Electricity</v>
      </c>
      <c r="O33" t="str">
        <f t="shared" si="2"/>
        <v>Utilities Charges</v>
      </c>
      <c r="P33" t="str">
        <f t="shared" si="3"/>
        <v>Electricity</v>
      </c>
    </row>
    <row r="34" spans="1:16" ht="15.75" thickBot="1" x14ac:dyDescent="0.3">
      <c r="A34" t="str">
        <f>IFERROR(INDEX('COA TABLE FORM'!$A$2:$A$66,MATCH($O34,'COA TABLE FORM'!$E$2:$E$66,0)),"")</f>
        <v> Utilities Charges</v>
      </c>
      <c r="B34" t="str" cm="1">
        <f t="array" ref="B34">IFERROR(INDEX('COA TABLE FORM'!$C$2:$C$66,MATCH(1,('COA TABLE FORM'!$E$2:$E$66=$O34)*(ISNUMBER(SEARCH($P34,'COA TABLE FORM'!$B$2:$B$66))),0)),"")</f>
        <v>5008 - ELECTRICITY CHARGES</v>
      </c>
      <c r="C34" s="7" t="s">
        <v>158</v>
      </c>
      <c r="D34" s="8" t="s">
        <v>260</v>
      </c>
      <c r="E34" t="str">
        <f t="shared" ref="E34:E65" si="4">IFERROR(MID(F34,FIND("@",SUBSTITUTE(F34,"(","@",LEN(F34)-LEN(SUBSTITUTE(F34,"(",""))))+1,FIND("@",SUBSTITUTE(F34,")","@",LEN(F34)-LEN(SUBSTITUTE(F34,")",""))))-FIND("@",SUBSTITUTE(F34,"(","@",LEN(F34)-LEN(SUBSTITUTE(F34,"(",""))))-1),"")</f>
        <v>S-P 01075489</v>
      </c>
      <c r="F34" s="7" t="s">
        <v>261</v>
      </c>
      <c r="G34" s="7" t="s">
        <v>86</v>
      </c>
      <c r="H34" s="7" t="s">
        <v>262</v>
      </c>
      <c r="I34" s="7" t="s">
        <v>263</v>
      </c>
      <c r="J34" s="7" t="s">
        <v>118</v>
      </c>
      <c r="K34" s="9" t="s">
        <v>264</v>
      </c>
      <c r="L34" s="7" t="s">
        <v>110</v>
      </c>
      <c r="M34" s="9"/>
      <c r="N34" t="str" cm="1">
        <f t="array" ref="N34">IFERROR(INDEX('COA TABLE FORM'!$B$2:$B$66,MATCH(1,('COA TABLE FORM'!$E$2:$E$66=$O34)*(ISNUMBER(SEARCH($P34,'COA TABLE FORM'!$B$2:$B$66))),0)),"")</f>
        <v>Electricity</v>
      </c>
      <c r="O34" t="str">
        <f t="shared" si="2"/>
        <v>Utilities Charges</v>
      </c>
      <c r="P34" t="str">
        <f t="shared" si="3"/>
        <v>Electricity</v>
      </c>
    </row>
    <row r="35" spans="1:16" ht="15.75" thickBot="1" x14ac:dyDescent="0.3">
      <c r="A35" t="str">
        <f>IFERROR(INDEX('COA TABLE FORM'!$A$2:$A$66,MATCH($O35,'COA TABLE FORM'!$E$2:$E$66,0)),"")</f>
        <v> Utilities Charges</v>
      </c>
      <c r="B35" t="str" cm="1">
        <f t="array" ref="B35">IFERROR(INDEX('COA TABLE FORM'!$C$2:$C$66,MATCH(1,('COA TABLE FORM'!$E$2:$E$66=$O35)*(ISNUMBER(SEARCH($P35,'COA TABLE FORM'!$B$2:$B$66))),0)),"")</f>
        <v>5008 - ELECTRICITY CHARGES</v>
      </c>
      <c r="C35" s="7" t="s">
        <v>158</v>
      </c>
      <c r="D35" s="8" t="s">
        <v>265</v>
      </c>
      <c r="E35" t="str">
        <f t="shared" si="4"/>
        <v>3-P10106</v>
      </c>
      <c r="F35" s="7" t="s">
        <v>266</v>
      </c>
      <c r="G35" s="7" t="s">
        <v>86</v>
      </c>
      <c r="H35" s="7" t="s">
        <v>267</v>
      </c>
      <c r="I35" s="7" t="s">
        <v>268</v>
      </c>
      <c r="J35" s="7" t="s">
        <v>111</v>
      </c>
      <c r="K35" s="9" t="s">
        <v>269</v>
      </c>
      <c r="L35" s="7" t="s">
        <v>110</v>
      </c>
      <c r="M35" s="9"/>
      <c r="N35" t="str" cm="1">
        <f t="array" ref="N35">IFERROR(INDEX('COA TABLE FORM'!$B$2:$B$66,MATCH(1,('COA TABLE FORM'!$E$2:$E$66=$O35)*(ISNUMBER(SEARCH($P35,'COA TABLE FORM'!$B$2:$B$66))),0)),"")</f>
        <v>Electricity</v>
      </c>
      <c r="O35" t="str">
        <f t="shared" si="2"/>
        <v>Utilities Charges</v>
      </c>
      <c r="P35" t="str">
        <f t="shared" si="3"/>
        <v>Electricity</v>
      </c>
    </row>
    <row r="36" spans="1:16" ht="15.75" thickBot="1" x14ac:dyDescent="0.3">
      <c r="A36" t="str">
        <f>IFERROR(INDEX('COA TABLE FORM'!$A$2:$A$66,MATCH($O36,'COA TABLE FORM'!$E$2:$E$66,0)),"")</f>
        <v> Utilities Charges</v>
      </c>
      <c r="B36" t="str" cm="1">
        <f t="array" ref="B36">IFERROR(INDEX('COA TABLE FORM'!$C$2:$C$66,MATCH(1,('COA TABLE FORM'!$E$2:$E$66=$O36)*(ISNUMBER(SEARCH($P36,'COA TABLE FORM'!$B$2:$B$66))),0)),"")</f>
        <v>5008 - ELECTRICITY CHARGES</v>
      </c>
      <c r="C36" s="7" t="s">
        <v>158</v>
      </c>
      <c r="D36" s="8" t="s">
        <v>270</v>
      </c>
      <c r="E36" t="str">
        <f t="shared" si="4"/>
        <v>3-P422</v>
      </c>
      <c r="F36" s="7" t="s">
        <v>271</v>
      </c>
      <c r="G36" s="7" t="s">
        <v>86</v>
      </c>
      <c r="H36" s="7" t="s">
        <v>272</v>
      </c>
      <c r="I36" s="7" t="s">
        <v>273</v>
      </c>
      <c r="J36" s="7" t="s">
        <v>111</v>
      </c>
      <c r="K36" s="9" t="s">
        <v>274</v>
      </c>
      <c r="L36" s="7" t="s">
        <v>110</v>
      </c>
      <c r="M36" s="9"/>
      <c r="N36" t="str" cm="1">
        <f t="array" ref="N36">IFERROR(INDEX('COA TABLE FORM'!$B$2:$B$66,MATCH(1,('COA TABLE FORM'!$E$2:$E$66=$O36)*(ISNUMBER(SEARCH($P36,'COA TABLE FORM'!$B$2:$B$66))),0)),"")</f>
        <v>Electricity</v>
      </c>
      <c r="O36" t="str">
        <f t="shared" si="2"/>
        <v>Utilities Charges</v>
      </c>
      <c r="P36" t="str">
        <f t="shared" si="3"/>
        <v>Electricity</v>
      </c>
    </row>
    <row r="37" spans="1:16" ht="15.75" thickBot="1" x14ac:dyDescent="0.3">
      <c r="A37" t="str">
        <f>IFERROR(INDEX('COA TABLE FORM'!$A$2:$A$66,MATCH($O37,'COA TABLE FORM'!$E$2:$E$66,0)),"")</f>
        <v> Utilities Charges</v>
      </c>
      <c r="B37" t="str" cm="1">
        <f t="array" ref="B37">IFERROR(INDEX('COA TABLE FORM'!$C$2:$C$66,MATCH(1,('COA TABLE FORM'!$E$2:$E$66=$O37)*(ISNUMBER(SEARCH($P37,'COA TABLE FORM'!$B$2:$B$66))),0)),"")</f>
        <v>5008 - ELECTRICITY CHARGES</v>
      </c>
      <c r="C37" s="7" t="s">
        <v>158</v>
      </c>
      <c r="D37" s="8" t="s">
        <v>275</v>
      </c>
      <c r="E37" t="str">
        <f t="shared" si="4"/>
        <v>1859</v>
      </c>
      <c r="F37" s="7" t="s">
        <v>276</v>
      </c>
      <c r="G37" s="7" t="s">
        <v>86</v>
      </c>
      <c r="H37" s="7">
        <v>1859</v>
      </c>
      <c r="I37" s="7" t="s">
        <v>277</v>
      </c>
      <c r="J37" s="7" t="s">
        <v>111</v>
      </c>
      <c r="K37" s="9" t="s">
        <v>278</v>
      </c>
      <c r="L37" s="7" t="s">
        <v>110</v>
      </c>
      <c r="M37" s="9"/>
      <c r="N37" t="str" cm="1">
        <f t="array" ref="N37">IFERROR(INDEX('COA TABLE FORM'!$B$2:$B$66,MATCH(1,('COA TABLE FORM'!$E$2:$E$66=$O37)*(ISNUMBER(SEARCH($P37,'COA TABLE FORM'!$B$2:$B$66))),0)),"")</f>
        <v>Electricity</v>
      </c>
      <c r="O37" t="str">
        <f t="shared" si="2"/>
        <v>Utilities Charges</v>
      </c>
      <c r="P37" t="str">
        <f t="shared" si="3"/>
        <v>Electricity</v>
      </c>
    </row>
    <row r="38" spans="1:16" ht="15.75" thickBot="1" x14ac:dyDescent="0.3">
      <c r="A38" t="str">
        <f>IFERROR(INDEX('COA TABLE FORM'!$A$2:$A$66,MATCH($O38,'COA TABLE FORM'!$E$2:$E$66,0)),"")</f>
        <v> Utilities Charges</v>
      </c>
      <c r="B38" t="str" cm="1">
        <f t="array" ref="B38">IFERROR(INDEX('COA TABLE FORM'!$C$2:$C$66,MATCH(1,('COA TABLE FORM'!$E$2:$E$66=$O38)*(ISNUMBER(SEARCH($P38,'COA TABLE FORM'!$B$2:$B$66))),0)),"")</f>
        <v>5008 - ELECTRICITY CHARGES</v>
      </c>
      <c r="C38" s="7" t="s">
        <v>158</v>
      </c>
      <c r="D38" s="8" t="s">
        <v>279</v>
      </c>
      <c r="E38" t="str">
        <f t="shared" si="4"/>
        <v>261267</v>
      </c>
      <c r="F38" s="7" t="s">
        <v>280</v>
      </c>
      <c r="G38" s="7" t="s">
        <v>86</v>
      </c>
      <c r="H38" s="7">
        <v>261267</v>
      </c>
      <c r="I38" s="7" t="s">
        <v>281</v>
      </c>
      <c r="J38" s="7" t="s">
        <v>111</v>
      </c>
      <c r="K38" s="9" t="s">
        <v>282</v>
      </c>
      <c r="L38" s="7" t="s">
        <v>110</v>
      </c>
      <c r="M38" s="9"/>
      <c r="N38" t="str" cm="1">
        <f t="array" ref="N38">IFERROR(INDEX('COA TABLE FORM'!$B$2:$B$66,MATCH(1,('COA TABLE FORM'!$E$2:$E$66=$O38)*(ISNUMBER(SEARCH($P38,'COA TABLE FORM'!$B$2:$B$66))),0)),"")</f>
        <v>Electricity</v>
      </c>
      <c r="O38" t="str">
        <f t="shared" si="2"/>
        <v>Utilities Charges</v>
      </c>
      <c r="P38" t="str">
        <f t="shared" si="3"/>
        <v>Electricity</v>
      </c>
    </row>
    <row r="39" spans="1:16" ht="15.75" thickBot="1" x14ac:dyDescent="0.3">
      <c r="A39" t="str">
        <f>IFERROR(INDEX('COA TABLE FORM'!$A$2:$A$66,MATCH($O39,'COA TABLE FORM'!$E$2:$E$66,0)),"")</f>
        <v> Utilities Charges</v>
      </c>
      <c r="B39" t="str" cm="1">
        <f t="array" ref="B39">IFERROR(INDEX('COA TABLE FORM'!$C$2:$C$66,MATCH(1,('COA TABLE FORM'!$E$2:$E$66=$O39)*(ISNUMBER(SEARCH($P39,'COA TABLE FORM'!$B$2:$B$66))),0)),"")</f>
        <v>5008 - ELECTRICITY CHARGES</v>
      </c>
      <c r="C39" s="7" t="s">
        <v>158</v>
      </c>
      <c r="D39" s="8" t="s">
        <v>283</v>
      </c>
      <c r="E39" t="str">
        <f t="shared" si="4"/>
        <v>S-P1748952</v>
      </c>
      <c r="F39" s="7" t="s">
        <v>284</v>
      </c>
      <c r="G39" s="7" t="s">
        <v>86</v>
      </c>
      <c r="H39" s="7" t="s">
        <v>285</v>
      </c>
      <c r="I39" s="7" t="s">
        <v>286</v>
      </c>
      <c r="J39" s="7" t="s">
        <v>111</v>
      </c>
      <c r="K39" s="9" t="s">
        <v>287</v>
      </c>
      <c r="L39" s="7" t="s">
        <v>110</v>
      </c>
      <c r="M39" s="9"/>
      <c r="N39" t="str" cm="1">
        <f t="array" ref="N39">IFERROR(INDEX('COA TABLE FORM'!$B$2:$B$66,MATCH(1,('COA TABLE FORM'!$E$2:$E$66=$O39)*(ISNUMBER(SEARCH($P39,'COA TABLE FORM'!$B$2:$B$66))),0)),"")</f>
        <v>Electricity</v>
      </c>
      <c r="O39" t="str">
        <f t="shared" si="2"/>
        <v>Utilities Charges</v>
      </c>
      <c r="P39" t="str">
        <f t="shared" si="3"/>
        <v>Electricity</v>
      </c>
    </row>
    <row r="40" spans="1:16" ht="15.75" thickBot="1" x14ac:dyDescent="0.3">
      <c r="A40" t="str">
        <f>IFERROR(INDEX('COA TABLE FORM'!$A$2:$A$66,MATCH($O40,'COA TABLE FORM'!$E$2:$E$66,0)),"")</f>
        <v> Utilities Charges</v>
      </c>
      <c r="B40" t="str" cm="1">
        <f t="array" ref="B40">IFERROR(INDEX('COA TABLE FORM'!$C$2:$C$66,MATCH(1,('COA TABLE FORM'!$E$2:$E$66=$O40)*(ISNUMBER(SEARCH($P40,'COA TABLE FORM'!$B$2:$B$66))),0)),"")</f>
        <v>5008 - ELECTRICITY CHARGES</v>
      </c>
      <c r="C40" s="7" t="s">
        <v>158</v>
      </c>
      <c r="D40" s="8" t="s">
        <v>288</v>
      </c>
      <c r="E40" t="str">
        <f t="shared" si="4"/>
        <v>335053</v>
      </c>
      <c r="F40" s="7" t="s">
        <v>289</v>
      </c>
      <c r="G40" s="7" t="s">
        <v>86</v>
      </c>
      <c r="H40" s="7">
        <v>335053</v>
      </c>
      <c r="I40" s="7" t="s">
        <v>290</v>
      </c>
      <c r="J40" s="7" t="s">
        <v>111</v>
      </c>
      <c r="K40" s="9" t="s">
        <v>291</v>
      </c>
      <c r="L40" s="7" t="s">
        <v>110</v>
      </c>
      <c r="M40" s="9"/>
      <c r="N40" t="str" cm="1">
        <f t="array" ref="N40">IFERROR(INDEX('COA TABLE FORM'!$B$2:$B$66,MATCH(1,('COA TABLE FORM'!$E$2:$E$66=$O40)*(ISNUMBER(SEARCH($P40,'COA TABLE FORM'!$B$2:$B$66))),0)),"")</f>
        <v>Electricity</v>
      </c>
      <c r="O40" t="str">
        <f t="shared" si="2"/>
        <v>Utilities Charges</v>
      </c>
      <c r="P40" t="str">
        <f t="shared" si="3"/>
        <v>Electricity</v>
      </c>
    </row>
    <row r="41" spans="1:16" ht="15.75" thickBot="1" x14ac:dyDescent="0.3">
      <c r="A41" t="str">
        <f>IFERROR(INDEX('COA TABLE FORM'!$A$2:$A$66,MATCH($O41,'COA TABLE FORM'!$E$2:$E$66,0)),"")</f>
        <v> Utilities Charges</v>
      </c>
      <c r="B41" t="str" cm="1">
        <f t="array" ref="B41">IFERROR(INDEX('COA TABLE FORM'!$C$2:$C$66,MATCH(1,('COA TABLE FORM'!$E$2:$E$66=$O41)*(ISNUMBER(SEARCH($P41,'COA TABLE FORM'!$B$2:$B$66))),0)),"")</f>
        <v>5008 - ELECTRICITY CHARGES</v>
      </c>
      <c r="C41" s="7" t="s">
        <v>158</v>
      </c>
      <c r="D41" s="8" t="s">
        <v>292</v>
      </c>
      <c r="E41" t="str">
        <f t="shared" si="4"/>
        <v>1422400011607</v>
      </c>
      <c r="F41" s="7" t="s">
        <v>293</v>
      </c>
      <c r="G41" s="7" t="s">
        <v>86</v>
      </c>
      <c r="H41" s="7">
        <v>1422400011607</v>
      </c>
      <c r="I41" s="7" t="s">
        <v>294</v>
      </c>
      <c r="J41" s="7" t="s">
        <v>111</v>
      </c>
      <c r="K41" s="9" t="s">
        <v>295</v>
      </c>
      <c r="L41" s="7" t="s">
        <v>110</v>
      </c>
      <c r="M41" s="9"/>
      <c r="N41" t="str" cm="1">
        <f t="array" ref="N41">IFERROR(INDEX('COA TABLE FORM'!$B$2:$B$66,MATCH(1,('COA TABLE FORM'!$E$2:$E$66=$O41)*(ISNUMBER(SEARCH($P41,'COA TABLE FORM'!$B$2:$B$66))),0)),"")</f>
        <v>Electricity</v>
      </c>
      <c r="O41" t="str">
        <f t="shared" si="2"/>
        <v>Utilities Charges</v>
      </c>
      <c r="P41" t="str">
        <f t="shared" si="3"/>
        <v>Electricity</v>
      </c>
    </row>
    <row r="42" spans="1:16" ht="15.75" thickBot="1" x14ac:dyDescent="0.3">
      <c r="A42" t="str">
        <f>IFERROR(INDEX('COA TABLE FORM'!$A$2:$A$66,MATCH($O42,'COA TABLE FORM'!$E$2:$E$66,0)),"")</f>
        <v> Utilities Charges</v>
      </c>
      <c r="B42" t="str" cm="1">
        <f t="array" ref="B42">IFERROR(INDEX('COA TABLE FORM'!$C$2:$C$66,MATCH(1,('COA TABLE FORM'!$E$2:$E$66=$O42)*(ISNUMBER(SEARCH($P42,'COA TABLE FORM'!$B$2:$B$66))),0)),"")</f>
        <v>5008 - ELECTRICITY CHARGES</v>
      </c>
      <c r="C42" s="7" t="s">
        <v>158</v>
      </c>
      <c r="D42" s="8" t="s">
        <v>296</v>
      </c>
      <c r="E42" t="str">
        <f t="shared" si="4"/>
        <v>S-P 184614</v>
      </c>
      <c r="F42" s="7" t="s">
        <v>297</v>
      </c>
      <c r="G42" s="7" t="s">
        <v>86</v>
      </c>
      <c r="H42" s="7" t="s">
        <v>298</v>
      </c>
      <c r="I42" s="7" t="s">
        <v>299</v>
      </c>
      <c r="J42" s="7" t="s">
        <v>111</v>
      </c>
      <c r="K42" s="9" t="s">
        <v>300</v>
      </c>
      <c r="L42" s="7" t="s">
        <v>110</v>
      </c>
      <c r="M42" s="9"/>
      <c r="N42" t="str" cm="1">
        <f t="array" ref="N42">IFERROR(INDEX('COA TABLE FORM'!$B$2:$B$66,MATCH(1,('COA TABLE FORM'!$E$2:$E$66=$O42)*(ISNUMBER(SEARCH($P42,'COA TABLE FORM'!$B$2:$B$66))),0)),"")</f>
        <v>Electricity</v>
      </c>
      <c r="O42" t="str">
        <f t="shared" si="2"/>
        <v>Utilities Charges</v>
      </c>
      <c r="P42" t="str">
        <f t="shared" si="3"/>
        <v>Electricity</v>
      </c>
    </row>
    <row r="43" spans="1:16" ht="15.75" thickBot="1" x14ac:dyDescent="0.3">
      <c r="A43" t="str">
        <f>IFERROR(INDEX('COA TABLE FORM'!$A$2:$A$66,MATCH($O43,'COA TABLE FORM'!$E$2:$E$66,0)),"")</f>
        <v> Utilities Charges</v>
      </c>
      <c r="B43" t="str" cm="1">
        <f t="array" ref="B43">IFERROR(INDEX('COA TABLE FORM'!$C$2:$C$66,MATCH(1,('COA TABLE FORM'!$E$2:$E$66=$O43)*(ISNUMBER(SEARCH($P43,'COA TABLE FORM'!$B$2:$B$66))),0)),"")</f>
        <v>5008 - ELECTRICITY CHARGES</v>
      </c>
      <c r="C43" s="7" t="s">
        <v>158</v>
      </c>
      <c r="D43" s="8" t="s">
        <v>301</v>
      </c>
      <c r="E43" t="str">
        <f t="shared" si="4"/>
        <v>S-P 358882</v>
      </c>
      <c r="F43" s="7" t="s">
        <v>302</v>
      </c>
      <c r="G43" s="7" t="s">
        <v>86</v>
      </c>
      <c r="H43" s="7" t="s">
        <v>303</v>
      </c>
      <c r="I43" s="7" t="s">
        <v>304</v>
      </c>
      <c r="J43" s="7" t="s">
        <v>111</v>
      </c>
      <c r="K43" s="9" t="s">
        <v>305</v>
      </c>
      <c r="L43" s="7" t="s">
        <v>110</v>
      </c>
      <c r="M43" s="9"/>
      <c r="N43" t="str" cm="1">
        <f t="array" ref="N43">IFERROR(INDEX('COA TABLE FORM'!$B$2:$B$66,MATCH(1,('COA TABLE FORM'!$E$2:$E$66=$O43)*(ISNUMBER(SEARCH($P43,'COA TABLE FORM'!$B$2:$B$66))),0)),"")</f>
        <v>Electricity</v>
      </c>
      <c r="O43" t="str">
        <f t="shared" si="2"/>
        <v>Utilities Charges</v>
      </c>
      <c r="P43" t="str">
        <f t="shared" si="3"/>
        <v>Electricity</v>
      </c>
    </row>
    <row r="44" spans="1:16" ht="15.75" thickBot="1" x14ac:dyDescent="0.3">
      <c r="A44" t="str">
        <f>IFERROR(INDEX('COA TABLE FORM'!$A$2:$A$66,MATCH($O44,'COA TABLE FORM'!$E$2:$E$66,0)),"")</f>
        <v> Utilities Charges</v>
      </c>
      <c r="B44" t="str" cm="1">
        <f t="array" ref="B44">IFERROR(INDEX('COA TABLE FORM'!$C$2:$C$66,MATCH(1,('COA TABLE FORM'!$E$2:$E$66=$O44)*(ISNUMBER(SEARCH($P44,'COA TABLE FORM'!$B$2:$B$66))),0)),"")</f>
        <v>5008 - ELECTRICITY CHARGES</v>
      </c>
      <c r="C44" s="7" t="s">
        <v>158</v>
      </c>
      <c r="D44" s="8" t="s">
        <v>306</v>
      </c>
      <c r="E44" t="str">
        <f t="shared" si="4"/>
        <v>S-P-3307975</v>
      </c>
      <c r="F44" s="7" t="s">
        <v>307</v>
      </c>
      <c r="G44" s="7" t="s">
        <v>86</v>
      </c>
      <c r="H44" s="7" t="s">
        <v>308</v>
      </c>
      <c r="I44" s="7" t="s">
        <v>309</v>
      </c>
      <c r="J44" s="7" t="s">
        <v>111</v>
      </c>
      <c r="K44" s="9" t="s">
        <v>310</v>
      </c>
      <c r="L44" s="7" t="s">
        <v>110</v>
      </c>
      <c r="M44" s="9"/>
      <c r="N44" t="str" cm="1">
        <f t="array" ref="N44">IFERROR(INDEX('COA TABLE FORM'!$B$2:$B$66,MATCH(1,('COA TABLE FORM'!$E$2:$E$66=$O44)*(ISNUMBER(SEARCH($P44,'COA TABLE FORM'!$B$2:$B$66))),0)),"")</f>
        <v>Electricity</v>
      </c>
      <c r="O44" t="str">
        <f t="shared" si="2"/>
        <v>Utilities Charges</v>
      </c>
      <c r="P44" t="str">
        <f t="shared" si="3"/>
        <v>Electricity</v>
      </c>
    </row>
    <row r="45" spans="1:16" ht="15.75" thickBot="1" x14ac:dyDescent="0.3">
      <c r="A45" t="str">
        <f>IFERROR(INDEX('COA TABLE FORM'!$A$2:$A$66,MATCH($O45,'COA TABLE FORM'!$E$2:$E$66,0)),"")</f>
        <v> Utilities Charges</v>
      </c>
      <c r="B45" t="str" cm="1">
        <f t="array" ref="B45">IFERROR(INDEX('COA TABLE FORM'!$C$2:$C$66,MATCH(1,('COA TABLE FORM'!$E$2:$E$66=$O45)*(ISNUMBER(SEARCH($P45,'COA TABLE FORM'!$B$2:$B$66))),0)),"")</f>
        <v>5008 - ELECTRICITY CHARGES</v>
      </c>
      <c r="C45" s="7" t="s">
        <v>158</v>
      </c>
      <c r="D45" s="8" t="s">
        <v>311</v>
      </c>
      <c r="E45" t="str">
        <f t="shared" si="4"/>
        <v>S-P 48146</v>
      </c>
      <c r="F45" s="7" t="s">
        <v>312</v>
      </c>
      <c r="G45" s="7" t="s">
        <v>86</v>
      </c>
      <c r="H45" s="7" t="s">
        <v>313</v>
      </c>
      <c r="I45" s="7" t="s">
        <v>314</v>
      </c>
      <c r="J45" s="7" t="s">
        <v>111</v>
      </c>
      <c r="K45" s="9" t="s">
        <v>315</v>
      </c>
      <c r="L45" s="7" t="s">
        <v>110</v>
      </c>
      <c r="M45" s="9"/>
      <c r="N45" t="str" cm="1">
        <f t="array" ref="N45">IFERROR(INDEX('COA TABLE FORM'!$B$2:$B$66,MATCH(1,('COA TABLE FORM'!$E$2:$E$66=$O45)*(ISNUMBER(SEARCH($P45,'COA TABLE FORM'!$B$2:$B$66))),0)),"")</f>
        <v>Electricity</v>
      </c>
      <c r="O45" t="str">
        <f t="shared" si="2"/>
        <v>Utilities Charges</v>
      </c>
      <c r="P45" t="str">
        <f t="shared" si="3"/>
        <v>Electricity</v>
      </c>
    </row>
    <row r="46" spans="1:16" ht="15.75" thickBot="1" x14ac:dyDescent="0.3">
      <c r="A46" t="str">
        <f>IFERROR(INDEX('COA TABLE FORM'!$A$2:$A$66,MATCH($O46,'COA TABLE FORM'!$E$2:$E$66,0)),"")</f>
        <v> Utilities Charges</v>
      </c>
      <c r="B46" t="str" cm="1">
        <f t="array" ref="B46">IFERROR(INDEX('COA TABLE FORM'!$C$2:$C$66,MATCH(1,('COA TABLE FORM'!$E$2:$E$66=$O46)*(ISNUMBER(SEARCH($P46,'COA TABLE FORM'!$B$2:$B$66))),0)),"")</f>
        <v>5008 - ELECTRICITY CHARGES</v>
      </c>
      <c r="C46" s="7" t="s">
        <v>158</v>
      </c>
      <c r="D46" s="8" t="s">
        <v>316</v>
      </c>
      <c r="E46" t="str">
        <f t="shared" si="4"/>
        <v>3-P 148884</v>
      </c>
      <c r="F46" s="7" t="s">
        <v>317</v>
      </c>
      <c r="G46" s="7" t="s">
        <v>86</v>
      </c>
      <c r="H46" s="7" t="s">
        <v>318</v>
      </c>
      <c r="I46" s="7" t="s">
        <v>319</v>
      </c>
      <c r="J46" s="7" t="s">
        <v>111</v>
      </c>
      <c r="K46" s="9" t="s">
        <v>320</v>
      </c>
      <c r="L46" s="7" t="s">
        <v>110</v>
      </c>
      <c r="M46" s="9"/>
      <c r="N46" t="str" cm="1">
        <f t="array" ref="N46">IFERROR(INDEX('COA TABLE FORM'!$B$2:$B$66,MATCH(1,('COA TABLE FORM'!$E$2:$E$66=$O46)*(ISNUMBER(SEARCH($P46,'COA TABLE FORM'!$B$2:$B$66))),0)),"")</f>
        <v>Electricity</v>
      </c>
      <c r="O46" t="str">
        <f t="shared" si="2"/>
        <v>Utilities Charges</v>
      </c>
      <c r="P46" t="str">
        <f t="shared" si="3"/>
        <v>Electricity</v>
      </c>
    </row>
    <row r="47" spans="1:16" ht="15.75" thickBot="1" x14ac:dyDescent="0.3">
      <c r="A47" t="str">
        <f>IFERROR(INDEX('COA TABLE FORM'!$A$2:$A$66,MATCH($O47,'COA TABLE FORM'!$E$2:$E$66,0)),"")</f>
        <v> Utilities Charges</v>
      </c>
      <c r="B47" t="str" cm="1">
        <f t="array" ref="B47">IFERROR(INDEX('COA TABLE FORM'!$C$2:$C$66,MATCH(1,('COA TABLE FORM'!$E$2:$E$66=$O47)*(ISNUMBER(SEARCH($P47,'COA TABLE FORM'!$B$2:$B$66))),0)),"")</f>
        <v>5008 - ELECTRICITY CHARGES</v>
      </c>
      <c r="C47" s="7" t="s">
        <v>158</v>
      </c>
      <c r="D47" s="8" t="s">
        <v>321</v>
      </c>
      <c r="E47" t="str">
        <f t="shared" si="4"/>
        <v>17567</v>
      </c>
      <c r="F47" s="7" t="s">
        <v>322</v>
      </c>
      <c r="G47" s="7" t="s">
        <v>86</v>
      </c>
      <c r="H47" s="7">
        <v>17567</v>
      </c>
      <c r="I47" s="7" t="s">
        <v>323</v>
      </c>
      <c r="J47" s="7" t="s">
        <v>111</v>
      </c>
      <c r="K47" s="9" t="s">
        <v>324</v>
      </c>
      <c r="L47" s="7" t="s">
        <v>110</v>
      </c>
      <c r="M47" s="9"/>
      <c r="N47" t="str" cm="1">
        <f t="array" ref="N47">IFERROR(INDEX('COA TABLE FORM'!$B$2:$B$66,MATCH(1,('COA TABLE FORM'!$E$2:$E$66=$O47)*(ISNUMBER(SEARCH($P47,'COA TABLE FORM'!$B$2:$B$66))),0)),"")</f>
        <v>Electricity</v>
      </c>
      <c r="O47" t="str">
        <f t="shared" si="2"/>
        <v>Utilities Charges</v>
      </c>
      <c r="P47" t="str">
        <f t="shared" si="3"/>
        <v>Electricity</v>
      </c>
    </row>
    <row r="48" spans="1:16" ht="15.75" thickBot="1" x14ac:dyDescent="0.3">
      <c r="A48" t="str">
        <f>IFERROR(INDEX('COA TABLE FORM'!$A$2:$A$66,MATCH($O48,'COA TABLE FORM'!$E$2:$E$66,0)),"")</f>
        <v> Utilities Charges</v>
      </c>
      <c r="B48" t="str" cm="1">
        <f t="array" ref="B48">IFERROR(INDEX('COA TABLE FORM'!$C$2:$C$66,MATCH(1,('COA TABLE FORM'!$E$2:$E$66=$O48)*(ISNUMBER(SEARCH($P48,'COA TABLE FORM'!$B$2:$B$66))),0)),"")</f>
        <v>5010 - Internet / Broadband Charges</v>
      </c>
      <c r="C48" s="7" t="s">
        <v>326</v>
      </c>
      <c r="D48" s="8" t="s">
        <v>327</v>
      </c>
      <c r="E48" t="str">
        <f t="shared" si="4"/>
        <v>2851230</v>
      </c>
      <c r="F48" s="7" t="s">
        <v>328</v>
      </c>
      <c r="G48" s="7" t="s">
        <v>325</v>
      </c>
      <c r="H48" s="7" t="str">
        <f>E48</f>
        <v>2851230</v>
      </c>
      <c r="I48" s="7" t="s">
        <v>329</v>
      </c>
      <c r="J48" s="7" t="s">
        <v>118</v>
      </c>
      <c r="K48" s="9" t="s">
        <v>330</v>
      </c>
      <c r="L48" s="7" t="s">
        <v>110</v>
      </c>
      <c r="M48" s="9"/>
      <c r="N48" t="str" cm="1">
        <f t="array" ref="N48">IFERROR(INDEX('COA TABLE FORM'!$B$2:$B$66,MATCH(1,('COA TABLE FORM'!$E$2:$E$66=$O48)*(ISNUMBER(SEARCH($P48,'COA TABLE FORM'!$B$2:$B$66))),0)),"")</f>
        <v>Internet / Broadband</v>
      </c>
      <c r="O48" t="str">
        <f t="shared" si="2"/>
        <v>Utilities Charges</v>
      </c>
      <c r="P48" t="str">
        <f t="shared" si="3"/>
        <v>Internet / Broadband</v>
      </c>
    </row>
    <row r="49" spans="1:16" ht="15.75" thickBot="1" x14ac:dyDescent="0.3">
      <c r="A49" t="str">
        <f>IFERROR(INDEX('COA TABLE FORM'!$A$2:$A$66,MATCH($O49,'COA TABLE FORM'!$E$2:$E$66,0)),"")</f>
        <v> Utilities Charges</v>
      </c>
      <c r="B49" t="str" cm="1">
        <f t="array" ref="B49">IFERROR(INDEX('COA TABLE FORM'!$C$2:$C$66,MATCH(1,('COA TABLE FORM'!$E$2:$E$66=$O49)*(ISNUMBER(SEARCH($P49,'COA TABLE FORM'!$B$2:$B$66))),0)),"")</f>
        <v>5010 - Internet / Broadband Charges</v>
      </c>
      <c r="C49" s="7" t="s">
        <v>326</v>
      </c>
      <c r="D49" s="8" t="s">
        <v>331</v>
      </c>
      <c r="E49" t="str">
        <f t="shared" si="4"/>
        <v>2253099</v>
      </c>
      <c r="F49" s="7" t="s">
        <v>332</v>
      </c>
      <c r="G49" s="7" t="s">
        <v>325</v>
      </c>
      <c r="H49" s="7" t="str">
        <f t="shared" ref="H49:H88" si="5">E49</f>
        <v>2253099</v>
      </c>
      <c r="I49" s="7" t="s">
        <v>333</v>
      </c>
      <c r="J49" s="7" t="s">
        <v>118</v>
      </c>
      <c r="K49" s="9" t="s">
        <v>334</v>
      </c>
      <c r="L49" s="7" t="s">
        <v>110</v>
      </c>
      <c r="M49" s="9"/>
      <c r="N49" t="str" cm="1">
        <f t="array" ref="N49">IFERROR(INDEX('COA TABLE FORM'!$B$2:$B$66,MATCH(1,('COA TABLE FORM'!$E$2:$E$66=$O49)*(ISNUMBER(SEARCH($P49,'COA TABLE FORM'!$B$2:$B$66))),0)),"")</f>
        <v>Internet / Broadband</v>
      </c>
      <c r="O49" t="str">
        <f t="shared" si="2"/>
        <v>Utilities Charges</v>
      </c>
      <c r="P49" t="str">
        <f t="shared" si="3"/>
        <v>Internet / Broadband</v>
      </c>
    </row>
    <row r="50" spans="1:16" ht="15.75" thickBot="1" x14ac:dyDescent="0.3">
      <c r="A50" t="str">
        <f>IFERROR(INDEX('COA TABLE FORM'!$A$2:$A$66,MATCH($O50,'COA TABLE FORM'!$E$2:$E$66,0)),"")</f>
        <v> Utilities Charges</v>
      </c>
      <c r="B50" t="str" cm="1">
        <f t="array" ref="B50">IFERROR(INDEX('COA TABLE FORM'!$C$2:$C$66,MATCH(1,('COA TABLE FORM'!$E$2:$E$66=$O50)*(ISNUMBER(SEARCH($P50,'COA TABLE FORM'!$B$2:$B$66))),0)),"")</f>
        <v>5010 - Internet / Broadband Charges</v>
      </c>
      <c r="C50" s="7" t="s">
        <v>326</v>
      </c>
      <c r="D50" s="8" t="s">
        <v>335</v>
      </c>
      <c r="E50" t="str">
        <f t="shared" si="4"/>
        <v>2744788</v>
      </c>
      <c r="F50" s="7" t="s">
        <v>336</v>
      </c>
      <c r="G50" s="7" t="s">
        <v>325</v>
      </c>
      <c r="H50" s="7" t="str">
        <f t="shared" si="5"/>
        <v>2744788</v>
      </c>
      <c r="I50" s="7" t="s">
        <v>337</v>
      </c>
      <c r="J50" s="7" t="s">
        <v>118</v>
      </c>
      <c r="K50" s="9" t="s">
        <v>338</v>
      </c>
      <c r="L50" s="7" t="s">
        <v>110</v>
      </c>
      <c r="M50" s="9"/>
      <c r="N50" t="str" cm="1">
        <f t="array" ref="N50">IFERROR(INDEX('COA TABLE FORM'!$B$2:$B$66,MATCH(1,('COA TABLE FORM'!$E$2:$E$66=$O50)*(ISNUMBER(SEARCH($P50,'COA TABLE FORM'!$B$2:$B$66))),0)),"")</f>
        <v>Internet / Broadband</v>
      </c>
      <c r="O50" t="str">
        <f t="shared" si="2"/>
        <v>Utilities Charges</v>
      </c>
      <c r="P50" t="str">
        <f t="shared" si="3"/>
        <v>Internet / Broadband</v>
      </c>
    </row>
    <row r="51" spans="1:16" ht="15.75" thickBot="1" x14ac:dyDescent="0.3">
      <c r="A51" t="str">
        <f>IFERROR(INDEX('COA TABLE FORM'!$A$2:$A$66,MATCH($O51,'COA TABLE FORM'!$E$2:$E$66,0)),"")</f>
        <v> Utilities Charges</v>
      </c>
      <c r="B51" t="str" cm="1">
        <f t="array" ref="B51">IFERROR(INDEX('COA TABLE FORM'!$C$2:$C$66,MATCH(1,('COA TABLE FORM'!$E$2:$E$66=$O51)*(ISNUMBER(SEARCH($P51,'COA TABLE FORM'!$B$2:$B$66))),0)),"")</f>
        <v>5010 - Internet / Broadband Charges</v>
      </c>
      <c r="C51" s="7" t="s">
        <v>326</v>
      </c>
      <c r="D51" s="8" t="s">
        <v>339</v>
      </c>
      <c r="E51" t="str">
        <f t="shared" si="4"/>
        <v>2745085</v>
      </c>
      <c r="F51" s="7" t="s">
        <v>340</v>
      </c>
      <c r="G51" s="7" t="s">
        <v>325</v>
      </c>
      <c r="H51" s="7" t="str">
        <f t="shared" si="5"/>
        <v>2745085</v>
      </c>
      <c r="I51" s="7" t="s">
        <v>341</v>
      </c>
      <c r="J51" s="7" t="s">
        <v>118</v>
      </c>
      <c r="K51" s="9" t="s">
        <v>342</v>
      </c>
      <c r="L51" s="7" t="s">
        <v>110</v>
      </c>
      <c r="M51" s="9"/>
      <c r="N51" t="str" cm="1">
        <f t="array" ref="N51">IFERROR(INDEX('COA TABLE FORM'!$B$2:$B$66,MATCH(1,('COA TABLE FORM'!$E$2:$E$66=$O51)*(ISNUMBER(SEARCH($P51,'COA TABLE FORM'!$B$2:$B$66))),0)),"")</f>
        <v>Internet / Broadband</v>
      </c>
      <c r="O51" t="str">
        <f t="shared" si="2"/>
        <v>Utilities Charges</v>
      </c>
      <c r="P51" t="str">
        <f t="shared" si="3"/>
        <v>Internet / Broadband</v>
      </c>
    </row>
    <row r="52" spans="1:16" ht="15.75" thickBot="1" x14ac:dyDescent="0.3">
      <c r="A52" t="str">
        <f>IFERROR(INDEX('COA TABLE FORM'!$A$2:$A$66,MATCH($O52,'COA TABLE FORM'!$E$2:$E$66,0)),"")</f>
        <v> Utilities Charges</v>
      </c>
      <c r="B52" t="str" cm="1">
        <f t="array" ref="B52">IFERROR(INDEX('COA TABLE FORM'!$C$2:$C$66,MATCH(1,('COA TABLE FORM'!$E$2:$E$66=$O52)*(ISNUMBER(SEARCH($P52,'COA TABLE FORM'!$B$2:$B$66))),0)),"")</f>
        <v>5010 - Internet / Broadband Charges</v>
      </c>
      <c r="C52" s="7" t="s">
        <v>326</v>
      </c>
      <c r="D52" s="8" t="s">
        <v>343</v>
      </c>
      <c r="E52" t="str">
        <f t="shared" si="4"/>
        <v>5824425017</v>
      </c>
      <c r="F52" s="7" t="s">
        <v>344</v>
      </c>
      <c r="G52" s="7" t="s">
        <v>325</v>
      </c>
      <c r="H52" s="7" t="str">
        <f t="shared" si="5"/>
        <v>5824425017</v>
      </c>
      <c r="I52" s="7" t="s">
        <v>345</v>
      </c>
      <c r="J52" s="7" t="s">
        <v>108</v>
      </c>
      <c r="K52" s="9" t="s">
        <v>346</v>
      </c>
      <c r="L52" s="7" t="s">
        <v>110</v>
      </c>
      <c r="M52" s="9"/>
      <c r="N52" t="str" cm="1">
        <f t="array" ref="N52">IFERROR(INDEX('COA TABLE FORM'!$B$2:$B$66,MATCH(1,('COA TABLE FORM'!$E$2:$E$66=$O52)*(ISNUMBER(SEARCH($P52,'COA TABLE FORM'!$B$2:$B$66))),0)),"")</f>
        <v>Internet / Broadband</v>
      </c>
      <c r="O52" t="str">
        <f t="shared" si="2"/>
        <v>Utilities Charges</v>
      </c>
      <c r="P52" t="str">
        <f t="shared" si="3"/>
        <v>Internet / Broadband</v>
      </c>
    </row>
    <row r="53" spans="1:16" ht="15.75" thickBot="1" x14ac:dyDescent="0.3">
      <c r="A53" t="str">
        <f>IFERROR(INDEX('COA TABLE FORM'!$A$2:$A$66,MATCH($O53,'COA TABLE FORM'!$E$2:$E$66,0)),"")</f>
        <v> Utilities Charges</v>
      </c>
      <c r="B53" t="str" cm="1">
        <f t="array" ref="B53">IFERROR(INDEX('COA TABLE FORM'!$C$2:$C$66,MATCH(1,('COA TABLE FORM'!$E$2:$E$66=$O53)*(ISNUMBER(SEARCH($P53,'COA TABLE FORM'!$B$2:$B$66))),0)),"")</f>
        <v>5010 - Internet / Broadband Charges</v>
      </c>
      <c r="C53" s="7" t="s">
        <v>326</v>
      </c>
      <c r="D53" s="8" t="s">
        <v>347</v>
      </c>
      <c r="E53" t="str">
        <f t="shared" si="4"/>
        <v>5824426740</v>
      </c>
      <c r="F53" s="7" t="s">
        <v>348</v>
      </c>
      <c r="G53" s="7" t="s">
        <v>325</v>
      </c>
      <c r="H53" s="7" t="str">
        <f t="shared" si="5"/>
        <v>5824426740</v>
      </c>
      <c r="I53" s="7" t="s">
        <v>345</v>
      </c>
      <c r="J53" s="7" t="s">
        <v>108</v>
      </c>
      <c r="K53" s="9" t="s">
        <v>349</v>
      </c>
      <c r="L53" s="7" t="s">
        <v>110</v>
      </c>
      <c r="M53" s="9"/>
      <c r="N53" t="str" cm="1">
        <f t="array" ref="N53">IFERROR(INDEX('COA TABLE FORM'!$B$2:$B$66,MATCH(1,('COA TABLE FORM'!$E$2:$E$66=$O53)*(ISNUMBER(SEARCH($P53,'COA TABLE FORM'!$B$2:$B$66))),0)),"")</f>
        <v>Internet / Broadband</v>
      </c>
      <c r="O53" t="str">
        <f t="shared" si="2"/>
        <v>Utilities Charges</v>
      </c>
      <c r="P53" t="str">
        <f t="shared" si="3"/>
        <v>Internet / Broadband</v>
      </c>
    </row>
    <row r="54" spans="1:16" ht="15.75" thickBot="1" x14ac:dyDescent="0.3">
      <c r="A54" t="str">
        <f>IFERROR(INDEX('COA TABLE FORM'!$A$2:$A$66,MATCH($O54,'COA TABLE FORM'!$E$2:$E$66,0)),"")</f>
        <v> Utilities Charges</v>
      </c>
      <c r="B54" t="str" cm="1">
        <f t="array" ref="B54">IFERROR(INDEX('COA TABLE FORM'!$C$2:$C$66,MATCH(1,('COA TABLE FORM'!$E$2:$E$66=$O54)*(ISNUMBER(SEARCH($P54,'COA TABLE FORM'!$B$2:$B$66))),0)),"")</f>
        <v>5010 - Internet / Broadband Charges</v>
      </c>
      <c r="C54" s="7" t="s">
        <v>326</v>
      </c>
      <c r="D54" s="8" t="s">
        <v>351</v>
      </c>
      <c r="E54" t="str">
        <f t="shared" si="4"/>
        <v>2000064</v>
      </c>
      <c r="F54" s="7" t="s">
        <v>352</v>
      </c>
      <c r="G54" s="7" t="s">
        <v>325</v>
      </c>
      <c r="H54" s="7" t="str">
        <f t="shared" si="5"/>
        <v>2000064</v>
      </c>
      <c r="I54" s="7" t="s">
        <v>353</v>
      </c>
      <c r="J54" s="7" t="s">
        <v>112</v>
      </c>
      <c r="K54" s="9" t="s">
        <v>354</v>
      </c>
      <c r="L54" s="7" t="s">
        <v>110</v>
      </c>
      <c r="M54" s="9"/>
      <c r="N54" t="str" cm="1">
        <f t="array" ref="N54">IFERROR(INDEX('COA TABLE FORM'!$B$2:$B$66,MATCH(1,('COA TABLE FORM'!$E$2:$E$66=$O54)*(ISNUMBER(SEARCH($P54,'COA TABLE FORM'!$B$2:$B$66))),0)),"")</f>
        <v>Internet / Broadband</v>
      </c>
      <c r="O54" t="str">
        <f t="shared" si="2"/>
        <v>Utilities Charges</v>
      </c>
      <c r="P54" t="str">
        <f t="shared" si="3"/>
        <v>Internet / Broadband</v>
      </c>
    </row>
    <row r="55" spans="1:16" ht="15.75" thickBot="1" x14ac:dyDescent="0.3">
      <c r="A55" t="str">
        <f>IFERROR(INDEX('COA TABLE FORM'!$A$2:$A$66,MATCH($O55,'COA TABLE FORM'!$E$2:$E$66,0)),"")</f>
        <v> Utilities Charges</v>
      </c>
      <c r="B55" t="str" cm="1">
        <f t="array" ref="B55">IFERROR(INDEX('COA TABLE FORM'!$C$2:$C$66,MATCH(1,('COA TABLE FORM'!$E$2:$E$66=$O55)*(ISNUMBER(SEARCH($P55,'COA TABLE FORM'!$B$2:$B$66))),0)),"")</f>
        <v>5010 - Internet / Broadband Charges</v>
      </c>
      <c r="C55" s="7" t="s">
        <v>326</v>
      </c>
      <c r="D55" s="8" t="s">
        <v>355</v>
      </c>
      <c r="E55" t="str">
        <f t="shared" si="4"/>
        <v>2120089</v>
      </c>
      <c r="F55" s="7" t="s">
        <v>356</v>
      </c>
      <c r="G55" s="7" t="s">
        <v>325</v>
      </c>
      <c r="H55" s="7" t="str">
        <f t="shared" si="5"/>
        <v>2120089</v>
      </c>
      <c r="I55" s="7" t="s">
        <v>353</v>
      </c>
      <c r="J55" s="7" t="s">
        <v>112</v>
      </c>
      <c r="K55" s="9" t="s">
        <v>357</v>
      </c>
      <c r="L55" s="7" t="s">
        <v>110</v>
      </c>
      <c r="M55" s="9"/>
      <c r="N55" t="str" cm="1">
        <f t="array" ref="N55">IFERROR(INDEX('COA TABLE FORM'!$B$2:$B$66,MATCH(1,('COA TABLE FORM'!$E$2:$E$66=$O55)*(ISNUMBER(SEARCH($P55,'COA TABLE FORM'!$B$2:$B$66))),0)),"")</f>
        <v>Internet / Broadband</v>
      </c>
      <c r="O55" t="str">
        <f t="shared" si="2"/>
        <v>Utilities Charges</v>
      </c>
      <c r="P55" t="str">
        <f t="shared" si="3"/>
        <v>Internet / Broadband</v>
      </c>
    </row>
    <row r="56" spans="1:16" ht="15.75" thickBot="1" x14ac:dyDescent="0.3">
      <c r="A56" t="str">
        <f>IFERROR(INDEX('COA TABLE FORM'!$A$2:$A$66,MATCH($O56,'COA TABLE FORM'!$E$2:$E$66,0)),"")</f>
        <v> Utilities Charges</v>
      </c>
      <c r="B56" t="str" cm="1">
        <f t="array" ref="B56">IFERROR(INDEX('COA TABLE FORM'!$C$2:$C$66,MATCH(1,('COA TABLE FORM'!$E$2:$E$66=$O56)*(ISNUMBER(SEARCH($P56,'COA TABLE FORM'!$B$2:$B$66))),0)),"")</f>
        <v>5010 - Internet / Broadband Charges</v>
      </c>
      <c r="C56" s="7" t="s">
        <v>326</v>
      </c>
      <c r="D56" s="8" t="s">
        <v>358</v>
      </c>
      <c r="E56" t="str">
        <f t="shared" si="4"/>
        <v>2120065</v>
      </c>
      <c r="F56" s="7" t="s">
        <v>359</v>
      </c>
      <c r="G56" s="7" t="s">
        <v>325</v>
      </c>
      <c r="H56" s="7" t="str">
        <f t="shared" si="5"/>
        <v>2120065</v>
      </c>
      <c r="I56" s="7" t="s">
        <v>360</v>
      </c>
      <c r="J56" s="7" t="s">
        <v>112</v>
      </c>
      <c r="K56" s="9" t="s">
        <v>361</v>
      </c>
      <c r="L56" s="7" t="s">
        <v>110</v>
      </c>
      <c r="M56" s="9"/>
      <c r="N56" t="str" cm="1">
        <f t="array" ref="N56">IFERROR(INDEX('COA TABLE FORM'!$B$2:$B$66,MATCH(1,('COA TABLE FORM'!$E$2:$E$66=$O56)*(ISNUMBER(SEARCH($P56,'COA TABLE FORM'!$B$2:$B$66))),0)),"")</f>
        <v>Internet / Broadband</v>
      </c>
      <c r="O56" t="str">
        <f t="shared" si="2"/>
        <v>Utilities Charges</v>
      </c>
      <c r="P56" t="str">
        <f t="shared" si="3"/>
        <v>Internet / Broadband</v>
      </c>
    </row>
    <row r="57" spans="1:16" ht="15.75" thickBot="1" x14ac:dyDescent="0.3">
      <c r="A57" t="str">
        <f>IFERROR(INDEX('COA TABLE FORM'!$A$2:$A$66,MATCH($O57,'COA TABLE FORM'!$E$2:$E$66,0)),"")</f>
        <v> Utilities Charges</v>
      </c>
      <c r="B57" t="str" cm="1">
        <f t="array" ref="B57">IFERROR(INDEX('COA TABLE FORM'!$C$2:$C$66,MATCH(1,('COA TABLE FORM'!$E$2:$E$66=$O57)*(ISNUMBER(SEARCH($P57,'COA TABLE FORM'!$B$2:$B$66))),0)),"")</f>
        <v>5010 - Internet / Broadband Charges</v>
      </c>
      <c r="C57" s="7" t="s">
        <v>326</v>
      </c>
      <c r="D57" s="8" t="s">
        <v>362</v>
      </c>
      <c r="E57" t="str">
        <f t="shared" si="4"/>
        <v>2257451</v>
      </c>
      <c r="F57" s="7" t="s">
        <v>363</v>
      </c>
      <c r="G57" s="7" t="s">
        <v>325</v>
      </c>
      <c r="H57" s="7" t="str">
        <f t="shared" si="5"/>
        <v>2257451</v>
      </c>
      <c r="I57" s="7" t="s">
        <v>364</v>
      </c>
      <c r="J57" s="7" t="s">
        <v>112</v>
      </c>
      <c r="K57" s="9" t="s">
        <v>365</v>
      </c>
      <c r="L57" s="7" t="s">
        <v>110</v>
      </c>
      <c r="M57" s="9"/>
      <c r="N57" t="str" cm="1">
        <f t="array" ref="N57">IFERROR(INDEX('COA TABLE FORM'!$B$2:$B$66,MATCH(1,('COA TABLE FORM'!$E$2:$E$66=$O57)*(ISNUMBER(SEARCH($P57,'COA TABLE FORM'!$B$2:$B$66))),0)),"")</f>
        <v>Internet / Broadband</v>
      </c>
      <c r="O57" t="str">
        <f t="shared" si="2"/>
        <v>Utilities Charges</v>
      </c>
      <c r="P57" t="str">
        <f t="shared" si="3"/>
        <v>Internet / Broadband</v>
      </c>
    </row>
    <row r="58" spans="1:16" ht="15.75" thickBot="1" x14ac:dyDescent="0.3">
      <c r="A58" t="str">
        <f>IFERROR(INDEX('COA TABLE FORM'!$A$2:$A$66,MATCH($O58,'COA TABLE FORM'!$E$2:$E$66,0)),"")</f>
        <v> Utilities Charges</v>
      </c>
      <c r="B58" t="str" cm="1">
        <f t="array" ref="B58">IFERROR(INDEX('COA TABLE FORM'!$C$2:$C$66,MATCH(1,('COA TABLE FORM'!$E$2:$E$66=$O58)*(ISNUMBER(SEARCH($P58,'COA TABLE FORM'!$B$2:$B$66))),0)),"")</f>
        <v>5010 - Internet / Broadband Charges</v>
      </c>
      <c r="C58" s="7" t="s">
        <v>326</v>
      </c>
      <c r="D58" s="8" t="s">
        <v>366</v>
      </c>
      <c r="E58" t="str">
        <f t="shared" si="4"/>
        <v>2708041</v>
      </c>
      <c r="F58" s="7" t="s">
        <v>367</v>
      </c>
      <c r="G58" s="7" t="s">
        <v>325</v>
      </c>
      <c r="H58" s="7" t="str">
        <f t="shared" si="5"/>
        <v>2708041</v>
      </c>
      <c r="I58" s="7" t="s">
        <v>368</v>
      </c>
      <c r="J58" s="7" t="s">
        <v>112</v>
      </c>
      <c r="K58" s="9" t="s">
        <v>369</v>
      </c>
      <c r="L58" s="7" t="s">
        <v>110</v>
      </c>
      <c r="M58" s="9"/>
      <c r="N58" t="str" cm="1">
        <f t="array" ref="N58">IFERROR(INDEX('COA TABLE FORM'!$B$2:$B$66,MATCH(1,('COA TABLE FORM'!$E$2:$E$66=$O58)*(ISNUMBER(SEARCH($P58,'COA TABLE FORM'!$B$2:$B$66))),0)),"")</f>
        <v>Internet / Broadband</v>
      </c>
      <c r="O58" t="str">
        <f t="shared" si="2"/>
        <v>Utilities Charges</v>
      </c>
      <c r="P58" t="str">
        <f t="shared" si="3"/>
        <v>Internet / Broadband</v>
      </c>
    </row>
    <row r="59" spans="1:16" ht="15.75" thickBot="1" x14ac:dyDescent="0.3">
      <c r="A59" t="str">
        <f>IFERROR(INDEX('COA TABLE FORM'!$A$2:$A$66,MATCH($O59,'COA TABLE FORM'!$E$2:$E$66,0)),"")</f>
        <v> Utilities Charges</v>
      </c>
      <c r="B59" t="str" cm="1">
        <f t="array" ref="B59">IFERROR(INDEX('COA TABLE FORM'!$C$2:$C$66,MATCH(1,('COA TABLE FORM'!$E$2:$E$66=$O59)*(ISNUMBER(SEARCH($P59,'COA TABLE FORM'!$B$2:$B$66))),0)),"")</f>
        <v>5010 - Internet / Broadband Charges</v>
      </c>
      <c r="C59" s="7" t="s">
        <v>326</v>
      </c>
      <c r="D59" s="8" t="s">
        <v>370</v>
      </c>
      <c r="E59" t="str">
        <f t="shared" si="4"/>
        <v>2120481</v>
      </c>
      <c r="F59" s="7" t="s">
        <v>371</v>
      </c>
      <c r="G59" s="7" t="s">
        <v>325</v>
      </c>
      <c r="H59" s="7" t="str">
        <f t="shared" si="5"/>
        <v>2120481</v>
      </c>
      <c r="I59" s="7" t="s">
        <v>372</v>
      </c>
      <c r="J59" s="7" t="s">
        <v>373</v>
      </c>
      <c r="K59" s="9" t="s">
        <v>374</v>
      </c>
      <c r="L59" s="7" t="s">
        <v>110</v>
      </c>
      <c r="M59" s="9"/>
      <c r="N59" t="str" cm="1">
        <f t="array" ref="N59">IFERROR(INDEX('COA TABLE FORM'!$B$2:$B$66,MATCH(1,('COA TABLE FORM'!$E$2:$E$66=$O59)*(ISNUMBER(SEARCH($P59,'COA TABLE FORM'!$B$2:$B$66))),0)),"")</f>
        <v>Internet / Broadband</v>
      </c>
      <c r="O59" t="str">
        <f t="shared" si="2"/>
        <v>Utilities Charges</v>
      </c>
      <c r="P59" t="str">
        <f t="shared" si="3"/>
        <v>Internet / Broadband</v>
      </c>
    </row>
    <row r="60" spans="1:16" ht="15.75" thickBot="1" x14ac:dyDescent="0.3">
      <c r="A60" t="str">
        <f>IFERROR(INDEX('COA TABLE FORM'!$A$2:$A$66,MATCH($O60,'COA TABLE FORM'!$E$2:$E$66,0)),"")</f>
        <v> Utilities Charges</v>
      </c>
      <c r="B60" t="str" cm="1">
        <f t="array" ref="B60">IFERROR(INDEX('COA TABLE FORM'!$C$2:$C$66,MATCH(1,('COA TABLE FORM'!$E$2:$E$66=$O60)*(ISNUMBER(SEARCH($P60,'COA TABLE FORM'!$B$2:$B$66))),0)),"")</f>
        <v>5010 - Internet / Broadband Charges</v>
      </c>
      <c r="C60" s="7" t="s">
        <v>326</v>
      </c>
      <c r="D60" s="8" t="s">
        <v>375</v>
      </c>
      <c r="E60" t="str">
        <f t="shared" si="4"/>
        <v>2120482</v>
      </c>
      <c r="F60" s="7" t="s">
        <v>376</v>
      </c>
      <c r="G60" s="7" t="s">
        <v>325</v>
      </c>
      <c r="H60" s="7" t="str">
        <f t="shared" si="5"/>
        <v>2120482</v>
      </c>
      <c r="I60" s="7" t="s">
        <v>372</v>
      </c>
      <c r="J60" s="7" t="s">
        <v>373</v>
      </c>
      <c r="K60" s="9" t="s">
        <v>354</v>
      </c>
      <c r="L60" s="7" t="s">
        <v>110</v>
      </c>
      <c r="M60" s="9"/>
      <c r="N60" t="str" cm="1">
        <f t="array" ref="N60">IFERROR(INDEX('COA TABLE FORM'!$B$2:$B$66,MATCH(1,('COA TABLE FORM'!$E$2:$E$66=$O60)*(ISNUMBER(SEARCH($P60,'COA TABLE FORM'!$B$2:$B$66))),0)),"")</f>
        <v>Internet / Broadband</v>
      </c>
      <c r="O60" t="str">
        <f t="shared" si="2"/>
        <v>Utilities Charges</v>
      </c>
      <c r="P60" t="str">
        <f t="shared" si="3"/>
        <v>Internet / Broadband</v>
      </c>
    </row>
    <row r="61" spans="1:16" ht="15.75" thickBot="1" x14ac:dyDescent="0.3">
      <c r="A61" t="str">
        <f>IFERROR(INDEX('COA TABLE FORM'!$A$2:$A$66,MATCH($O61,'COA TABLE FORM'!$E$2:$E$66,0)),"")</f>
        <v> Utilities Charges</v>
      </c>
      <c r="B61" t="str" cm="1">
        <f t="array" ref="B61">IFERROR(INDEX('COA TABLE FORM'!$C$2:$C$66,MATCH(1,('COA TABLE FORM'!$E$2:$E$66=$O61)*(ISNUMBER(SEARCH($P61,'COA TABLE FORM'!$B$2:$B$66))),0)),"")</f>
        <v>5010 - Internet / Broadband Charges</v>
      </c>
      <c r="C61" s="7" t="s">
        <v>326</v>
      </c>
      <c r="D61" s="8" t="s">
        <v>377</v>
      </c>
      <c r="E61" t="str">
        <f t="shared" si="4"/>
        <v>2120483</v>
      </c>
      <c r="F61" s="7" t="s">
        <v>378</v>
      </c>
      <c r="G61" s="7" t="s">
        <v>325</v>
      </c>
      <c r="H61" s="7" t="str">
        <f t="shared" si="5"/>
        <v>2120483</v>
      </c>
      <c r="I61" s="7" t="s">
        <v>372</v>
      </c>
      <c r="J61" s="7" t="s">
        <v>373</v>
      </c>
      <c r="K61" s="9" t="s">
        <v>357</v>
      </c>
      <c r="L61" s="7" t="s">
        <v>110</v>
      </c>
      <c r="M61" s="9"/>
      <c r="N61" t="str" cm="1">
        <f t="array" ref="N61">IFERROR(INDEX('COA TABLE FORM'!$B$2:$B$66,MATCH(1,('COA TABLE FORM'!$E$2:$E$66=$O61)*(ISNUMBER(SEARCH($P61,'COA TABLE FORM'!$B$2:$B$66))),0)),"")</f>
        <v>Internet / Broadband</v>
      </c>
      <c r="O61" t="str">
        <f t="shared" si="2"/>
        <v>Utilities Charges</v>
      </c>
      <c r="P61" t="str">
        <f t="shared" si="3"/>
        <v>Internet / Broadband</v>
      </c>
    </row>
    <row r="62" spans="1:16" ht="15.75" thickBot="1" x14ac:dyDescent="0.3">
      <c r="A62" t="str">
        <f>IFERROR(INDEX('COA TABLE FORM'!$A$2:$A$66,MATCH($O62,'COA TABLE FORM'!$E$2:$E$66,0)),"")</f>
        <v> Utilities Charges</v>
      </c>
      <c r="B62" t="str" cm="1">
        <f t="array" ref="B62">IFERROR(INDEX('COA TABLE FORM'!$C$2:$C$66,MATCH(1,('COA TABLE FORM'!$E$2:$E$66=$O62)*(ISNUMBER(SEARCH($P62,'COA TABLE FORM'!$B$2:$B$66))),0)),"")</f>
        <v>5010 - Internet / Broadband Charges</v>
      </c>
      <c r="C62" s="7" t="s">
        <v>326</v>
      </c>
      <c r="D62" s="8" t="s">
        <v>379</v>
      </c>
      <c r="E62" t="str">
        <f t="shared" si="4"/>
        <v>151292</v>
      </c>
      <c r="F62" s="7" t="s">
        <v>380</v>
      </c>
      <c r="G62" s="7" t="s">
        <v>350</v>
      </c>
      <c r="H62" s="7" t="str">
        <f t="shared" si="5"/>
        <v>151292</v>
      </c>
      <c r="I62" s="7" t="s">
        <v>381</v>
      </c>
      <c r="J62" s="7" t="s">
        <v>118</v>
      </c>
      <c r="K62" s="9" t="s">
        <v>382</v>
      </c>
      <c r="L62" s="7" t="s">
        <v>110</v>
      </c>
      <c r="M62" s="9"/>
      <c r="N62" t="str" cm="1">
        <f t="array" ref="N62">IFERROR(INDEX('COA TABLE FORM'!$B$2:$B$66,MATCH(1,('COA TABLE FORM'!$E$2:$E$66=$O62)*(ISNUMBER(SEARCH($P62,'COA TABLE FORM'!$B$2:$B$66))),0)),"")</f>
        <v>Internet / Broadband</v>
      </c>
      <c r="O62" t="str">
        <f t="shared" si="2"/>
        <v>Utilities Charges</v>
      </c>
      <c r="P62" t="str">
        <f t="shared" si="3"/>
        <v>Internet</v>
      </c>
    </row>
    <row r="63" spans="1:16" ht="15.75" thickBot="1" x14ac:dyDescent="0.3">
      <c r="A63" t="str">
        <f>IFERROR(INDEX('COA TABLE FORM'!$A$2:$A$66,MATCH($O63,'COA TABLE FORM'!$E$2:$E$66,0)),"")</f>
        <v> Utilities Charges</v>
      </c>
      <c r="B63" t="str" cm="1">
        <f t="array" ref="B63">IFERROR(INDEX('COA TABLE FORM'!$C$2:$C$66,MATCH(1,('COA TABLE FORM'!$E$2:$E$66=$O63)*(ISNUMBER(SEARCH($P63,'COA TABLE FORM'!$B$2:$B$66))),0)),"")</f>
        <v>5010 - Internet / Broadband Charges</v>
      </c>
      <c r="C63" s="7" t="s">
        <v>326</v>
      </c>
      <c r="D63" s="8" t="s">
        <v>383</v>
      </c>
      <c r="E63" t="str">
        <f t="shared" si="4"/>
        <v>152121</v>
      </c>
      <c r="F63" s="7" t="s">
        <v>384</v>
      </c>
      <c r="G63" s="7" t="s">
        <v>350</v>
      </c>
      <c r="H63" s="7" t="str">
        <f t="shared" si="5"/>
        <v>152121</v>
      </c>
      <c r="I63" s="7" t="s">
        <v>381</v>
      </c>
      <c r="J63" s="7" t="s">
        <v>118</v>
      </c>
      <c r="K63" s="9" t="s">
        <v>385</v>
      </c>
      <c r="L63" s="7" t="s">
        <v>110</v>
      </c>
      <c r="M63" s="9"/>
      <c r="N63" t="str" cm="1">
        <f t="array" ref="N63">IFERROR(INDEX('COA TABLE FORM'!$B$2:$B$66,MATCH(1,('COA TABLE FORM'!$E$2:$E$66=$O63)*(ISNUMBER(SEARCH($P63,'COA TABLE FORM'!$B$2:$B$66))),0)),"")</f>
        <v>Internet / Broadband</v>
      </c>
      <c r="O63" t="str">
        <f t="shared" si="2"/>
        <v>Utilities Charges</v>
      </c>
      <c r="P63" t="str">
        <f t="shared" si="3"/>
        <v>Internet</v>
      </c>
    </row>
    <row r="64" spans="1:16" ht="15.75" thickBot="1" x14ac:dyDescent="0.3">
      <c r="A64" t="str">
        <f>IFERROR(INDEX('COA TABLE FORM'!$A$2:$A$66,MATCH($O64,'COA TABLE FORM'!$E$2:$E$66,0)),"")</f>
        <v> Utilities Charges</v>
      </c>
      <c r="B64" t="str" cm="1">
        <f t="array" ref="B64">IFERROR(INDEX('COA TABLE FORM'!$C$2:$C$66,MATCH(1,('COA TABLE FORM'!$E$2:$E$66=$O64)*(ISNUMBER(SEARCH($P64,'COA TABLE FORM'!$B$2:$B$66))),0)),"")</f>
        <v>5010 - Internet / Broadband Charges</v>
      </c>
      <c r="C64" s="7" t="s">
        <v>326</v>
      </c>
      <c r="D64" s="8" t="s">
        <v>386</v>
      </c>
      <c r="E64" t="str">
        <f t="shared" si="4"/>
        <v>35542</v>
      </c>
      <c r="F64" s="7" t="s">
        <v>387</v>
      </c>
      <c r="G64" s="7" t="s">
        <v>350</v>
      </c>
      <c r="H64" s="7" t="str">
        <f t="shared" si="5"/>
        <v>35542</v>
      </c>
      <c r="I64" s="7" t="s">
        <v>388</v>
      </c>
      <c r="J64" s="7" t="s">
        <v>118</v>
      </c>
      <c r="K64" s="9" t="s">
        <v>389</v>
      </c>
      <c r="L64" s="7" t="s">
        <v>110</v>
      </c>
      <c r="M64" s="9"/>
      <c r="N64" t="str" cm="1">
        <f t="array" ref="N64">IFERROR(INDEX('COA TABLE FORM'!$B$2:$B$66,MATCH(1,('COA TABLE FORM'!$E$2:$E$66=$O64)*(ISNUMBER(SEARCH($P64,'COA TABLE FORM'!$B$2:$B$66))),0)),"")</f>
        <v>Internet / Broadband</v>
      </c>
      <c r="O64" t="str">
        <f t="shared" si="2"/>
        <v>Utilities Charges</v>
      </c>
      <c r="P64" t="str">
        <f t="shared" si="3"/>
        <v>Internet</v>
      </c>
    </row>
    <row r="65" spans="1:16" ht="15.75" thickBot="1" x14ac:dyDescent="0.3">
      <c r="A65" t="str">
        <f>IFERROR(INDEX('COA TABLE FORM'!$A$2:$A$66,MATCH($O65,'COA TABLE FORM'!$E$2:$E$66,0)),"")</f>
        <v> Utilities Charges</v>
      </c>
      <c r="B65" t="str" cm="1">
        <f t="array" ref="B65">IFERROR(INDEX('COA TABLE FORM'!$C$2:$C$66,MATCH(1,('COA TABLE FORM'!$E$2:$E$66=$O65)*(ISNUMBER(SEARCH($P65,'COA TABLE FORM'!$B$2:$B$66))),0)),"")</f>
        <v>5010 - Internet / Broadband Charges</v>
      </c>
      <c r="C65" s="7" t="s">
        <v>326</v>
      </c>
      <c r="D65" s="8" t="s">
        <v>390</v>
      </c>
      <c r="E65" t="str">
        <f t="shared" si="4"/>
        <v>10168</v>
      </c>
      <c r="F65" s="7" t="s">
        <v>391</v>
      </c>
      <c r="G65" s="7" t="s">
        <v>350</v>
      </c>
      <c r="H65" s="7" t="str">
        <f t="shared" si="5"/>
        <v>10168</v>
      </c>
      <c r="I65" s="7" t="s">
        <v>392</v>
      </c>
      <c r="J65" s="7" t="s">
        <v>118</v>
      </c>
      <c r="K65" s="9" t="s">
        <v>393</v>
      </c>
      <c r="L65" s="7" t="s">
        <v>110</v>
      </c>
      <c r="N65" t="str" cm="1">
        <f t="array" ref="N65">IFERROR(INDEX('COA TABLE FORM'!$B$2:$B$66,MATCH(1,('COA TABLE FORM'!$E$2:$E$66=$O65)*(ISNUMBER(SEARCH($P65,'COA TABLE FORM'!$B$2:$B$66))),0)),"")</f>
        <v>Internet / Broadband</v>
      </c>
      <c r="O65" t="str">
        <f t="shared" si="2"/>
        <v>Utilities Charges</v>
      </c>
      <c r="P65" t="str">
        <f t="shared" si="3"/>
        <v>Internet</v>
      </c>
    </row>
    <row r="66" spans="1:16" ht="15.75" thickBot="1" x14ac:dyDescent="0.3">
      <c r="A66" t="str">
        <f>IFERROR(INDEX('COA TABLE FORM'!$A$2:$A$66,MATCH($O66,'COA TABLE FORM'!$E$2:$E$66,0)),"")</f>
        <v> Utilities Charges</v>
      </c>
      <c r="B66" t="str" cm="1">
        <f t="array" ref="B66">IFERROR(INDEX('COA TABLE FORM'!$C$2:$C$66,MATCH(1,('COA TABLE FORM'!$E$2:$E$66=$O66)*(ISNUMBER(SEARCH($P66,'COA TABLE FORM'!$B$2:$B$66))),0)),"")</f>
        <v>5010 - Internet / Broadband Charges</v>
      </c>
      <c r="C66" s="7" t="s">
        <v>326</v>
      </c>
      <c r="D66" s="8" t="s">
        <v>394</v>
      </c>
      <c r="E66" t="str">
        <f t="shared" ref="E66:E97" si="6">IFERROR(MID(F66,FIND("@",SUBSTITUTE(F66,"(","@",LEN(F66)-LEN(SUBSTITUTE(F66,"(",""))))+1,FIND("@",SUBSTITUTE(F66,")","@",LEN(F66)-LEN(SUBSTITUTE(F66,")",""))))-FIND("@",SUBSTITUTE(F66,"(","@",LEN(F66)-LEN(SUBSTITUTE(F66,"(",""))))-1),"")</f>
        <v>402645</v>
      </c>
      <c r="F66" s="7" t="s">
        <v>395</v>
      </c>
      <c r="G66" s="7" t="s">
        <v>350</v>
      </c>
      <c r="H66" s="7" t="str">
        <f t="shared" si="5"/>
        <v>402645</v>
      </c>
      <c r="I66" s="7" t="s">
        <v>396</v>
      </c>
      <c r="J66" s="7" t="s">
        <v>118</v>
      </c>
      <c r="K66" s="9" t="s">
        <v>397</v>
      </c>
      <c r="L66" s="7" t="s">
        <v>110</v>
      </c>
      <c r="M66" s="9"/>
      <c r="N66" t="str" cm="1">
        <f t="array" ref="N66">IFERROR(INDEX('COA TABLE FORM'!$B$2:$B$66,MATCH(1,('COA TABLE FORM'!$E$2:$E$66=$O66)*(ISNUMBER(SEARCH($P66,'COA TABLE FORM'!$B$2:$B$66))),0)),"")</f>
        <v>Internet / Broadband</v>
      </c>
      <c r="O66" t="str">
        <f t="shared" si="2"/>
        <v>Utilities Charges</v>
      </c>
      <c r="P66" t="str">
        <f t="shared" si="3"/>
        <v>Internet</v>
      </c>
    </row>
    <row r="67" spans="1:16" ht="15.75" thickBot="1" x14ac:dyDescent="0.3">
      <c r="A67" t="str">
        <f>IFERROR(INDEX('COA TABLE FORM'!$A$2:$A$66,MATCH($O67,'COA TABLE FORM'!$E$2:$E$66,0)),"")</f>
        <v> Utilities Charges</v>
      </c>
      <c r="B67" t="str" cm="1">
        <f t="array" ref="B67">IFERROR(INDEX('COA TABLE FORM'!$C$2:$C$66,MATCH(1,('COA TABLE FORM'!$E$2:$E$66=$O67)*(ISNUMBER(SEARCH($P67,'COA TABLE FORM'!$B$2:$B$66))),0)),"")</f>
        <v>5010 - Internet / Broadband Charges</v>
      </c>
      <c r="C67" s="7" t="s">
        <v>326</v>
      </c>
      <c r="D67" s="8" t="s">
        <v>398</v>
      </c>
      <c r="E67" t="str">
        <f t="shared" si="6"/>
        <v>402646</v>
      </c>
      <c r="F67" s="7" t="s">
        <v>399</v>
      </c>
      <c r="G67" s="7" t="s">
        <v>350</v>
      </c>
      <c r="H67" s="7" t="str">
        <f t="shared" si="5"/>
        <v>402646</v>
      </c>
      <c r="I67" s="7" t="s">
        <v>396</v>
      </c>
      <c r="J67" s="7" t="s">
        <v>118</v>
      </c>
      <c r="K67" s="9" t="s">
        <v>400</v>
      </c>
      <c r="L67" s="7" t="s">
        <v>110</v>
      </c>
      <c r="M67" s="9"/>
      <c r="N67" t="str" cm="1">
        <f t="array" ref="N67">IFERROR(INDEX('COA TABLE FORM'!$B$2:$B$66,MATCH(1,('COA TABLE FORM'!$E$2:$E$66=$O67)*(ISNUMBER(SEARCH($P67,'COA TABLE FORM'!$B$2:$B$66))),0)),"")</f>
        <v>Internet / Broadband</v>
      </c>
      <c r="O67" t="str">
        <f t="shared" ref="O67:O100" si="7">TRIM(MID($L67,FIND("—",$L67)+1,200))</f>
        <v>Utilities Charges</v>
      </c>
      <c r="P67" t="str">
        <f t="shared" ref="P67:P100" si="8">IF($G67="Phone","Internet / Broadband",$G67)</f>
        <v>Internet</v>
      </c>
    </row>
    <row r="68" spans="1:16" ht="15.75" thickBot="1" x14ac:dyDescent="0.3">
      <c r="A68" t="str">
        <f>IFERROR(INDEX('COA TABLE FORM'!$A$2:$A$66,MATCH($O68,'COA TABLE FORM'!$E$2:$E$66,0)),"")</f>
        <v> Utilities Charges</v>
      </c>
      <c r="B68" t="str" cm="1">
        <f t="array" ref="B68">IFERROR(INDEX('COA TABLE FORM'!$C$2:$C$66,MATCH(1,('COA TABLE FORM'!$E$2:$E$66=$O68)*(ISNUMBER(SEARCH($P68,'COA TABLE FORM'!$B$2:$B$66))),0)),"")</f>
        <v>5010 - Internet / Broadband Charges</v>
      </c>
      <c r="C68" s="7" t="s">
        <v>326</v>
      </c>
      <c r="D68" s="8" t="s">
        <v>401</v>
      </c>
      <c r="E68" t="str">
        <f t="shared" si="6"/>
        <v>413620</v>
      </c>
      <c r="F68" s="7" t="s">
        <v>402</v>
      </c>
      <c r="G68" s="7" t="s">
        <v>350</v>
      </c>
      <c r="H68" s="7" t="str">
        <f t="shared" si="5"/>
        <v>413620</v>
      </c>
      <c r="I68" s="7" t="s">
        <v>396</v>
      </c>
      <c r="J68" s="7" t="s">
        <v>118</v>
      </c>
      <c r="K68" s="9" t="s">
        <v>403</v>
      </c>
      <c r="L68" s="7" t="s">
        <v>110</v>
      </c>
      <c r="M68" s="9"/>
      <c r="N68" t="str" cm="1">
        <f t="array" ref="N68">IFERROR(INDEX('COA TABLE FORM'!$B$2:$B$66,MATCH(1,('COA TABLE FORM'!$E$2:$E$66=$O68)*(ISNUMBER(SEARCH($P68,'COA TABLE FORM'!$B$2:$B$66))),0)),"")</f>
        <v>Internet / Broadband</v>
      </c>
      <c r="O68" t="str">
        <f t="shared" si="7"/>
        <v>Utilities Charges</v>
      </c>
      <c r="P68" t="str">
        <f t="shared" si="8"/>
        <v>Internet</v>
      </c>
    </row>
    <row r="69" spans="1:16" ht="15.75" thickBot="1" x14ac:dyDescent="0.3">
      <c r="A69" t="str">
        <f>IFERROR(INDEX('COA TABLE FORM'!$A$2:$A$66,MATCH($O69,'COA TABLE FORM'!$E$2:$E$66,0)),"")</f>
        <v> Utilities Charges</v>
      </c>
      <c r="B69" t="str" cm="1">
        <f t="array" ref="B69">IFERROR(INDEX('COA TABLE FORM'!$C$2:$C$66,MATCH(1,('COA TABLE FORM'!$E$2:$E$66=$O69)*(ISNUMBER(SEARCH($P69,'COA TABLE FORM'!$B$2:$B$66))),0)),"")</f>
        <v>5010 - Internet / Broadband Charges</v>
      </c>
      <c r="C69" s="7" t="s">
        <v>326</v>
      </c>
      <c r="D69" s="8" t="s">
        <v>404</v>
      </c>
      <c r="E69" t="str">
        <f t="shared" si="6"/>
        <v>420236</v>
      </c>
      <c r="F69" s="7" t="s">
        <v>405</v>
      </c>
      <c r="G69" s="7" t="s">
        <v>350</v>
      </c>
      <c r="H69" s="7" t="str">
        <f t="shared" si="5"/>
        <v>420236</v>
      </c>
      <c r="I69" s="7" t="s">
        <v>396</v>
      </c>
      <c r="J69" s="7" t="s">
        <v>118</v>
      </c>
      <c r="K69" s="9" t="s">
        <v>406</v>
      </c>
      <c r="L69" s="7" t="s">
        <v>110</v>
      </c>
      <c r="M69" s="9"/>
      <c r="N69" t="str" cm="1">
        <f t="array" ref="N69">IFERROR(INDEX('COA TABLE FORM'!$B$2:$B$66,MATCH(1,('COA TABLE FORM'!$E$2:$E$66=$O69)*(ISNUMBER(SEARCH($P69,'COA TABLE FORM'!$B$2:$B$66))),0)),"")</f>
        <v>Internet / Broadband</v>
      </c>
      <c r="O69" t="str">
        <f t="shared" si="7"/>
        <v>Utilities Charges</v>
      </c>
      <c r="P69" t="str">
        <f t="shared" si="8"/>
        <v>Internet</v>
      </c>
    </row>
    <row r="70" spans="1:16" ht="15.75" thickBot="1" x14ac:dyDescent="0.3">
      <c r="A70" t="str">
        <f>IFERROR(INDEX('COA TABLE FORM'!$A$2:$A$66,MATCH($O70,'COA TABLE FORM'!$E$2:$E$66,0)),"")</f>
        <v> Utilities Charges</v>
      </c>
      <c r="B70" t="str" cm="1">
        <f t="array" ref="B70">IFERROR(INDEX('COA TABLE FORM'!$C$2:$C$66,MATCH(1,('COA TABLE FORM'!$E$2:$E$66=$O70)*(ISNUMBER(SEARCH($P70,'COA TABLE FORM'!$B$2:$B$66))),0)),"")</f>
        <v>5010 - Internet / Broadband Charges</v>
      </c>
      <c r="C70" s="7" t="s">
        <v>326</v>
      </c>
      <c r="D70" s="8" t="s">
        <v>407</v>
      </c>
      <c r="E70" t="str">
        <f t="shared" si="6"/>
        <v>423631</v>
      </c>
      <c r="F70" s="7" t="s">
        <v>408</v>
      </c>
      <c r="G70" s="7" t="s">
        <v>350</v>
      </c>
      <c r="H70" s="7" t="str">
        <f t="shared" si="5"/>
        <v>423631</v>
      </c>
      <c r="I70" s="7" t="s">
        <v>409</v>
      </c>
      <c r="J70" s="7" t="s">
        <v>118</v>
      </c>
      <c r="K70" s="9" t="s">
        <v>410</v>
      </c>
      <c r="L70" s="7" t="s">
        <v>110</v>
      </c>
      <c r="M70" s="9"/>
      <c r="N70" t="str" cm="1">
        <f t="array" ref="N70">IFERROR(INDEX('COA TABLE FORM'!$B$2:$B$66,MATCH(1,('COA TABLE FORM'!$E$2:$E$66=$O70)*(ISNUMBER(SEARCH($P70,'COA TABLE FORM'!$B$2:$B$66))),0)),"")</f>
        <v>Internet / Broadband</v>
      </c>
      <c r="O70" t="str">
        <f t="shared" si="7"/>
        <v>Utilities Charges</v>
      </c>
      <c r="P70" t="str">
        <f t="shared" si="8"/>
        <v>Internet</v>
      </c>
    </row>
    <row r="71" spans="1:16" ht="15.75" thickBot="1" x14ac:dyDescent="0.3">
      <c r="A71" t="str">
        <f>IFERROR(INDEX('COA TABLE FORM'!$A$2:$A$66,MATCH($O71,'COA TABLE FORM'!$E$2:$E$66,0)),"")</f>
        <v> Utilities Charges</v>
      </c>
      <c r="B71" t="str" cm="1">
        <f t="array" ref="B71">IFERROR(INDEX('COA TABLE FORM'!$C$2:$C$66,MATCH(1,('COA TABLE FORM'!$E$2:$E$66=$O71)*(ISNUMBER(SEARCH($P71,'COA TABLE FORM'!$B$2:$B$66))),0)),"")</f>
        <v>5010 - Internet / Broadband Charges</v>
      </c>
      <c r="C71" s="7" t="s">
        <v>326</v>
      </c>
      <c r="D71" s="8" t="s">
        <v>411</v>
      </c>
      <c r="E71" t="str">
        <f t="shared" si="6"/>
        <v>200810</v>
      </c>
      <c r="F71" s="7" t="s">
        <v>412</v>
      </c>
      <c r="G71" s="7" t="s">
        <v>350</v>
      </c>
      <c r="H71" s="7" t="str">
        <f t="shared" si="5"/>
        <v>200810</v>
      </c>
      <c r="I71" s="7" t="s">
        <v>413</v>
      </c>
      <c r="J71" s="7" t="s">
        <v>118</v>
      </c>
      <c r="K71" s="9" t="s">
        <v>414</v>
      </c>
      <c r="L71" s="7" t="s">
        <v>110</v>
      </c>
      <c r="M71" s="9"/>
      <c r="N71" t="str" cm="1">
        <f t="array" ref="N71">IFERROR(INDEX('COA TABLE FORM'!$B$2:$B$66,MATCH(1,('COA TABLE FORM'!$E$2:$E$66=$O71)*(ISNUMBER(SEARCH($P71,'COA TABLE FORM'!$B$2:$B$66))),0)),"")</f>
        <v>Internet / Broadband</v>
      </c>
      <c r="O71" t="str">
        <f t="shared" si="7"/>
        <v>Utilities Charges</v>
      </c>
      <c r="P71" t="str">
        <f t="shared" si="8"/>
        <v>Internet</v>
      </c>
    </row>
    <row r="72" spans="1:16" ht="15.75" thickBot="1" x14ac:dyDescent="0.3">
      <c r="A72" t="str">
        <f>IFERROR(INDEX('COA TABLE FORM'!$A$2:$A$66,MATCH($O72,'COA TABLE FORM'!$E$2:$E$66,0)),"")</f>
        <v> Utilities Charges</v>
      </c>
      <c r="B72" t="str" cm="1">
        <f t="array" ref="B72">IFERROR(INDEX('COA TABLE FORM'!$C$2:$C$66,MATCH(1,('COA TABLE FORM'!$E$2:$E$66=$O72)*(ISNUMBER(SEARCH($P72,'COA TABLE FORM'!$B$2:$B$66))),0)),"")</f>
        <v>5010 - Internet / Broadband Charges</v>
      </c>
      <c r="C72" s="7" t="s">
        <v>326</v>
      </c>
      <c r="D72" s="8" t="s">
        <v>415</v>
      </c>
      <c r="E72" t="str">
        <f t="shared" si="6"/>
        <v>650839</v>
      </c>
      <c r="F72" s="7" t="s">
        <v>416</v>
      </c>
      <c r="G72" s="7" t="s">
        <v>350</v>
      </c>
      <c r="H72" s="7" t="str">
        <f t="shared" si="5"/>
        <v>650839</v>
      </c>
      <c r="I72" s="7" t="s">
        <v>417</v>
      </c>
      <c r="J72" s="7" t="s">
        <v>118</v>
      </c>
      <c r="K72" s="9" t="s">
        <v>418</v>
      </c>
      <c r="L72" s="7" t="s">
        <v>110</v>
      </c>
      <c r="M72" s="9"/>
      <c r="N72" t="str" cm="1">
        <f t="array" ref="N72">IFERROR(INDEX('COA TABLE FORM'!$B$2:$B$66,MATCH(1,('COA TABLE FORM'!$E$2:$E$66=$O72)*(ISNUMBER(SEARCH($P72,'COA TABLE FORM'!$B$2:$B$66))),0)),"")</f>
        <v>Internet / Broadband</v>
      </c>
      <c r="O72" t="str">
        <f t="shared" si="7"/>
        <v>Utilities Charges</v>
      </c>
      <c r="P72" t="str">
        <f t="shared" si="8"/>
        <v>Internet</v>
      </c>
    </row>
    <row r="73" spans="1:16" ht="15.75" thickBot="1" x14ac:dyDescent="0.3">
      <c r="A73" t="str">
        <f>IFERROR(INDEX('COA TABLE FORM'!$A$2:$A$66,MATCH($O73,'COA TABLE FORM'!$E$2:$E$66,0)),"")</f>
        <v> Utilities Charges</v>
      </c>
      <c r="B73" t="str" cm="1">
        <f t="array" ref="B73">IFERROR(INDEX('COA TABLE FORM'!$C$2:$C$66,MATCH(1,('COA TABLE FORM'!$E$2:$E$66=$O73)*(ISNUMBER(SEARCH($P73,'COA TABLE FORM'!$B$2:$B$66))),0)),"")</f>
        <v>5010 - Internet / Broadband Charges</v>
      </c>
      <c r="C73" s="7" t="s">
        <v>326</v>
      </c>
      <c r="D73" s="8" t="s">
        <v>419</v>
      </c>
      <c r="E73" t="str">
        <f t="shared" si="6"/>
        <v>251522</v>
      </c>
      <c r="F73" s="7" t="s">
        <v>420</v>
      </c>
      <c r="G73" s="7" t="s">
        <v>350</v>
      </c>
      <c r="H73" s="7" t="str">
        <f t="shared" si="5"/>
        <v>251522</v>
      </c>
      <c r="I73" s="7" t="s">
        <v>421</v>
      </c>
      <c r="J73" s="7" t="s">
        <v>118</v>
      </c>
      <c r="K73" s="9" t="s">
        <v>422</v>
      </c>
      <c r="L73" s="7" t="s">
        <v>110</v>
      </c>
      <c r="M73" s="9"/>
      <c r="N73" t="str" cm="1">
        <f t="array" ref="N73">IFERROR(INDEX('COA TABLE FORM'!$B$2:$B$66,MATCH(1,('COA TABLE FORM'!$E$2:$E$66=$O73)*(ISNUMBER(SEARCH($P73,'COA TABLE FORM'!$B$2:$B$66))),0)),"")</f>
        <v>Internet / Broadband</v>
      </c>
      <c r="O73" t="str">
        <f t="shared" si="7"/>
        <v>Utilities Charges</v>
      </c>
      <c r="P73" t="str">
        <f t="shared" si="8"/>
        <v>Internet</v>
      </c>
    </row>
    <row r="74" spans="1:16" ht="15.75" thickBot="1" x14ac:dyDescent="0.3">
      <c r="A74" t="str">
        <f>IFERROR(INDEX('COA TABLE FORM'!$A$2:$A$66,MATCH($O74,'COA TABLE FORM'!$E$2:$E$66,0)),"")</f>
        <v> Utilities Charges</v>
      </c>
      <c r="B74" t="str" cm="1">
        <f t="array" ref="B74">IFERROR(INDEX('COA TABLE FORM'!$C$2:$C$66,MATCH(1,('COA TABLE FORM'!$E$2:$E$66=$O74)*(ISNUMBER(SEARCH($P74,'COA TABLE FORM'!$B$2:$B$66))),0)),"")</f>
        <v>5010 - Internet / Broadband Charges</v>
      </c>
      <c r="C74" s="7" t="s">
        <v>326</v>
      </c>
      <c r="D74" s="8" t="s">
        <v>423</v>
      </c>
      <c r="E74" t="str">
        <f t="shared" si="6"/>
        <v>309904</v>
      </c>
      <c r="F74" s="7" t="s">
        <v>424</v>
      </c>
      <c r="G74" s="7" t="s">
        <v>350</v>
      </c>
      <c r="H74" s="7" t="str">
        <f t="shared" si="5"/>
        <v>309904</v>
      </c>
      <c r="I74" s="7" t="s">
        <v>425</v>
      </c>
      <c r="J74" s="7" t="s">
        <v>112</v>
      </c>
      <c r="K74" s="9" t="s">
        <v>426</v>
      </c>
      <c r="L74" s="7" t="s">
        <v>110</v>
      </c>
      <c r="M74" s="9"/>
      <c r="N74" t="str" cm="1">
        <f t="array" ref="N74">IFERROR(INDEX('COA TABLE FORM'!$B$2:$B$66,MATCH(1,('COA TABLE FORM'!$E$2:$E$66=$O74)*(ISNUMBER(SEARCH($P74,'COA TABLE FORM'!$B$2:$B$66))),0)),"")</f>
        <v>Internet / Broadband</v>
      </c>
      <c r="O74" t="str">
        <f t="shared" si="7"/>
        <v>Utilities Charges</v>
      </c>
      <c r="P74" t="str">
        <f t="shared" si="8"/>
        <v>Internet</v>
      </c>
    </row>
    <row r="75" spans="1:16" ht="15.75" thickBot="1" x14ac:dyDescent="0.3">
      <c r="A75" t="str">
        <f>IFERROR(INDEX('COA TABLE FORM'!$A$2:$A$66,MATCH($O75,'COA TABLE FORM'!$E$2:$E$66,0)),"")</f>
        <v> Utilities Charges</v>
      </c>
      <c r="B75" t="str" cm="1">
        <f t="array" ref="B75">IFERROR(INDEX('COA TABLE FORM'!$C$2:$C$66,MATCH(1,('COA TABLE FORM'!$E$2:$E$66=$O75)*(ISNUMBER(SEARCH($P75,'COA TABLE FORM'!$B$2:$B$66))),0)),"")</f>
        <v>5010 - Internet / Broadband Charges</v>
      </c>
      <c r="C75" s="7" t="s">
        <v>326</v>
      </c>
      <c r="D75" s="8" t="s">
        <v>427</v>
      </c>
      <c r="E75" t="str">
        <f t="shared" si="6"/>
        <v>419613</v>
      </c>
      <c r="F75" s="7" t="s">
        <v>428</v>
      </c>
      <c r="G75" s="7" t="s">
        <v>350</v>
      </c>
      <c r="H75" s="7" t="str">
        <f t="shared" si="5"/>
        <v>419613</v>
      </c>
      <c r="I75" s="7" t="s">
        <v>429</v>
      </c>
      <c r="J75" s="7" t="s">
        <v>112</v>
      </c>
      <c r="K75" s="9" t="s">
        <v>430</v>
      </c>
      <c r="L75" s="7" t="s">
        <v>110</v>
      </c>
      <c r="M75" s="9"/>
      <c r="N75" t="str" cm="1">
        <f t="array" ref="N75">IFERROR(INDEX('COA TABLE FORM'!$B$2:$B$66,MATCH(1,('COA TABLE FORM'!$E$2:$E$66=$O75)*(ISNUMBER(SEARCH($P75,'COA TABLE FORM'!$B$2:$B$66))),0)),"")</f>
        <v>Internet / Broadband</v>
      </c>
      <c r="O75" t="str">
        <f t="shared" si="7"/>
        <v>Utilities Charges</v>
      </c>
      <c r="P75" t="str">
        <f t="shared" si="8"/>
        <v>Internet</v>
      </c>
    </row>
    <row r="76" spans="1:16" ht="15.75" thickBot="1" x14ac:dyDescent="0.3">
      <c r="A76" t="str">
        <f>IFERROR(INDEX('COA TABLE FORM'!$A$2:$A$66,MATCH($O76,'COA TABLE FORM'!$E$2:$E$66,0)),"")</f>
        <v> Utilities Charges</v>
      </c>
      <c r="B76" t="str" cm="1">
        <f t="array" ref="B76">IFERROR(INDEX('COA TABLE FORM'!$C$2:$C$66,MATCH(1,('COA TABLE FORM'!$E$2:$E$66=$O76)*(ISNUMBER(SEARCH($P76,'COA TABLE FORM'!$B$2:$B$66))),0)),"")</f>
        <v>5010 - Internet / Broadband Charges</v>
      </c>
      <c r="C76" s="7" t="s">
        <v>326</v>
      </c>
      <c r="D76" s="8" t="s">
        <v>431</v>
      </c>
      <c r="E76" t="str">
        <f t="shared" si="6"/>
        <v>311664</v>
      </c>
      <c r="F76" s="7" t="s">
        <v>432</v>
      </c>
      <c r="G76" s="7" t="s">
        <v>350</v>
      </c>
      <c r="H76" s="7" t="str">
        <f t="shared" si="5"/>
        <v>311664</v>
      </c>
      <c r="I76" s="7" t="s">
        <v>433</v>
      </c>
      <c r="J76" s="7" t="s">
        <v>112</v>
      </c>
      <c r="K76" s="9" t="s">
        <v>434</v>
      </c>
      <c r="L76" s="7" t="s">
        <v>110</v>
      </c>
      <c r="M76" s="9"/>
      <c r="N76" t="str" cm="1">
        <f t="array" ref="N76">IFERROR(INDEX('COA TABLE FORM'!$B$2:$B$66,MATCH(1,('COA TABLE FORM'!$E$2:$E$66=$O76)*(ISNUMBER(SEARCH($P76,'COA TABLE FORM'!$B$2:$B$66))),0)),"")</f>
        <v>Internet / Broadband</v>
      </c>
      <c r="O76" t="str">
        <f t="shared" si="7"/>
        <v>Utilities Charges</v>
      </c>
      <c r="P76" t="str">
        <f t="shared" si="8"/>
        <v>Internet</v>
      </c>
    </row>
    <row r="77" spans="1:16" ht="15.75" thickBot="1" x14ac:dyDescent="0.3">
      <c r="A77" t="str">
        <f>IFERROR(INDEX('COA TABLE FORM'!$A$2:$A$66,MATCH($O77,'COA TABLE FORM'!$E$2:$E$66,0)),"")</f>
        <v> Utilities Charges</v>
      </c>
      <c r="B77" t="str" cm="1">
        <f t="array" ref="B77">IFERROR(INDEX('COA TABLE FORM'!$C$2:$C$66,MATCH(1,('COA TABLE FORM'!$E$2:$E$66=$O77)*(ISNUMBER(SEARCH($P77,'COA TABLE FORM'!$B$2:$B$66))),0)),"")</f>
        <v>5010 - Internet / Broadband Charges</v>
      </c>
      <c r="C77" s="7" t="s">
        <v>326</v>
      </c>
      <c r="D77" s="8" t="s">
        <v>435</v>
      </c>
      <c r="E77" t="str">
        <f t="shared" si="6"/>
        <v>186285</v>
      </c>
      <c r="F77" s="7" t="s">
        <v>436</v>
      </c>
      <c r="G77" s="7" t="s">
        <v>350</v>
      </c>
      <c r="H77" s="7" t="str">
        <f t="shared" si="5"/>
        <v>186285</v>
      </c>
      <c r="I77" s="7" t="s">
        <v>437</v>
      </c>
      <c r="J77" s="7" t="s">
        <v>112</v>
      </c>
      <c r="K77" s="9" t="s">
        <v>438</v>
      </c>
      <c r="L77" s="7" t="s">
        <v>110</v>
      </c>
      <c r="M77" s="9"/>
      <c r="N77" t="str" cm="1">
        <f t="array" ref="N77">IFERROR(INDEX('COA TABLE FORM'!$B$2:$B$66,MATCH(1,('COA TABLE FORM'!$E$2:$E$66=$O77)*(ISNUMBER(SEARCH($P77,'COA TABLE FORM'!$B$2:$B$66))),0)),"")</f>
        <v>Internet / Broadband</v>
      </c>
      <c r="O77" t="str">
        <f t="shared" si="7"/>
        <v>Utilities Charges</v>
      </c>
      <c r="P77" t="str">
        <f t="shared" si="8"/>
        <v>Internet</v>
      </c>
    </row>
    <row r="78" spans="1:16" ht="15.75" thickBot="1" x14ac:dyDescent="0.3">
      <c r="A78" t="str">
        <f>IFERROR(INDEX('COA TABLE FORM'!$A$2:$A$66,MATCH($O78,'COA TABLE FORM'!$E$2:$E$66,0)),"")</f>
        <v> Utilities Charges</v>
      </c>
      <c r="B78" t="str" cm="1">
        <f t="array" ref="B78">IFERROR(INDEX('COA TABLE FORM'!$C$2:$C$66,MATCH(1,('COA TABLE FORM'!$E$2:$E$66=$O78)*(ISNUMBER(SEARCH($P78,'COA TABLE FORM'!$B$2:$B$66))),0)),"")</f>
        <v>5010 - Internet / Broadband Charges</v>
      </c>
      <c r="C78" s="7" t="s">
        <v>326</v>
      </c>
      <c r="D78" s="8" t="s">
        <v>439</v>
      </c>
      <c r="E78" t="str">
        <f t="shared" si="6"/>
        <v>410645</v>
      </c>
      <c r="F78" s="7" t="s">
        <v>440</v>
      </c>
      <c r="G78" s="7" t="s">
        <v>350</v>
      </c>
      <c r="H78" s="7" t="str">
        <f t="shared" si="5"/>
        <v>410645</v>
      </c>
      <c r="I78" s="7" t="s">
        <v>433</v>
      </c>
      <c r="J78" s="7" t="s">
        <v>112</v>
      </c>
      <c r="K78" s="9" t="s">
        <v>441</v>
      </c>
      <c r="L78" s="7" t="s">
        <v>110</v>
      </c>
      <c r="M78" s="9"/>
      <c r="N78" t="str" cm="1">
        <f t="array" ref="N78">IFERROR(INDEX('COA TABLE FORM'!$B$2:$B$66,MATCH(1,('COA TABLE FORM'!$E$2:$E$66=$O78)*(ISNUMBER(SEARCH($P78,'COA TABLE FORM'!$B$2:$B$66))),0)),"")</f>
        <v>Internet / Broadband</v>
      </c>
      <c r="O78" t="str">
        <f t="shared" si="7"/>
        <v>Utilities Charges</v>
      </c>
      <c r="P78" t="str">
        <f t="shared" si="8"/>
        <v>Internet</v>
      </c>
    </row>
    <row r="79" spans="1:16" ht="15.75" thickBot="1" x14ac:dyDescent="0.3">
      <c r="A79" t="str">
        <f>IFERROR(INDEX('COA TABLE FORM'!$A$2:$A$66,MATCH($O79,'COA TABLE FORM'!$E$2:$E$66,0)),"")</f>
        <v> Utilities Charges</v>
      </c>
      <c r="B79" t="str" cm="1">
        <f t="array" ref="B79">IFERROR(INDEX('COA TABLE FORM'!$C$2:$C$66,MATCH(1,('COA TABLE FORM'!$E$2:$E$66=$O79)*(ISNUMBER(SEARCH($P79,'COA TABLE FORM'!$B$2:$B$66))),0)),"")</f>
        <v>5010 - Internet / Broadband Charges</v>
      </c>
      <c r="C79" s="7" t="s">
        <v>326</v>
      </c>
      <c r="D79" s="8" t="s">
        <v>442</v>
      </c>
      <c r="E79" t="str">
        <f t="shared" si="6"/>
        <v>479622</v>
      </c>
      <c r="F79" s="7" t="s">
        <v>443</v>
      </c>
      <c r="G79" s="7" t="s">
        <v>350</v>
      </c>
      <c r="H79" s="7" t="str">
        <f t="shared" si="5"/>
        <v>479622</v>
      </c>
      <c r="I79" s="7" t="s">
        <v>444</v>
      </c>
      <c r="J79" s="7" t="s">
        <v>112</v>
      </c>
      <c r="K79" s="9" t="s">
        <v>445</v>
      </c>
      <c r="L79" s="7" t="s">
        <v>110</v>
      </c>
      <c r="M79" s="9"/>
      <c r="N79" t="str" cm="1">
        <f t="array" ref="N79">IFERROR(INDEX('COA TABLE FORM'!$B$2:$B$66,MATCH(1,('COA TABLE FORM'!$E$2:$E$66=$O79)*(ISNUMBER(SEARCH($P79,'COA TABLE FORM'!$B$2:$B$66))),0)),"")</f>
        <v>Internet / Broadband</v>
      </c>
      <c r="O79" t="str">
        <f t="shared" si="7"/>
        <v>Utilities Charges</v>
      </c>
      <c r="P79" t="str">
        <f t="shared" si="8"/>
        <v>Internet</v>
      </c>
    </row>
    <row r="80" spans="1:16" ht="15.75" thickBot="1" x14ac:dyDescent="0.3">
      <c r="A80" t="str">
        <f>IFERROR(INDEX('COA TABLE FORM'!$A$2:$A$66,MATCH($O80,'COA TABLE FORM'!$E$2:$E$66,0)),"")</f>
        <v> Utilities Charges</v>
      </c>
      <c r="B80" t="str" cm="1">
        <f t="array" ref="B80">IFERROR(INDEX('COA TABLE FORM'!$C$2:$C$66,MATCH(1,('COA TABLE FORM'!$E$2:$E$66=$O80)*(ISNUMBER(SEARCH($P80,'COA TABLE FORM'!$B$2:$B$66))),0)),"")</f>
        <v>5010 - Internet / Broadband Charges</v>
      </c>
      <c r="C80" s="7" t="s">
        <v>326</v>
      </c>
      <c r="D80" s="8" t="s">
        <v>446</v>
      </c>
      <c r="E80" t="str">
        <f t="shared" si="6"/>
        <v>305149</v>
      </c>
      <c r="F80" s="7" t="s">
        <v>447</v>
      </c>
      <c r="G80" s="7" t="s">
        <v>350</v>
      </c>
      <c r="H80" s="7" t="str">
        <f t="shared" si="5"/>
        <v>305149</v>
      </c>
      <c r="I80" s="7" t="s">
        <v>448</v>
      </c>
      <c r="J80" s="7" t="s">
        <v>112</v>
      </c>
      <c r="K80" s="9" t="s">
        <v>449</v>
      </c>
      <c r="L80" s="7" t="s">
        <v>110</v>
      </c>
      <c r="M80" s="9"/>
      <c r="N80" t="str" cm="1">
        <f t="array" ref="N80">IFERROR(INDEX('COA TABLE FORM'!$B$2:$B$66,MATCH(1,('COA TABLE FORM'!$E$2:$E$66=$O80)*(ISNUMBER(SEARCH($P80,'COA TABLE FORM'!$B$2:$B$66))),0)),"")</f>
        <v>Internet / Broadband</v>
      </c>
      <c r="O80" t="str">
        <f t="shared" si="7"/>
        <v>Utilities Charges</v>
      </c>
      <c r="P80" t="str">
        <f t="shared" si="8"/>
        <v>Internet</v>
      </c>
    </row>
    <row r="81" spans="1:16" ht="15.75" thickBot="1" x14ac:dyDescent="0.3">
      <c r="A81" t="str">
        <f>IFERROR(INDEX('COA TABLE FORM'!$A$2:$A$66,MATCH($O81,'COA TABLE FORM'!$E$2:$E$66,0)),"")</f>
        <v> Utilities Charges</v>
      </c>
      <c r="B81" t="str" cm="1">
        <f t="array" ref="B81">IFERROR(INDEX('COA TABLE FORM'!$C$2:$C$66,MATCH(1,('COA TABLE FORM'!$E$2:$E$66=$O81)*(ISNUMBER(SEARCH($P81,'COA TABLE FORM'!$B$2:$B$66))),0)),"")</f>
        <v>5010 - Internet / Broadband Charges</v>
      </c>
      <c r="C81" s="7" t="s">
        <v>326</v>
      </c>
      <c r="D81" s="8" t="s">
        <v>450</v>
      </c>
      <c r="E81" t="str">
        <f t="shared" si="6"/>
        <v>653439</v>
      </c>
      <c r="F81" s="7" t="s">
        <v>451</v>
      </c>
      <c r="G81" s="7" t="s">
        <v>350</v>
      </c>
      <c r="H81" s="7" t="str">
        <f t="shared" si="5"/>
        <v>653439</v>
      </c>
      <c r="I81" s="7" t="s">
        <v>452</v>
      </c>
      <c r="J81" s="7" t="s">
        <v>112</v>
      </c>
      <c r="K81" s="9" t="s">
        <v>453</v>
      </c>
      <c r="L81" s="7" t="s">
        <v>110</v>
      </c>
      <c r="M81" s="9"/>
      <c r="N81" t="str" cm="1">
        <f t="array" ref="N81">IFERROR(INDEX('COA TABLE FORM'!$B$2:$B$66,MATCH(1,('COA TABLE FORM'!$E$2:$E$66=$O81)*(ISNUMBER(SEARCH($P81,'COA TABLE FORM'!$B$2:$B$66))),0)),"")</f>
        <v>Internet / Broadband</v>
      </c>
      <c r="O81" t="str">
        <f t="shared" si="7"/>
        <v>Utilities Charges</v>
      </c>
      <c r="P81" t="str">
        <f t="shared" si="8"/>
        <v>Internet</v>
      </c>
    </row>
    <row r="82" spans="1:16" ht="15.75" thickBot="1" x14ac:dyDescent="0.3">
      <c r="A82" t="str">
        <f>IFERROR(INDEX('COA TABLE FORM'!$A$2:$A$66,MATCH($O82,'COA TABLE FORM'!$E$2:$E$66,0)),"")</f>
        <v> Utilities Charges</v>
      </c>
      <c r="B82" t="str" cm="1">
        <f t="array" ref="B82">IFERROR(INDEX('COA TABLE FORM'!$C$2:$C$66,MATCH(1,('COA TABLE FORM'!$E$2:$E$66=$O82)*(ISNUMBER(SEARCH($P82,'COA TABLE FORM'!$B$2:$B$66))),0)),"")</f>
        <v>5010 - Internet / Broadband Charges</v>
      </c>
      <c r="C82" s="7" t="s">
        <v>326</v>
      </c>
      <c r="D82" s="8" t="s">
        <v>454</v>
      </c>
      <c r="E82" t="str">
        <f t="shared" si="6"/>
        <v>423631</v>
      </c>
      <c r="F82" s="7" t="s">
        <v>455</v>
      </c>
      <c r="G82" s="7" t="s">
        <v>350</v>
      </c>
      <c r="H82" s="7" t="str">
        <f t="shared" si="5"/>
        <v>423631</v>
      </c>
      <c r="I82" s="7" t="s">
        <v>456</v>
      </c>
      <c r="J82" s="7" t="s">
        <v>112</v>
      </c>
      <c r="K82" s="9" t="s">
        <v>410</v>
      </c>
      <c r="L82" s="7" t="s">
        <v>110</v>
      </c>
      <c r="M82" s="9"/>
      <c r="N82" t="str" cm="1">
        <f t="array" ref="N82">IFERROR(INDEX('COA TABLE FORM'!$B$2:$B$66,MATCH(1,('COA TABLE FORM'!$E$2:$E$66=$O82)*(ISNUMBER(SEARCH($P82,'COA TABLE FORM'!$B$2:$B$66))),0)),"")</f>
        <v>Internet / Broadband</v>
      </c>
      <c r="O82" t="str">
        <f t="shared" si="7"/>
        <v>Utilities Charges</v>
      </c>
      <c r="P82" t="str">
        <f t="shared" si="8"/>
        <v>Internet</v>
      </c>
    </row>
    <row r="83" spans="1:16" ht="15.75" thickBot="1" x14ac:dyDescent="0.3">
      <c r="A83" t="str">
        <f>IFERROR(INDEX('COA TABLE FORM'!$A$2:$A$66,MATCH($O83,'COA TABLE FORM'!$E$2:$E$66,0)),"")</f>
        <v> Utilities Charges</v>
      </c>
      <c r="B83" t="str" cm="1">
        <f t="array" ref="B83">IFERROR(INDEX('COA TABLE FORM'!$C$2:$C$66,MATCH(1,('COA TABLE FORM'!$E$2:$E$66=$O83)*(ISNUMBER(SEARCH($P83,'COA TABLE FORM'!$B$2:$B$66))),0)),"")</f>
        <v>5010 - Internet / Broadband Charges</v>
      </c>
      <c r="C83" s="7" t="s">
        <v>326</v>
      </c>
      <c r="D83" s="8" t="s">
        <v>457</v>
      </c>
      <c r="E83" t="str">
        <f t="shared" si="6"/>
        <v>336040</v>
      </c>
      <c r="F83" s="7" t="s">
        <v>458</v>
      </c>
      <c r="G83" s="7" t="s">
        <v>350</v>
      </c>
      <c r="H83" s="7" t="str">
        <f t="shared" si="5"/>
        <v>336040</v>
      </c>
      <c r="I83" s="7" t="s">
        <v>459</v>
      </c>
      <c r="J83" s="7" t="s">
        <v>112</v>
      </c>
      <c r="K83" s="9" t="s">
        <v>460</v>
      </c>
      <c r="L83" s="7" t="s">
        <v>110</v>
      </c>
      <c r="M83" s="9"/>
      <c r="N83" t="str" cm="1">
        <f t="array" ref="N83">IFERROR(INDEX('COA TABLE FORM'!$B$2:$B$66,MATCH(1,('COA TABLE FORM'!$E$2:$E$66=$O83)*(ISNUMBER(SEARCH($P83,'COA TABLE FORM'!$B$2:$B$66))),0)),"")</f>
        <v>Internet / Broadband</v>
      </c>
      <c r="O83" t="str">
        <f t="shared" si="7"/>
        <v>Utilities Charges</v>
      </c>
      <c r="P83" t="str">
        <f t="shared" si="8"/>
        <v>Internet</v>
      </c>
    </row>
    <row r="84" spans="1:16" ht="15.75" thickBot="1" x14ac:dyDescent="0.3">
      <c r="A84" t="str">
        <f>IFERROR(INDEX('COA TABLE FORM'!$A$2:$A$66,MATCH($O84,'COA TABLE FORM'!$E$2:$E$66,0)),"")</f>
        <v> Utilities Charges</v>
      </c>
      <c r="B84" t="str" cm="1">
        <f t="array" ref="B84">IFERROR(INDEX('COA TABLE FORM'!$C$2:$C$66,MATCH(1,('COA TABLE FORM'!$E$2:$E$66=$O84)*(ISNUMBER(SEARCH($P84,'COA TABLE FORM'!$B$2:$B$66))),0)),"")</f>
        <v>5010 - Internet / Broadband Charges</v>
      </c>
      <c r="C84" s="7" t="s">
        <v>326</v>
      </c>
      <c r="D84" s="8" t="s">
        <v>461</v>
      </c>
      <c r="E84" t="str">
        <f t="shared" si="6"/>
        <v>540692</v>
      </c>
      <c r="F84" s="7" t="s">
        <v>462</v>
      </c>
      <c r="G84" s="7" t="s">
        <v>350</v>
      </c>
      <c r="H84" s="7" t="str">
        <f t="shared" si="5"/>
        <v>540692</v>
      </c>
      <c r="I84" s="7" t="s">
        <v>463</v>
      </c>
      <c r="J84" s="7" t="s">
        <v>464</v>
      </c>
      <c r="K84" s="9" t="s">
        <v>465</v>
      </c>
      <c r="L84" s="7" t="s">
        <v>110</v>
      </c>
      <c r="M84" s="9"/>
      <c r="N84" t="str" cm="1">
        <f t="array" ref="N84">IFERROR(INDEX('COA TABLE FORM'!$B$2:$B$66,MATCH(1,('COA TABLE FORM'!$E$2:$E$66=$O84)*(ISNUMBER(SEARCH($P84,'COA TABLE FORM'!$B$2:$B$66))),0)),"")</f>
        <v>Internet / Broadband</v>
      </c>
      <c r="O84" t="str">
        <f t="shared" si="7"/>
        <v>Utilities Charges</v>
      </c>
      <c r="P84" t="str">
        <f t="shared" si="8"/>
        <v>Internet</v>
      </c>
    </row>
    <row r="85" spans="1:16" ht="15.75" thickBot="1" x14ac:dyDescent="0.3">
      <c r="A85" t="str">
        <f>IFERROR(INDEX('COA TABLE FORM'!$A$2:$A$66,MATCH($O85,'COA TABLE FORM'!$E$2:$E$66,0)),"")</f>
        <v> Utilities Charges</v>
      </c>
      <c r="B85" t="str" cm="1">
        <f t="array" ref="B85">IFERROR(INDEX('COA TABLE FORM'!$C$2:$C$66,MATCH(1,('COA TABLE FORM'!$E$2:$E$66=$O85)*(ISNUMBER(SEARCH($P85,'COA TABLE FORM'!$B$2:$B$66))),0)),"")</f>
        <v>5010 - Internet / Broadband Charges</v>
      </c>
      <c r="C85" s="7" t="s">
        <v>326</v>
      </c>
      <c r="D85" s="8" t="s">
        <v>466</v>
      </c>
      <c r="E85" t="str">
        <f t="shared" si="6"/>
        <v>349842</v>
      </c>
      <c r="F85" s="7" t="s">
        <v>467</v>
      </c>
      <c r="G85" s="7" t="s">
        <v>350</v>
      </c>
      <c r="H85" s="7" t="str">
        <f t="shared" si="5"/>
        <v>349842</v>
      </c>
      <c r="I85" s="7" t="s">
        <v>468</v>
      </c>
      <c r="J85" s="7" t="s">
        <v>469</v>
      </c>
      <c r="K85" s="9" t="s">
        <v>470</v>
      </c>
      <c r="L85" s="7" t="s">
        <v>110</v>
      </c>
      <c r="M85" s="9"/>
      <c r="N85" t="str" cm="1">
        <f t="array" ref="N85">IFERROR(INDEX('COA TABLE FORM'!$B$2:$B$66,MATCH(1,('COA TABLE FORM'!$E$2:$E$66=$O85)*(ISNUMBER(SEARCH($P85,'COA TABLE FORM'!$B$2:$B$66))),0)),"")</f>
        <v>Internet / Broadband</v>
      </c>
      <c r="O85" t="str">
        <f t="shared" si="7"/>
        <v>Utilities Charges</v>
      </c>
      <c r="P85" t="str">
        <f t="shared" si="8"/>
        <v>Internet</v>
      </c>
    </row>
    <row r="86" spans="1:16" ht="15.75" thickBot="1" x14ac:dyDescent="0.3">
      <c r="A86" t="str">
        <f>IFERROR(INDEX('COA TABLE FORM'!$A$2:$A$66,MATCH($O86,'COA TABLE FORM'!$E$2:$E$66,0)),"")</f>
        <v> Utilities Charges</v>
      </c>
      <c r="B86" t="str" cm="1">
        <f t="array" ref="B86">IFERROR(INDEX('COA TABLE FORM'!$C$2:$C$66,MATCH(1,('COA TABLE FORM'!$E$2:$E$66=$O86)*(ISNUMBER(SEARCH($P86,'COA TABLE FORM'!$B$2:$B$66))),0)),"")</f>
        <v>5010 - Internet / Broadband Charges</v>
      </c>
      <c r="C86" s="7" t="s">
        <v>326</v>
      </c>
      <c r="D86" s="8" t="s">
        <v>471</v>
      </c>
      <c r="E86" t="str">
        <f t="shared" si="6"/>
        <v>424718</v>
      </c>
      <c r="F86" s="7" t="s">
        <v>472</v>
      </c>
      <c r="G86" s="7" t="s">
        <v>350</v>
      </c>
      <c r="H86" s="7" t="str">
        <f t="shared" si="5"/>
        <v>424718</v>
      </c>
      <c r="I86" s="7" t="s">
        <v>473</v>
      </c>
      <c r="J86" s="7" t="s">
        <v>474</v>
      </c>
      <c r="K86" s="9" t="s">
        <v>475</v>
      </c>
      <c r="L86" s="7" t="s">
        <v>110</v>
      </c>
      <c r="M86" s="9"/>
      <c r="N86" t="str" cm="1">
        <f t="array" ref="N86">IFERROR(INDEX('COA TABLE FORM'!$B$2:$B$66,MATCH(1,('COA TABLE FORM'!$E$2:$E$66=$O86)*(ISNUMBER(SEARCH($P86,'COA TABLE FORM'!$B$2:$B$66))),0)),"")</f>
        <v>Internet / Broadband</v>
      </c>
      <c r="O86" t="str">
        <f t="shared" si="7"/>
        <v>Utilities Charges</v>
      </c>
      <c r="P86" t="str">
        <f t="shared" si="8"/>
        <v>Internet</v>
      </c>
    </row>
    <row r="87" spans="1:16" ht="15.75" thickBot="1" x14ac:dyDescent="0.3">
      <c r="A87" t="str">
        <f>IFERROR(INDEX('COA TABLE FORM'!$A$2:$A$66,MATCH($O87,'COA TABLE FORM'!$E$2:$E$66,0)),"")</f>
        <v> Utilities Charges</v>
      </c>
      <c r="B87" t="str" cm="1">
        <f t="array" ref="B87">IFERROR(INDEX('COA TABLE FORM'!$C$2:$C$66,MATCH(1,('COA TABLE FORM'!$E$2:$E$66=$O87)*(ISNUMBER(SEARCH($P87,'COA TABLE FORM'!$B$2:$B$66))),0)),"")</f>
        <v>5010 - Internet / Broadband Charges</v>
      </c>
      <c r="C87" s="7" t="s">
        <v>326</v>
      </c>
      <c r="D87" s="8" t="s">
        <v>476</v>
      </c>
      <c r="E87" t="str">
        <f t="shared" si="6"/>
        <v>422703</v>
      </c>
      <c r="F87" s="7" t="s">
        <v>477</v>
      </c>
      <c r="G87" s="7" t="s">
        <v>350</v>
      </c>
      <c r="H87" s="7" t="str">
        <f t="shared" si="5"/>
        <v>422703</v>
      </c>
      <c r="I87" s="7" t="s">
        <v>478</v>
      </c>
      <c r="J87" s="7" t="s">
        <v>479</v>
      </c>
      <c r="K87" s="9" t="s">
        <v>480</v>
      </c>
      <c r="L87" s="7" t="s">
        <v>110</v>
      </c>
      <c r="M87" s="9"/>
      <c r="N87" t="str" cm="1">
        <f t="array" ref="N87">IFERROR(INDEX('COA TABLE FORM'!$B$2:$B$66,MATCH(1,('COA TABLE FORM'!$E$2:$E$66=$O87)*(ISNUMBER(SEARCH($P87,'COA TABLE FORM'!$B$2:$B$66))),0)),"")</f>
        <v>Internet / Broadband</v>
      </c>
      <c r="O87" t="str">
        <f t="shared" si="7"/>
        <v>Utilities Charges</v>
      </c>
      <c r="P87" t="str">
        <f t="shared" si="8"/>
        <v>Internet</v>
      </c>
    </row>
    <row r="88" spans="1:16" ht="15.75" thickBot="1" x14ac:dyDescent="0.3">
      <c r="A88" t="str">
        <f>IFERROR(INDEX('COA TABLE FORM'!$A$2:$A$66,MATCH($O88,'COA TABLE FORM'!$E$2:$E$66,0)),"")</f>
        <v> Utilities Charges</v>
      </c>
      <c r="B88" t="str" cm="1">
        <f t="array" ref="B88">IFERROR(INDEX('COA TABLE FORM'!$C$2:$C$66,MATCH(1,('COA TABLE FORM'!$E$2:$E$66=$O88)*(ISNUMBER(SEARCH($P88,'COA TABLE FORM'!$B$2:$B$66))),0)),"")</f>
        <v>5010 - Internet / Broadband Charges</v>
      </c>
      <c r="C88" s="7" t="s">
        <v>326</v>
      </c>
      <c r="D88" s="8" t="s">
        <v>481</v>
      </c>
      <c r="E88" t="str">
        <f t="shared" si="6"/>
        <v/>
      </c>
      <c r="F88" s="7" t="s">
        <v>482</v>
      </c>
      <c r="G88" s="7" t="s">
        <v>350</v>
      </c>
      <c r="H88" s="7" t="str">
        <f t="shared" si="5"/>
        <v/>
      </c>
      <c r="I88" s="7" t="s">
        <v>482</v>
      </c>
      <c r="J88" s="7" t="s">
        <v>108</v>
      </c>
      <c r="K88" s="9" t="s">
        <v>483</v>
      </c>
      <c r="L88" s="7" t="s">
        <v>110</v>
      </c>
      <c r="M88" s="9"/>
      <c r="N88" t="str" cm="1">
        <f t="array" ref="N88">IFERROR(INDEX('COA TABLE FORM'!$B$2:$B$66,MATCH(1,('COA TABLE FORM'!$E$2:$E$66=$O88)*(ISNUMBER(SEARCH($P88,'COA TABLE FORM'!$B$2:$B$66))),0)),"")</f>
        <v>Internet / Broadband</v>
      </c>
      <c r="O88" t="str">
        <f t="shared" si="7"/>
        <v>Utilities Charges</v>
      </c>
      <c r="P88" t="str">
        <f t="shared" si="8"/>
        <v>Internet</v>
      </c>
    </row>
    <row r="89" spans="1:16" ht="15.75" thickBot="1" x14ac:dyDescent="0.3">
      <c r="A89" t="str">
        <f>IFERROR(INDEX('COA TABLE FORM'!$A$2:$A$66,MATCH($O89,'COA TABLE FORM'!$E$2:$E$66,0)),"")</f>
        <v> Utilities Charges</v>
      </c>
      <c r="B89" t="str" cm="1">
        <f t="array" ref="B89">IFERROR(INDEX('COA TABLE FORM'!$C$2:$C$66,MATCH(1,('COA TABLE FORM'!$E$2:$E$66=$O89)*(ISNUMBER(SEARCH($P89,'COA TABLE FORM'!$B$2:$B$66))),0)),"")</f>
        <v>5009 - Gas Charges</v>
      </c>
      <c r="C89" s="7" t="s">
        <v>484</v>
      </c>
      <c r="D89" s="8" t="s">
        <v>485</v>
      </c>
      <c r="E89" t="str">
        <f t="shared" si="6"/>
        <v>CU03060324</v>
      </c>
      <c r="F89" s="7" t="s">
        <v>486</v>
      </c>
      <c r="G89" s="7" t="s">
        <v>87</v>
      </c>
      <c r="H89" s="7" t="s">
        <v>487</v>
      </c>
      <c r="I89" s="7" t="s">
        <v>488</v>
      </c>
      <c r="J89" s="7" t="s">
        <v>118</v>
      </c>
      <c r="K89" s="9" t="s">
        <v>489</v>
      </c>
      <c r="L89" s="7" t="s">
        <v>110</v>
      </c>
      <c r="M89" s="9"/>
      <c r="N89" t="str" cm="1">
        <f t="array" ref="N89">IFERROR(INDEX('COA TABLE FORM'!$B$2:$B$66,MATCH(1,('COA TABLE FORM'!$E$2:$E$66=$O89)*(ISNUMBER(SEARCH($P89,'COA TABLE FORM'!$B$2:$B$66))),0)),"")</f>
        <v>Gas</v>
      </c>
      <c r="O89" t="str">
        <f t="shared" si="7"/>
        <v>Utilities Charges</v>
      </c>
      <c r="P89" t="str">
        <f t="shared" si="8"/>
        <v>Gas</v>
      </c>
    </row>
    <row r="90" spans="1:16" ht="15.75" thickBot="1" x14ac:dyDescent="0.3">
      <c r="A90" t="str">
        <f>IFERROR(INDEX('COA TABLE FORM'!$A$2:$A$66,MATCH($O90,'COA TABLE FORM'!$E$2:$E$66,0)),"")</f>
        <v> Utilities Charges</v>
      </c>
      <c r="B90" t="str" cm="1">
        <f t="array" ref="B90">IFERROR(INDEX('COA TABLE FORM'!$C$2:$C$66,MATCH(1,('COA TABLE FORM'!$E$2:$E$66=$O90)*(ISNUMBER(SEARCH($P90,'COA TABLE FORM'!$B$2:$B$66))),0)),"")</f>
        <v>5009 - Gas Charges</v>
      </c>
      <c r="C90" s="7" t="s">
        <v>484</v>
      </c>
      <c r="D90" s="8" t="s">
        <v>490</v>
      </c>
      <c r="E90" t="str">
        <f t="shared" si="6"/>
        <v>CT08367262-0</v>
      </c>
      <c r="F90" s="7" t="s">
        <v>491</v>
      </c>
      <c r="G90" s="7" t="s">
        <v>87</v>
      </c>
      <c r="H90" s="7" t="s">
        <v>492</v>
      </c>
      <c r="I90" s="7" t="s">
        <v>493</v>
      </c>
      <c r="J90" s="7" t="s">
        <v>118</v>
      </c>
      <c r="K90" s="9" t="s">
        <v>494</v>
      </c>
      <c r="L90" s="7" t="s">
        <v>110</v>
      </c>
      <c r="M90" s="9"/>
      <c r="N90" t="str" cm="1">
        <f t="array" ref="N90">IFERROR(INDEX('COA TABLE FORM'!$B$2:$B$66,MATCH(1,('COA TABLE FORM'!$E$2:$E$66=$O90)*(ISNUMBER(SEARCH($P90,'COA TABLE FORM'!$B$2:$B$66))),0)),"")</f>
        <v>Gas</v>
      </c>
      <c r="O90" t="str">
        <f t="shared" si="7"/>
        <v>Utilities Charges</v>
      </c>
      <c r="P90" t="str">
        <f t="shared" si="8"/>
        <v>Gas</v>
      </c>
    </row>
    <row r="91" spans="1:16" ht="15.75" thickBot="1" x14ac:dyDescent="0.3">
      <c r="A91" t="str">
        <f>IFERROR(INDEX('COA TABLE FORM'!$A$2:$A$66,MATCH($O91,'COA TABLE FORM'!$E$2:$E$66,0)),"")</f>
        <v> Utilities Charges</v>
      </c>
      <c r="B91" t="str" cm="1">
        <f t="array" ref="B91">IFERROR(INDEX('COA TABLE FORM'!$C$2:$C$66,MATCH(1,('COA TABLE FORM'!$E$2:$E$66=$O91)*(ISNUMBER(SEARCH($P91,'COA TABLE FORM'!$B$2:$B$66))),0)),"")</f>
        <v>5009 - Gas Charges</v>
      </c>
      <c r="C91" s="7" t="s">
        <v>484</v>
      </c>
      <c r="D91" s="8" t="s">
        <v>495</v>
      </c>
      <c r="E91" t="str">
        <f t="shared" si="6"/>
        <v>CT00005225906</v>
      </c>
      <c r="F91" s="7" t="s">
        <v>496</v>
      </c>
      <c r="G91" s="7" t="s">
        <v>87</v>
      </c>
      <c r="H91" s="7" t="s">
        <v>497</v>
      </c>
      <c r="I91" s="7" t="s">
        <v>498</v>
      </c>
      <c r="J91" s="7" t="s">
        <v>118</v>
      </c>
      <c r="K91" s="9" t="s">
        <v>499</v>
      </c>
      <c r="L91" s="7" t="s">
        <v>110</v>
      </c>
      <c r="M91" s="9"/>
      <c r="N91" t="str" cm="1">
        <f t="array" ref="N91">IFERROR(INDEX('COA TABLE FORM'!$B$2:$B$66,MATCH(1,('COA TABLE FORM'!$E$2:$E$66=$O91)*(ISNUMBER(SEARCH($P91,'COA TABLE FORM'!$B$2:$B$66))),0)),"")</f>
        <v>Gas</v>
      </c>
      <c r="O91" t="str">
        <f t="shared" si="7"/>
        <v>Utilities Charges</v>
      </c>
      <c r="P91" t="str">
        <f t="shared" si="8"/>
        <v>Gas</v>
      </c>
    </row>
    <row r="92" spans="1:16" ht="15.75" thickBot="1" x14ac:dyDescent="0.3">
      <c r="A92" t="str">
        <f>IFERROR(INDEX('COA TABLE FORM'!$A$2:$A$66,MATCH($O92,'COA TABLE FORM'!$E$2:$E$66,0)),"")</f>
        <v> Utilities Charges</v>
      </c>
      <c r="B92" t="str" cm="1">
        <f t="array" ref="B92">IFERROR(INDEX('COA TABLE FORM'!$C$2:$C$66,MATCH(1,('COA TABLE FORM'!$E$2:$E$66=$O92)*(ISNUMBER(SEARCH($P92,'COA TABLE FORM'!$B$2:$B$66))),0)),"")</f>
        <v>5009 - Gas Charges</v>
      </c>
      <c r="C92" s="7" t="s">
        <v>484</v>
      </c>
      <c r="D92" s="8" t="s">
        <v>500</v>
      </c>
      <c r="E92" t="str">
        <f t="shared" si="6"/>
        <v>CU00063501-0</v>
      </c>
      <c r="F92" s="7" t="s">
        <v>501</v>
      </c>
      <c r="G92" s="7" t="s">
        <v>87</v>
      </c>
      <c r="H92" s="7" t="s">
        <v>502</v>
      </c>
      <c r="I92" s="7" t="s">
        <v>503</v>
      </c>
      <c r="J92" s="7" t="s">
        <v>118</v>
      </c>
      <c r="K92" s="9" t="s">
        <v>504</v>
      </c>
      <c r="L92" s="7" t="s">
        <v>110</v>
      </c>
      <c r="M92" s="9"/>
      <c r="N92" t="str" cm="1">
        <f t="array" ref="N92">IFERROR(INDEX('COA TABLE FORM'!$B$2:$B$66,MATCH(1,('COA TABLE FORM'!$E$2:$E$66=$O92)*(ISNUMBER(SEARCH($P92,'COA TABLE FORM'!$B$2:$B$66))),0)),"")</f>
        <v>Gas</v>
      </c>
      <c r="O92" t="str">
        <f t="shared" si="7"/>
        <v>Utilities Charges</v>
      </c>
      <c r="P92" t="str">
        <f t="shared" si="8"/>
        <v>Gas</v>
      </c>
    </row>
    <row r="93" spans="1:16" ht="15.75" thickBot="1" x14ac:dyDescent="0.3">
      <c r="A93" t="str">
        <f>IFERROR(INDEX('COA TABLE FORM'!$A$2:$A$66,MATCH($O93,'COA TABLE FORM'!$E$2:$E$66,0)),"")</f>
        <v> Utilities Charges</v>
      </c>
      <c r="B93" t="str" cm="1">
        <f t="array" ref="B93">IFERROR(INDEX('COA TABLE FORM'!$C$2:$C$66,MATCH(1,('COA TABLE FORM'!$E$2:$E$66=$O93)*(ISNUMBER(SEARCH($P93,'COA TABLE FORM'!$B$2:$B$66))),0)),"")</f>
        <v>5009 - Gas Charges</v>
      </c>
      <c r="C93" s="7" t="s">
        <v>484</v>
      </c>
      <c r="D93" s="8" t="s">
        <v>505</v>
      </c>
      <c r="E93" t="str">
        <f t="shared" si="6"/>
        <v>CU000058354-0</v>
      </c>
      <c r="F93" s="7" t="s">
        <v>506</v>
      </c>
      <c r="G93" s="7" t="s">
        <v>87</v>
      </c>
      <c r="H93" s="7" t="s">
        <v>507</v>
      </c>
      <c r="I93" s="7" t="s">
        <v>508</v>
      </c>
      <c r="J93" s="7" t="s">
        <v>118</v>
      </c>
      <c r="K93" s="9" t="s">
        <v>509</v>
      </c>
      <c r="L93" s="7" t="s">
        <v>110</v>
      </c>
      <c r="M93" s="9"/>
      <c r="N93" t="str" cm="1">
        <f t="array" ref="N93">IFERROR(INDEX('COA TABLE FORM'!$B$2:$B$66,MATCH(1,('COA TABLE FORM'!$E$2:$E$66=$O93)*(ISNUMBER(SEARCH($P93,'COA TABLE FORM'!$B$2:$B$66))),0)),"")</f>
        <v>Gas</v>
      </c>
      <c r="O93" t="str">
        <f t="shared" si="7"/>
        <v>Utilities Charges</v>
      </c>
      <c r="P93" t="str">
        <f t="shared" si="8"/>
        <v>Gas</v>
      </c>
    </row>
    <row r="94" spans="1:16" ht="15.75" thickBot="1" x14ac:dyDescent="0.3">
      <c r="A94" t="str">
        <f>IFERROR(INDEX('COA TABLE FORM'!$A$2:$A$66,MATCH($O94,'COA TABLE FORM'!$E$2:$E$66,0)),"")</f>
        <v> Utilities Charges</v>
      </c>
      <c r="B94" t="str" cm="1">
        <f t="array" ref="B94">IFERROR(INDEX('COA TABLE FORM'!$C$2:$C$66,MATCH(1,('COA TABLE FORM'!$E$2:$E$66=$O94)*(ISNUMBER(SEARCH($P94,'COA TABLE FORM'!$B$2:$B$66))),0)),"")</f>
        <v>5009 - Gas Charges</v>
      </c>
      <c r="C94" s="7" t="s">
        <v>484</v>
      </c>
      <c r="D94" s="8" t="s">
        <v>510</v>
      </c>
      <c r="E94" t="str">
        <f t="shared" si="6"/>
        <v>CU00069222-0</v>
      </c>
      <c r="F94" s="7" t="s">
        <v>511</v>
      </c>
      <c r="G94" s="7" t="s">
        <v>87</v>
      </c>
      <c r="H94" s="7" t="s">
        <v>512</v>
      </c>
      <c r="I94" s="7" t="s">
        <v>513</v>
      </c>
      <c r="J94" s="7" t="s">
        <v>112</v>
      </c>
      <c r="K94" s="9" t="s">
        <v>514</v>
      </c>
      <c r="L94" s="7" t="s">
        <v>110</v>
      </c>
      <c r="M94" s="9"/>
      <c r="N94" t="str" cm="1">
        <f t="array" ref="N94">IFERROR(INDEX('COA TABLE FORM'!$B$2:$B$66,MATCH(1,('COA TABLE FORM'!$E$2:$E$66=$O94)*(ISNUMBER(SEARCH($P94,'COA TABLE FORM'!$B$2:$B$66))),0)),"")</f>
        <v>Gas</v>
      </c>
      <c r="O94" t="str">
        <f t="shared" si="7"/>
        <v>Utilities Charges</v>
      </c>
      <c r="P94" t="str">
        <f t="shared" si="8"/>
        <v>Gas</v>
      </c>
    </row>
    <row r="95" spans="1:16" ht="15.75" thickBot="1" x14ac:dyDescent="0.3">
      <c r="A95" t="str">
        <f>IFERROR(INDEX('COA TABLE FORM'!$A$2:$A$66,MATCH($O95,'COA TABLE FORM'!$E$2:$E$66,0)),"")</f>
        <v> Utilities Charges</v>
      </c>
      <c r="B95" t="str" cm="1">
        <f t="array" ref="B95">IFERROR(INDEX('COA TABLE FORM'!$C$2:$C$66,MATCH(1,('COA TABLE FORM'!$E$2:$E$66=$O95)*(ISNUMBER(SEARCH($P95,'COA TABLE FORM'!$B$2:$B$66))),0)),"")</f>
        <v>5009 - Gas Charges</v>
      </c>
      <c r="C95" s="7" t="s">
        <v>484</v>
      </c>
      <c r="D95" s="8" t="s">
        <v>515</v>
      </c>
      <c r="E95" t="str">
        <f t="shared" si="6"/>
        <v>MK00011138816</v>
      </c>
      <c r="F95" s="7" t="s">
        <v>516</v>
      </c>
      <c r="G95" s="7" t="s">
        <v>87</v>
      </c>
      <c r="H95" s="7" t="s">
        <v>517</v>
      </c>
      <c r="I95" s="7" t="s">
        <v>518</v>
      </c>
      <c r="J95" s="7" t="s">
        <v>112</v>
      </c>
      <c r="K95" s="9" t="s">
        <v>519</v>
      </c>
      <c r="L95" s="7" t="s">
        <v>110</v>
      </c>
      <c r="M95" s="9"/>
      <c r="N95" t="str" cm="1">
        <f t="array" ref="N95">IFERROR(INDEX('COA TABLE FORM'!$B$2:$B$66,MATCH(1,('COA TABLE FORM'!$E$2:$E$66=$O95)*(ISNUMBER(SEARCH($P95,'COA TABLE FORM'!$B$2:$B$66))),0)),"")</f>
        <v>Gas</v>
      </c>
      <c r="O95" t="str">
        <f t="shared" si="7"/>
        <v>Utilities Charges</v>
      </c>
      <c r="P95" t="str">
        <f t="shared" si="8"/>
        <v>Gas</v>
      </c>
    </row>
    <row r="96" spans="1:16" ht="15.75" thickBot="1" x14ac:dyDescent="0.3">
      <c r="A96" t="str">
        <f>IFERROR(INDEX('COA TABLE FORM'!$A$2:$A$66,MATCH($O96,'COA TABLE FORM'!$E$2:$E$66,0)),"")</f>
        <v> Utilities Charges</v>
      </c>
      <c r="B96" t="str" cm="1">
        <f t="array" ref="B96">IFERROR(INDEX('COA TABLE FORM'!$C$2:$C$66,MATCH(1,('COA TABLE FORM'!$E$2:$E$66=$O96)*(ISNUMBER(SEARCH($P96,'COA TABLE FORM'!$B$2:$B$66))),0)),"")</f>
        <v>5009 - Gas Charges</v>
      </c>
      <c r="C96" s="7" t="s">
        <v>484</v>
      </c>
      <c r="D96" s="8" t="s">
        <v>520</v>
      </c>
      <c r="E96" t="str">
        <f t="shared" si="6"/>
        <v>DS04255315</v>
      </c>
      <c r="F96" s="7" t="s">
        <v>521</v>
      </c>
      <c r="G96" s="7" t="s">
        <v>87</v>
      </c>
      <c r="H96" s="7" t="s">
        <v>522</v>
      </c>
      <c r="I96" s="7" t="s">
        <v>523</v>
      </c>
      <c r="J96" s="7" t="s">
        <v>112</v>
      </c>
      <c r="K96" s="9" t="s">
        <v>524</v>
      </c>
      <c r="L96" s="7" t="s">
        <v>110</v>
      </c>
      <c r="M96" s="9"/>
      <c r="N96" t="str" cm="1">
        <f t="array" ref="N96">IFERROR(INDEX('COA TABLE FORM'!$B$2:$B$66,MATCH(1,('COA TABLE FORM'!$E$2:$E$66=$O96)*(ISNUMBER(SEARCH($P96,'COA TABLE FORM'!$B$2:$B$66))),0)),"")</f>
        <v>Gas</v>
      </c>
      <c r="O96" t="str">
        <f t="shared" si="7"/>
        <v>Utilities Charges</v>
      </c>
      <c r="P96" t="str">
        <f t="shared" si="8"/>
        <v>Gas</v>
      </c>
    </row>
    <row r="97" spans="1:16" ht="15.75" thickBot="1" x14ac:dyDescent="0.3">
      <c r="A97" t="str">
        <f>IFERROR(INDEX('COA TABLE FORM'!$A$2:$A$66,MATCH($O97,'COA TABLE FORM'!$E$2:$E$66,0)),"")</f>
        <v> Utilities Charges</v>
      </c>
      <c r="B97" t="str" cm="1">
        <f t="array" ref="B97">IFERROR(INDEX('COA TABLE FORM'!$C$2:$C$66,MATCH(1,('COA TABLE FORM'!$E$2:$E$66=$O97)*(ISNUMBER(SEARCH($P97,'COA TABLE FORM'!$B$2:$B$66))),0)),"")</f>
        <v>5009 - Gas Charges</v>
      </c>
      <c r="C97" s="7" t="s">
        <v>484</v>
      </c>
      <c r="D97" s="8" t="s">
        <v>525</v>
      </c>
      <c r="E97" t="str">
        <f t="shared" si="6"/>
        <v>CT07392579</v>
      </c>
      <c r="F97" s="7" t="s">
        <v>526</v>
      </c>
      <c r="G97" s="7" t="s">
        <v>87</v>
      </c>
      <c r="H97" s="7" t="s">
        <v>527</v>
      </c>
      <c r="I97" s="7" t="s">
        <v>528</v>
      </c>
      <c r="J97" s="7" t="s">
        <v>112</v>
      </c>
      <c r="K97" s="9" t="s">
        <v>529</v>
      </c>
      <c r="L97" s="7" t="s">
        <v>110</v>
      </c>
      <c r="M97" s="9"/>
      <c r="N97" t="str" cm="1">
        <f t="array" ref="N97">IFERROR(INDEX('COA TABLE FORM'!$B$2:$B$66,MATCH(1,('COA TABLE FORM'!$E$2:$E$66=$O97)*(ISNUMBER(SEARCH($P97,'COA TABLE FORM'!$B$2:$B$66))),0)),"")</f>
        <v>Gas</v>
      </c>
      <c r="O97" t="str">
        <f t="shared" si="7"/>
        <v>Utilities Charges</v>
      </c>
      <c r="P97" t="str">
        <f t="shared" si="8"/>
        <v>Gas</v>
      </c>
    </row>
    <row r="98" spans="1:16" ht="15.75" thickBot="1" x14ac:dyDescent="0.3">
      <c r="A98" t="str">
        <f>IFERROR(INDEX('COA TABLE FORM'!$A$2:$A$66,MATCH($O98,'COA TABLE FORM'!$E$2:$E$66,0)),"")</f>
        <v> Utilities Charges</v>
      </c>
      <c r="B98" t="str" cm="1">
        <f t="array" ref="B98">IFERROR(INDEX('COA TABLE FORM'!$C$2:$C$66,MATCH(1,('COA TABLE FORM'!$E$2:$E$66=$O98)*(ISNUMBER(SEARCH($P98,'COA TABLE FORM'!$B$2:$B$66))),0)),"")</f>
        <v>5009 - Gas Charges</v>
      </c>
      <c r="C98" s="7" t="s">
        <v>484</v>
      </c>
      <c r="D98" s="8" t="s">
        <v>530</v>
      </c>
      <c r="E98" t="str">
        <f t="shared" ref="E98:E129" si="9">IFERROR(MID(F98,FIND("@",SUBSTITUTE(F98,"(","@",LEN(F98)-LEN(SUBSTITUTE(F98,"(",""))))+1,FIND("@",SUBSTITUTE(F98,")","@",LEN(F98)-LEN(SUBSTITUTE(F98,")",""))))-FIND("@",SUBSTITUTE(F98,"(","@",LEN(F98)-LEN(SUBSTITUTE(F98,"(",""))))-1),"")</f>
        <v>CT06154867</v>
      </c>
      <c r="F98" s="7" t="s">
        <v>531</v>
      </c>
      <c r="G98" s="7" t="s">
        <v>87</v>
      </c>
      <c r="H98" s="7" t="s">
        <v>532</v>
      </c>
      <c r="I98" s="7" t="s">
        <v>533</v>
      </c>
      <c r="J98" s="7" t="s">
        <v>112</v>
      </c>
      <c r="K98" s="9" t="s">
        <v>534</v>
      </c>
      <c r="L98" s="7" t="s">
        <v>110</v>
      </c>
      <c r="M98" s="9"/>
      <c r="N98" t="str" cm="1">
        <f t="array" ref="N98">IFERROR(INDEX('COA TABLE FORM'!$B$2:$B$66,MATCH(1,('COA TABLE FORM'!$E$2:$E$66=$O98)*(ISNUMBER(SEARCH($P98,'COA TABLE FORM'!$B$2:$B$66))),0)),"")</f>
        <v>Gas</v>
      </c>
      <c r="O98" t="str">
        <f t="shared" si="7"/>
        <v>Utilities Charges</v>
      </c>
      <c r="P98" t="str">
        <f t="shared" si="8"/>
        <v>Gas</v>
      </c>
    </row>
    <row r="99" spans="1:16" ht="15.75" thickBot="1" x14ac:dyDescent="0.3">
      <c r="A99" t="str">
        <f>IFERROR(INDEX('COA TABLE FORM'!$A$2:$A$66,MATCH($O99,'COA TABLE FORM'!$E$2:$E$66,0)),"")</f>
        <v> Utilities Charges</v>
      </c>
      <c r="B99" t="str" cm="1">
        <f t="array" ref="B99">IFERROR(INDEX('COA TABLE FORM'!$C$2:$C$66,MATCH(1,('COA TABLE FORM'!$E$2:$E$66=$O99)*(ISNUMBER(SEARCH($P99,'COA TABLE FORM'!$B$2:$B$66))),0)),"")</f>
        <v>5009 - Gas Charges</v>
      </c>
      <c r="C99" s="7" t="s">
        <v>484</v>
      </c>
      <c r="D99" s="8" t="s">
        <v>535</v>
      </c>
      <c r="E99" t="str">
        <f t="shared" si="9"/>
        <v>CT07081732</v>
      </c>
      <c r="F99" s="7" t="s">
        <v>536</v>
      </c>
      <c r="G99" s="7" t="s">
        <v>87</v>
      </c>
      <c r="H99" s="7" t="s">
        <v>537</v>
      </c>
      <c r="I99" s="7" t="s">
        <v>538</v>
      </c>
      <c r="J99" s="7" t="s">
        <v>112</v>
      </c>
      <c r="K99" s="9" t="s">
        <v>539</v>
      </c>
      <c r="L99" s="7" t="s">
        <v>110</v>
      </c>
      <c r="M99" s="9"/>
      <c r="N99" t="str" cm="1">
        <f t="array" ref="N99">IFERROR(INDEX('COA TABLE FORM'!$B$2:$B$66,MATCH(1,('COA TABLE FORM'!$E$2:$E$66=$O99)*(ISNUMBER(SEARCH($P99,'COA TABLE FORM'!$B$2:$B$66))),0)),"")</f>
        <v>Gas</v>
      </c>
      <c r="O99" t="str">
        <f t="shared" si="7"/>
        <v>Utilities Charges</v>
      </c>
      <c r="P99" t="str">
        <f t="shared" si="8"/>
        <v>Gas</v>
      </c>
    </row>
    <row r="100" spans="1:16" ht="15.75" thickBot="1" x14ac:dyDescent="0.3">
      <c r="A100" t="str">
        <f>IFERROR(INDEX('COA TABLE FORM'!$A$2:$A$66,MATCH($O100,'COA TABLE FORM'!$E$2:$E$66,0)),"")</f>
        <v>Miscellaneous Expense</v>
      </c>
      <c r="B100" s="4" t="s">
        <v>38</v>
      </c>
      <c r="C100" s="7" t="s">
        <v>540</v>
      </c>
      <c r="D100" s="8" t="s">
        <v>541</v>
      </c>
      <c r="E100" s="7" t="s">
        <v>540</v>
      </c>
      <c r="F100" s="7">
        <v>1</v>
      </c>
      <c r="G100" s="7" t="s">
        <v>107</v>
      </c>
      <c r="H100" s="7" t="s">
        <v>108</v>
      </c>
      <c r="I100" s="7" t="s">
        <v>109</v>
      </c>
      <c r="J100" s="7" t="s">
        <v>111</v>
      </c>
      <c r="K100" s="9" t="s">
        <v>244</v>
      </c>
      <c r="L100" s="7" t="s">
        <v>113</v>
      </c>
      <c r="M100" s="9"/>
      <c r="N100" t="str" cm="1">
        <f t="array" ref="N100">IFERROR(INDEX('COA TABLE FORM'!$B$2:$B$66,MATCH(1,('COA TABLE FORM'!$E$2:$E$66=$O100)*(ISNUMBER(SEARCH($P100,'COA TABLE FORM'!$B$2:$B$66))),0)),"")</f>
        <v/>
      </c>
      <c r="O100" t="str">
        <f t="shared" si="7"/>
        <v>Miscellaneous Expense</v>
      </c>
      <c r="P100" t="str">
        <f t="shared" si="8"/>
        <v>Other</v>
      </c>
    </row>
  </sheetData>
  <autoFilter ref="C1:M100" xr:uid="{9FE13206-D8D2-4D95-8BE3-908F77DBB096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 TABLE FORM</vt:lpstr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Hassan</dc:creator>
  <cp:lastModifiedBy>Malik Hassan</cp:lastModifiedBy>
  <dcterms:created xsi:type="dcterms:W3CDTF">2026-09-14T07:19:15Z</dcterms:created>
  <dcterms:modified xsi:type="dcterms:W3CDTF">2026-09-14T10:03:45Z</dcterms:modified>
</cp:coreProperties>
</file>