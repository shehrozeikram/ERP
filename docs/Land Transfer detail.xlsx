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\Downloads\"/>
    </mc:Choice>
  </mc:AlternateContent>
  <xr:revisionPtr revIDLastSave="0" documentId="8_{0DAA70DF-EF77-48C7-80EA-1C54A90B0D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Sheet1!$A$1:$AE$1673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348" i="1" l="1"/>
  <c r="AE1347" i="1"/>
  <c r="AE1312" i="1"/>
  <c r="AE1307" i="1"/>
  <c r="AE1301" i="1"/>
  <c r="AE1363" i="1"/>
  <c r="AE1370" i="1"/>
  <c r="AE1371" i="1"/>
  <c r="AE1372" i="1"/>
  <c r="AE1288" i="1"/>
  <c r="AE1390" i="1"/>
  <c r="AE1398" i="1"/>
  <c r="AE1400" i="1"/>
  <c r="AE1445" i="1"/>
  <c r="AE1446" i="1"/>
  <c r="AE1447" i="1"/>
  <c r="AE1458" i="1"/>
  <c r="AE1468" i="1"/>
  <c r="AE1470" i="1"/>
  <c r="AE1474" i="1"/>
  <c r="AE1475" i="1"/>
  <c r="AE1476" i="1"/>
  <c r="AE1478" i="1"/>
  <c r="AE1481" i="1"/>
  <c r="AE1482" i="1"/>
  <c r="AE1483" i="1"/>
  <c r="AE1484" i="1"/>
  <c r="AE1485" i="1"/>
  <c r="AE1494" i="1"/>
  <c r="AE1265" i="1"/>
  <c r="AE1501" i="1"/>
  <c r="AE1517" i="1"/>
  <c r="AE1518" i="1"/>
  <c r="AE1519" i="1"/>
  <c r="AE1531" i="1"/>
  <c r="AE1532" i="1"/>
  <c r="AE1533" i="1"/>
  <c r="AE1534" i="1"/>
  <c r="AE1535" i="1"/>
  <c r="AE1264" i="1"/>
  <c r="AE1263" i="1"/>
  <c r="AE1262" i="1"/>
  <c r="AE1261" i="1"/>
  <c r="AE1547" i="1"/>
  <c r="AE1548" i="1"/>
  <c r="AE1549" i="1"/>
  <c r="AE1565" i="1"/>
  <c r="AE1582" i="1"/>
  <c r="AE1592" i="1"/>
  <c r="AE1593" i="1"/>
  <c r="AE1656" i="1"/>
  <c r="AE1658" i="1"/>
  <c r="AE1659" i="1"/>
  <c r="AE1667" i="1"/>
  <c r="AE1668" i="1"/>
  <c r="AE1255" i="1"/>
  <c r="AE1254" i="1"/>
  <c r="AE1251" i="1"/>
  <c r="AE1250" i="1"/>
  <c r="AE1248" i="1"/>
  <c r="AE1227" i="1"/>
  <c r="AE1210" i="1"/>
  <c r="AE1185" i="1"/>
  <c r="AE1020" i="1"/>
  <c r="AE1005" i="1"/>
  <c r="AE993" i="1"/>
  <c r="AE872" i="1"/>
  <c r="AE603" i="1"/>
  <c r="AE602" i="1"/>
  <c r="AE599" i="1"/>
  <c r="AE598" i="1"/>
  <c r="AE597" i="1"/>
  <c r="AE596" i="1"/>
  <c r="AE594" i="1"/>
  <c r="AD603" i="1"/>
  <c r="AD1314" i="1"/>
  <c r="AD1317" i="1"/>
  <c r="AD1319" i="1"/>
  <c r="AD1323" i="1"/>
  <c r="AD1327" i="1"/>
  <c r="AD1328" i="1"/>
  <c r="AD1329" i="1"/>
  <c r="AD1330" i="1"/>
  <c r="AD1332" i="1"/>
  <c r="AD1354" i="1"/>
  <c r="AD1355" i="1"/>
  <c r="AD1363" i="1"/>
  <c r="AD1370" i="1"/>
  <c r="AD1371" i="1"/>
  <c r="AD1372" i="1"/>
  <c r="AD1375" i="1"/>
  <c r="AD1390" i="1"/>
  <c r="AD1391" i="1"/>
  <c r="AD1392" i="1"/>
  <c r="AD1395" i="1"/>
  <c r="AD1398" i="1"/>
  <c r="AD1400" i="1"/>
  <c r="AD1410" i="1"/>
  <c r="AD1413" i="1"/>
  <c r="AC1461" i="1"/>
  <c r="AC1460" i="1"/>
  <c r="AC1458" i="1"/>
  <c r="AC1457" i="1"/>
  <c r="AC1454" i="1"/>
  <c r="AD1422" i="1"/>
  <c r="AD1423" i="1"/>
  <c r="AD1441" i="1"/>
  <c r="AD1445" i="1"/>
  <c r="AD1446" i="1"/>
  <c r="AD1447" i="1"/>
  <c r="AD1454" i="1"/>
  <c r="AD1457" i="1"/>
  <c r="AD1458" i="1"/>
  <c r="AD1460" i="1"/>
  <c r="AD1494" i="1"/>
  <c r="AD1353" i="1"/>
  <c r="AD1348" i="1"/>
  <c r="AD1347" i="1"/>
  <c r="AD1338" i="1"/>
  <c r="AD1335" i="1"/>
  <c r="AD1312" i="1"/>
  <c r="AD1310" i="1"/>
  <c r="AD1309" i="1"/>
  <c r="AD1308" i="1"/>
  <c r="AD1307" i="1"/>
  <c r="AD1302" i="1"/>
  <c r="AD1301" i="1"/>
  <c r="AD1298" i="1"/>
  <c r="AD1295" i="1"/>
  <c r="AD1296" i="1"/>
  <c r="AD1294" i="1"/>
  <c r="AD1292" i="1"/>
  <c r="AD1288" i="1"/>
  <c r="AD1282" i="1"/>
  <c r="AD1280" i="1"/>
  <c r="AD1277" i="1"/>
  <c r="AD1276" i="1"/>
  <c r="AD1275" i="1"/>
  <c r="AD1274" i="1"/>
  <c r="AD1273" i="1"/>
  <c r="AD1272" i="1"/>
  <c r="AD1271" i="1"/>
  <c r="AD1461" i="1"/>
  <c r="AD1468" i="1"/>
  <c r="AD1470" i="1"/>
  <c r="AD1474" i="1"/>
  <c r="AD1475" i="1"/>
  <c r="AD1476" i="1"/>
  <c r="AD1478" i="1"/>
  <c r="AD1479" i="1"/>
  <c r="AD1270" i="1"/>
  <c r="AD1268" i="1"/>
  <c r="AD1265" i="1"/>
  <c r="AD1264" i="1"/>
  <c r="AD1263" i="1"/>
  <c r="AD1262" i="1"/>
  <c r="AD1261" i="1"/>
  <c r="AD1260" i="1"/>
  <c r="AD1259" i="1"/>
  <c r="AD1255" i="1"/>
  <c r="AD1254" i="1"/>
  <c r="AD1251" i="1"/>
  <c r="AD1250" i="1"/>
  <c r="AD1248" i="1"/>
  <c r="AD1242" i="1"/>
  <c r="AD1233" i="1"/>
  <c r="AD1227" i="1"/>
  <c r="AD1219" i="1"/>
  <c r="AD1218" i="1"/>
  <c r="AD1210" i="1"/>
  <c r="AD1208" i="1"/>
  <c r="AD1204" i="1"/>
  <c r="AD1200" i="1"/>
  <c r="AD1185" i="1"/>
  <c r="AD1183" i="1"/>
  <c r="AD1177" i="1"/>
  <c r="AD1172" i="1"/>
  <c r="AD1132" i="1"/>
  <c r="AD1075" i="1"/>
  <c r="AD1020" i="1"/>
  <c r="AD1005" i="1"/>
  <c r="AD993" i="1"/>
  <c r="AD872" i="1"/>
  <c r="AD602" i="1"/>
  <c r="AD599" i="1"/>
  <c r="AD598" i="1"/>
  <c r="AD597" i="1"/>
  <c r="AD596" i="1"/>
  <c r="AD594" i="1"/>
  <c r="AD1481" i="1"/>
  <c r="AD1482" i="1"/>
  <c r="AD1483" i="1"/>
  <c r="AD1484" i="1"/>
  <c r="AD1485" i="1"/>
  <c r="AD1501" i="1"/>
  <c r="AD1517" i="1"/>
  <c r="AD1518" i="1"/>
  <c r="AD1519" i="1"/>
  <c r="AD1522" i="1"/>
  <c r="AD1524" i="1"/>
  <c r="AD1531" i="1"/>
  <c r="AD1532" i="1"/>
  <c r="AD1533" i="1"/>
  <c r="AD1534" i="1"/>
  <c r="AD1535" i="1"/>
  <c r="AD1536" i="1"/>
  <c r="AD1537" i="1"/>
  <c r="AD1538" i="1"/>
  <c r="AD1541" i="1"/>
  <c r="AD1543" i="1"/>
  <c r="AD1547" i="1"/>
  <c r="AD1548" i="1"/>
  <c r="AD1549" i="1"/>
  <c r="AD1565" i="1"/>
  <c r="AD1582" i="1"/>
  <c r="AD1592" i="1"/>
  <c r="AD1593" i="1"/>
  <c r="AD1656" i="1"/>
  <c r="AD1658" i="1"/>
  <c r="AD1659" i="1"/>
  <c r="AD1667" i="1"/>
  <c r="AD1668" i="1"/>
  <c r="AC1274" i="1"/>
  <c r="AC1275" i="1"/>
  <c r="AC1276" i="1"/>
  <c r="AC1277" i="1"/>
  <c r="AC1280" i="1"/>
  <c r="AC1282" i="1"/>
  <c r="AC1288" i="1"/>
  <c r="AC1292" i="1"/>
  <c r="AC1294" i="1"/>
  <c r="AC1295" i="1"/>
  <c r="AC1296" i="1"/>
  <c r="AC1298" i="1"/>
  <c r="AC1301" i="1"/>
  <c r="AC1302" i="1"/>
  <c r="AC1307" i="1"/>
  <c r="AC1308" i="1"/>
  <c r="AC1309" i="1"/>
  <c r="AC1310" i="1"/>
  <c r="AC1312" i="1"/>
  <c r="AC1314" i="1"/>
  <c r="AC1317" i="1"/>
  <c r="AC1319" i="1"/>
  <c r="AC1323" i="1"/>
  <c r="AC1327" i="1"/>
  <c r="AC1328" i="1"/>
  <c r="AC1329" i="1"/>
  <c r="AC1330" i="1"/>
  <c r="AC1332" i="1"/>
  <c r="AC1338" i="1"/>
  <c r="AC1335" i="1"/>
  <c r="AC1347" i="1"/>
  <c r="AC1348" i="1"/>
  <c r="AC1353" i="1"/>
  <c r="AC1354" i="1"/>
  <c r="AC1355" i="1"/>
  <c r="AC1363" i="1"/>
  <c r="AC1370" i="1"/>
  <c r="AC1371" i="1"/>
  <c r="AC1372" i="1"/>
  <c r="AC1375" i="1"/>
  <c r="AC1390" i="1"/>
  <c r="AC1391" i="1"/>
  <c r="AC1392" i="1"/>
  <c r="AC1395" i="1"/>
  <c r="AC1398" i="1"/>
  <c r="AC1400" i="1"/>
  <c r="AC1410" i="1"/>
  <c r="AC1413" i="1"/>
  <c r="AC1422" i="1"/>
  <c r="AC1423" i="1"/>
  <c r="AC1441" i="1"/>
  <c r="AC1445" i="1"/>
  <c r="AC1446" i="1"/>
  <c r="AC1447" i="1"/>
  <c r="AC1468" i="1"/>
  <c r="AC1470" i="1"/>
  <c r="AC1474" i="1"/>
  <c r="AC1475" i="1"/>
  <c r="AC1476" i="1"/>
  <c r="AC1478" i="1"/>
  <c r="AC1273" i="1"/>
  <c r="AC1272" i="1"/>
  <c r="AC1271" i="1"/>
  <c r="AC1270" i="1"/>
  <c r="AC1268" i="1"/>
  <c r="AC1265" i="1"/>
  <c r="AC1264" i="1"/>
  <c r="AC1263" i="1"/>
  <c r="AC1262" i="1"/>
  <c r="AC1261" i="1"/>
  <c r="AC1260" i="1"/>
  <c r="AC1259" i="1"/>
  <c r="AC1255" i="1"/>
  <c r="AC1254" i="1"/>
  <c r="AC1251" i="1"/>
  <c r="AC1250" i="1"/>
  <c r="AC1248" i="1"/>
  <c r="AC1242" i="1"/>
  <c r="AC1479" i="1"/>
  <c r="AC1481" i="1"/>
  <c r="AC1482" i="1"/>
  <c r="AC1483" i="1"/>
  <c r="AC1484" i="1"/>
  <c r="AC1485" i="1"/>
  <c r="AC1494" i="1"/>
  <c r="AC1501" i="1"/>
  <c r="AC1517" i="1"/>
  <c r="AC1518" i="1"/>
  <c r="AC1519" i="1"/>
  <c r="AC1522" i="1"/>
  <c r="AC1524" i="1"/>
  <c r="AC1531" i="1"/>
  <c r="AC1532" i="1"/>
  <c r="AC1533" i="1"/>
  <c r="AC1534" i="1"/>
  <c r="AC1535" i="1"/>
  <c r="AC1536" i="1"/>
  <c r="AC1537" i="1"/>
  <c r="AC1538" i="1"/>
  <c r="AC1541" i="1"/>
  <c r="AC1543" i="1"/>
  <c r="AC1547" i="1"/>
  <c r="AC1548" i="1"/>
  <c r="AC1549" i="1"/>
  <c r="AC1565" i="1"/>
  <c r="AC1582" i="1"/>
  <c r="AC1592" i="1"/>
  <c r="AC1593" i="1"/>
  <c r="AC1656" i="1"/>
  <c r="AC1658" i="1"/>
  <c r="AC1659" i="1"/>
  <c r="AC1667" i="1"/>
  <c r="AC1668" i="1"/>
  <c r="AC1233" i="1"/>
  <c r="AC1227" i="1"/>
  <c r="AC1219" i="1"/>
  <c r="AC1218" i="1"/>
  <c r="AC1210" i="1"/>
  <c r="AC1208" i="1"/>
  <c r="AC1204" i="1"/>
  <c r="AC1200" i="1"/>
  <c r="AC1185" i="1"/>
  <c r="AC1183" i="1"/>
  <c r="AC1177" i="1"/>
  <c r="AC1172" i="1"/>
  <c r="AC1132" i="1"/>
  <c r="AC1075" i="1"/>
  <c r="AC1020" i="1"/>
  <c r="AC1005" i="1"/>
  <c r="AC993" i="1"/>
  <c r="AC872" i="1"/>
  <c r="AC603" i="1"/>
  <c r="AC602" i="1"/>
  <c r="AC599" i="1"/>
  <c r="AC598" i="1"/>
  <c r="AC597" i="1"/>
  <c r="AC596" i="1"/>
  <c r="AC594" i="1"/>
  <c r="AE1671" i="1"/>
  <c r="AE1670" i="1"/>
  <c r="AE1669" i="1"/>
  <c r="AE1666" i="1"/>
  <c r="AE1665" i="1"/>
  <c r="AE1655" i="1"/>
  <c r="AE1654" i="1"/>
  <c r="AE1653" i="1"/>
  <c r="AE1652" i="1"/>
  <c r="AE1651" i="1"/>
  <c r="AE1650" i="1"/>
  <c r="AE1627" i="1"/>
  <c r="AE1626" i="1"/>
  <c r="AE1589" i="1"/>
  <c r="AE1588" i="1"/>
  <c r="AE1587" i="1"/>
  <c r="AE1580" i="1"/>
  <c r="AE1578" i="1"/>
  <c r="AE1576" i="1"/>
  <c r="AE1575" i="1"/>
  <c r="AE1574" i="1"/>
  <c r="AE1573" i="1"/>
  <c r="AE1572" i="1"/>
  <c r="AE1570" i="1"/>
  <c r="AE1569" i="1"/>
  <c r="AE1568" i="1"/>
  <c r="AE1567" i="1"/>
  <c r="AE1562" i="1"/>
  <c r="AE1561" i="1"/>
  <c r="AE1556" i="1"/>
  <c r="AE1555" i="1"/>
  <c r="AE1551" i="1"/>
  <c r="AE1544" i="1"/>
  <c r="AE1542" i="1"/>
  <c r="AE1529" i="1"/>
  <c r="AE1528" i="1"/>
  <c r="AE1527" i="1"/>
  <c r="AE1526" i="1"/>
  <c r="AE1525" i="1"/>
  <c r="AE1523" i="1"/>
  <c r="AE1521" i="1"/>
  <c r="AE1520" i="1"/>
  <c r="AE1516" i="1"/>
  <c r="AE1515" i="1"/>
  <c r="AE1514" i="1"/>
  <c r="AE1513" i="1"/>
  <c r="AE1512" i="1"/>
  <c r="AE1511" i="1"/>
  <c r="AE1510" i="1"/>
  <c r="AE1508" i="1"/>
  <c r="AE1507" i="1"/>
  <c r="AE1506" i="1"/>
  <c r="AE1505" i="1"/>
  <c r="AE1504" i="1"/>
  <c r="AE1503" i="1"/>
  <c r="AE1502" i="1"/>
  <c r="AE1497" i="1"/>
  <c r="AE1496" i="1"/>
  <c r="AE1495" i="1"/>
  <c r="AE1493" i="1"/>
  <c r="AE1490" i="1"/>
  <c r="AE1489" i="1"/>
  <c r="AE1488" i="1"/>
  <c r="AE1487" i="1"/>
  <c r="AE1480" i="1"/>
  <c r="AE1477" i="1"/>
  <c r="AE1473" i="1"/>
  <c r="AE1472" i="1"/>
  <c r="AE1471" i="1"/>
  <c r="AE1469" i="1"/>
  <c r="AE1467" i="1"/>
  <c r="AE1466" i="1"/>
  <c r="AE1465" i="1"/>
  <c r="AE1459" i="1"/>
  <c r="AE1456" i="1"/>
  <c r="AE1455" i="1"/>
  <c r="AE1453" i="1"/>
  <c r="AE1450" i="1"/>
  <c r="AE1449" i="1"/>
  <c r="AE1448" i="1"/>
  <c r="AE1444" i="1"/>
  <c r="AE1443" i="1"/>
  <c r="AE1442" i="1"/>
  <c r="AE1440" i="1"/>
  <c r="AE1438" i="1"/>
  <c r="AE1437" i="1"/>
  <c r="AE1436" i="1"/>
  <c r="AE1435" i="1"/>
  <c r="AE1434" i="1"/>
  <c r="AE1433" i="1"/>
  <c r="AE1432" i="1"/>
  <c r="AE1431" i="1"/>
  <c r="AE1430" i="1"/>
  <c r="AE1429" i="1"/>
  <c r="AE1427" i="1"/>
  <c r="AE1426" i="1"/>
  <c r="AE1425" i="1"/>
  <c r="AE1424" i="1"/>
  <c r="AE1421" i="1"/>
  <c r="AE1420" i="1"/>
  <c r="AE1418" i="1"/>
  <c r="AE1417" i="1"/>
  <c r="AE1416" i="1"/>
  <c r="AE1415" i="1"/>
  <c r="AE1414" i="1"/>
  <c r="AE1412" i="1"/>
  <c r="AE1411" i="1"/>
  <c r="AE1409" i="1"/>
  <c r="AE1408" i="1"/>
  <c r="AE1407" i="1"/>
  <c r="AE1406" i="1"/>
  <c r="AE1405" i="1"/>
  <c r="AE1404" i="1"/>
  <c r="AE1403" i="1"/>
  <c r="AE1402" i="1"/>
  <c r="AE1396" i="1"/>
  <c r="AE1394" i="1"/>
  <c r="AE1393" i="1"/>
  <c r="AE1389" i="1"/>
  <c r="AE1388" i="1"/>
  <c r="AE1386" i="1"/>
  <c r="AE1385" i="1"/>
  <c r="AE1381" i="1"/>
  <c r="AE1380" i="1"/>
  <c r="AE1379" i="1"/>
  <c r="AE1378" i="1"/>
  <c r="AE1377" i="1"/>
  <c r="AE1376" i="1"/>
  <c r="AE1373" i="1"/>
  <c r="AE1369" i="1"/>
  <c r="AE1367" i="1"/>
  <c r="AE1366" i="1"/>
  <c r="AE1365" i="1"/>
  <c r="AE1364" i="1"/>
  <c r="AE1362" i="1"/>
  <c r="AE1361" i="1"/>
  <c r="AE1360" i="1"/>
  <c r="AE1359" i="1"/>
  <c r="AE1358" i="1"/>
  <c r="AE1357" i="1"/>
  <c r="AE1356" i="1"/>
  <c r="AE1352" i="1"/>
  <c r="AE1351" i="1"/>
  <c r="AE1350" i="1"/>
  <c r="AE1345" i="1"/>
  <c r="AE1344" i="1"/>
  <c r="AE1343" i="1"/>
  <c r="AE1342" i="1"/>
  <c r="AE1341" i="1"/>
  <c r="AE1340" i="1"/>
  <c r="AE1337" i="1"/>
  <c r="AE1334" i="1"/>
  <c r="AE1333" i="1"/>
  <c r="AE1331" i="1"/>
  <c r="AE1325" i="1"/>
  <c r="AE1324" i="1"/>
  <c r="AE1322" i="1"/>
  <c r="AE1321" i="1"/>
  <c r="AE1320" i="1"/>
  <c r="AE1318" i="1"/>
  <c r="AE1316" i="1"/>
  <c r="AE1315" i="1"/>
  <c r="AE1313" i="1"/>
  <c r="AE1306" i="1"/>
  <c r="AE1305" i="1"/>
  <c r="AE1304" i="1"/>
  <c r="AE1303" i="1"/>
  <c r="AE1300" i="1"/>
  <c r="AE1299" i="1"/>
  <c r="AE1293" i="1"/>
  <c r="AE1291" i="1"/>
  <c r="AE1290" i="1"/>
  <c r="AE1289" i="1"/>
  <c r="AE1287" i="1"/>
  <c r="AE1286" i="1"/>
  <c r="AE1285" i="1"/>
  <c r="AE1284" i="1"/>
  <c r="AE1283" i="1"/>
  <c r="AE1281" i="1"/>
  <c r="AE1279" i="1"/>
  <c r="AE1278" i="1"/>
  <c r="AE1269" i="1"/>
  <c r="AE1267" i="1"/>
  <c r="AE1266" i="1"/>
  <c r="AE1258" i="1"/>
  <c r="AE1257" i="1"/>
  <c r="AE1256" i="1"/>
  <c r="AE1253" i="1"/>
  <c r="AE1252" i="1"/>
  <c r="AE1246" i="1"/>
  <c r="AE1245" i="1"/>
  <c r="AE1244" i="1"/>
  <c r="AE1243" i="1"/>
  <c r="AE1241" i="1"/>
  <c r="AE1240" i="1"/>
  <c r="AE1239" i="1"/>
  <c r="AE1238" i="1"/>
  <c r="AE1237" i="1"/>
  <c r="AE1236" i="1"/>
  <c r="AE1235" i="1"/>
  <c r="AE1234" i="1"/>
  <c r="AE1232" i="1"/>
  <c r="AE1231" i="1"/>
  <c r="AE1230" i="1"/>
  <c r="AE1229" i="1"/>
  <c r="AE1228" i="1"/>
  <c r="AE1226" i="1"/>
  <c r="AE1225" i="1"/>
  <c r="AE1224" i="1"/>
  <c r="AE1223" i="1"/>
  <c r="AE1222" i="1"/>
  <c r="AE1221" i="1"/>
  <c r="AE1220" i="1"/>
  <c r="AE1217" i="1"/>
  <c r="AE1216" i="1"/>
  <c r="AE1215" i="1"/>
  <c r="AE1214" i="1"/>
  <c r="AE1213" i="1"/>
  <c r="AE1212" i="1"/>
  <c r="AE1211" i="1"/>
  <c r="AE1209" i="1"/>
  <c r="AE1207" i="1"/>
  <c r="AE1206" i="1"/>
  <c r="AE1205" i="1"/>
  <c r="AE1203" i="1"/>
  <c r="AE1202" i="1"/>
  <c r="AE1201" i="1"/>
  <c r="AE1199" i="1"/>
  <c r="AE1198" i="1"/>
  <c r="AE1197" i="1"/>
  <c r="AE1196" i="1"/>
  <c r="AE1195" i="1"/>
  <c r="AE1194" i="1"/>
  <c r="AE1193" i="1"/>
  <c r="AE1192" i="1"/>
  <c r="AE1191" i="1"/>
  <c r="AE1190" i="1"/>
  <c r="AE1189" i="1"/>
  <c r="AE1188" i="1"/>
  <c r="AE1187" i="1"/>
  <c r="AE1186" i="1"/>
  <c r="AE1184" i="1"/>
  <c r="AE1182" i="1"/>
  <c r="AE1181" i="1"/>
  <c r="AE1180" i="1"/>
  <c r="AE1179" i="1"/>
  <c r="AE1178" i="1"/>
  <c r="AE1176" i="1"/>
  <c r="AE1175" i="1"/>
  <c r="AE1174" i="1"/>
  <c r="AE1173" i="1"/>
  <c r="AE1171" i="1"/>
  <c r="AE1170" i="1"/>
  <c r="AE1169" i="1"/>
  <c r="AE1168" i="1"/>
  <c r="AE1167" i="1"/>
  <c r="AE1166" i="1"/>
  <c r="AE1165" i="1"/>
  <c r="AE1164" i="1"/>
  <c r="AE1163" i="1"/>
  <c r="AE1162" i="1"/>
  <c r="AE1161" i="1"/>
  <c r="AE1159" i="1"/>
  <c r="AE1158" i="1"/>
  <c r="AE1157" i="1"/>
  <c r="AE1156" i="1"/>
  <c r="AE1155" i="1"/>
  <c r="AE1153" i="1"/>
  <c r="AE1152" i="1"/>
  <c r="AE1151" i="1"/>
  <c r="AE1150" i="1"/>
  <c r="AE1149" i="1"/>
  <c r="AE1148" i="1"/>
  <c r="AE1147" i="1"/>
  <c r="AE1146" i="1"/>
  <c r="AE1145" i="1"/>
  <c r="AE1144" i="1"/>
  <c r="AE1143" i="1"/>
  <c r="AE1142" i="1"/>
  <c r="AE1141" i="1"/>
  <c r="AE1140" i="1"/>
  <c r="AE1139" i="1"/>
  <c r="AE1138" i="1"/>
  <c r="AE1137" i="1"/>
  <c r="AE1136" i="1"/>
  <c r="AE1134" i="1"/>
  <c r="AE1131" i="1"/>
  <c r="AE1130" i="1"/>
  <c r="AE1129" i="1"/>
  <c r="AE1128" i="1"/>
  <c r="AE1127" i="1"/>
  <c r="AE1126" i="1"/>
  <c r="AE1125" i="1"/>
  <c r="AE1124" i="1"/>
  <c r="AE1123" i="1"/>
  <c r="AE1122" i="1"/>
  <c r="AE1121" i="1"/>
  <c r="AE1120" i="1"/>
  <c r="AE1119" i="1"/>
  <c r="AE1118" i="1"/>
  <c r="AE1116" i="1"/>
  <c r="AE1115" i="1"/>
  <c r="AE1114" i="1"/>
  <c r="AE1113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7" i="1"/>
  <c r="AE1096" i="1"/>
  <c r="AE1095" i="1"/>
  <c r="AE1094" i="1"/>
  <c r="AE1093" i="1"/>
  <c r="AE1092" i="1"/>
  <c r="AE1091" i="1"/>
  <c r="AE1090" i="1"/>
  <c r="AE1089" i="1"/>
  <c r="AE1088" i="1"/>
  <c r="AE1087" i="1"/>
  <c r="AE1086" i="1"/>
  <c r="AE1085" i="1"/>
  <c r="AE1084" i="1"/>
  <c r="AE1083" i="1"/>
  <c r="AE1082" i="1"/>
  <c r="AE1081" i="1"/>
  <c r="AE1080" i="1"/>
  <c r="AE1079" i="1"/>
  <c r="AE1078" i="1"/>
  <c r="AE1077" i="1"/>
  <c r="AE1076" i="1"/>
  <c r="AE1074" i="1"/>
  <c r="AE1073" i="1"/>
  <c r="AE1072" i="1"/>
  <c r="AE1071" i="1"/>
  <c r="AE1070" i="1"/>
  <c r="AE1068" i="1"/>
  <c r="AE1067" i="1"/>
  <c r="AE1066" i="1"/>
  <c r="AE1065" i="1"/>
  <c r="AE1064" i="1"/>
  <c r="AE1063" i="1"/>
  <c r="AE1062" i="1"/>
  <c r="AE1061" i="1"/>
  <c r="AE1060" i="1"/>
  <c r="AE1059" i="1"/>
  <c r="AE1058" i="1"/>
  <c r="AE1057" i="1"/>
  <c r="AE1056" i="1"/>
  <c r="AE1054" i="1"/>
  <c r="AE1053" i="1"/>
  <c r="AE1052" i="1"/>
  <c r="AE1051" i="1"/>
  <c r="AE1050" i="1"/>
  <c r="AE1049" i="1"/>
  <c r="AE1048" i="1"/>
  <c r="AE1047" i="1"/>
  <c r="AE1046" i="1"/>
  <c r="AE1045" i="1"/>
  <c r="AE1044" i="1"/>
  <c r="AE1043" i="1"/>
  <c r="AE1042" i="1"/>
  <c r="AE1040" i="1"/>
  <c r="AE1039" i="1"/>
  <c r="AE1038" i="1"/>
  <c r="AE1037" i="1"/>
  <c r="AE1036" i="1"/>
  <c r="AE1035" i="1"/>
  <c r="AE1034" i="1"/>
  <c r="AE1032" i="1"/>
  <c r="AE1031" i="1"/>
  <c r="AE1030" i="1"/>
  <c r="AE1029" i="1"/>
  <c r="AE1028" i="1"/>
  <c r="AE1027" i="1"/>
  <c r="AE1026" i="1"/>
  <c r="AE1025" i="1"/>
  <c r="AE1024" i="1"/>
  <c r="AE1023" i="1"/>
  <c r="AE1022" i="1"/>
  <c r="AE1021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2" i="1"/>
  <c r="AE991" i="1"/>
  <c r="AE990" i="1"/>
  <c r="AE989" i="1"/>
  <c r="AE988" i="1"/>
  <c r="AE987" i="1"/>
  <c r="AE985" i="1"/>
  <c r="AE984" i="1"/>
  <c r="AE983" i="1"/>
  <c r="AE982" i="1"/>
  <c r="AE980" i="1"/>
  <c r="AE979" i="1"/>
  <c r="AE978" i="1"/>
  <c r="AE977" i="1"/>
  <c r="AE976" i="1"/>
  <c r="AE975" i="1"/>
  <c r="AE974" i="1"/>
  <c r="AE973" i="1"/>
  <c r="AE972" i="1"/>
  <c r="AE970" i="1"/>
  <c r="AE969" i="1"/>
  <c r="AE968" i="1"/>
  <c r="AE967" i="1"/>
  <c r="AE966" i="1"/>
  <c r="AE965" i="1"/>
  <c r="AE964" i="1"/>
  <c r="AE963" i="1"/>
  <c r="AE960" i="1"/>
  <c r="AE959" i="1"/>
  <c r="AE958" i="1"/>
  <c r="AE957" i="1"/>
  <c r="AE956" i="1"/>
  <c r="AE955" i="1"/>
  <c r="AE954" i="1"/>
  <c r="AE953" i="1"/>
  <c r="AE951" i="1"/>
  <c r="AE950" i="1"/>
  <c r="AE949" i="1"/>
  <c r="AE948" i="1"/>
  <c r="AE947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29" i="1"/>
  <c r="AE927" i="1"/>
  <c r="AE926" i="1"/>
  <c r="AE925" i="1"/>
  <c r="AE924" i="1"/>
  <c r="AE922" i="1"/>
  <c r="AE919" i="1"/>
  <c r="AE918" i="1"/>
  <c r="AE917" i="1"/>
  <c r="AE914" i="1"/>
  <c r="AE913" i="1"/>
  <c r="AE911" i="1"/>
  <c r="AE909" i="1"/>
  <c r="AE908" i="1"/>
  <c r="AE907" i="1"/>
  <c r="AE906" i="1"/>
  <c r="AE904" i="1"/>
  <c r="AE902" i="1"/>
  <c r="AE901" i="1"/>
  <c r="AE900" i="1"/>
  <c r="AE898" i="1"/>
  <c r="AE897" i="1"/>
  <c r="AE896" i="1"/>
  <c r="AE895" i="1"/>
  <c r="AE894" i="1"/>
  <c r="AE893" i="1"/>
  <c r="AE892" i="1"/>
  <c r="AE891" i="1"/>
  <c r="AE890" i="1"/>
  <c r="AE888" i="1"/>
  <c r="AE887" i="1"/>
  <c r="AE886" i="1"/>
  <c r="AE885" i="1"/>
  <c r="AE880" i="1"/>
  <c r="AE873" i="1"/>
  <c r="AE871" i="1"/>
  <c r="AE870" i="1"/>
  <c r="AE867" i="1"/>
  <c r="AE866" i="1"/>
  <c r="AE862" i="1"/>
  <c r="AE850" i="1"/>
  <c r="AE848" i="1"/>
  <c r="AE847" i="1"/>
  <c r="AE841" i="1"/>
  <c r="AE829" i="1"/>
  <c r="AE822" i="1"/>
  <c r="AE821" i="1"/>
  <c r="AE739" i="1"/>
  <c r="AE683" i="1"/>
  <c r="AE672" i="1"/>
  <c r="AE668" i="1"/>
  <c r="AE635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595" i="1"/>
  <c r="AE386" i="1"/>
  <c r="AE353" i="1"/>
  <c r="AE112" i="1"/>
  <c r="AE64" i="1"/>
  <c r="AD1671" i="1"/>
  <c r="AD1670" i="1"/>
  <c r="AD1669" i="1"/>
  <c r="AD1666" i="1"/>
  <c r="AD1665" i="1"/>
  <c r="AD1664" i="1"/>
  <c r="AD1663" i="1"/>
  <c r="AD1662" i="1"/>
  <c r="AD1661" i="1"/>
  <c r="AD1660" i="1"/>
  <c r="AD1655" i="1"/>
  <c r="AD1654" i="1"/>
  <c r="AD1653" i="1"/>
  <c r="AD1652" i="1"/>
  <c r="AD1651" i="1"/>
  <c r="AD1650" i="1"/>
  <c r="AD1649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0" i="1"/>
  <c r="AD1589" i="1"/>
  <c r="AD1588" i="1"/>
  <c r="AD1587" i="1"/>
  <c r="AD1586" i="1"/>
  <c r="AD1585" i="1"/>
  <c r="AD1584" i="1"/>
  <c r="AD1580" i="1"/>
  <c r="AD1578" i="1"/>
  <c r="AD1576" i="1"/>
  <c r="AD1575" i="1"/>
  <c r="AD1574" i="1"/>
  <c r="AD1573" i="1"/>
  <c r="AD1572" i="1"/>
  <c r="AD1571" i="1"/>
  <c r="AD1570" i="1"/>
  <c r="AD1569" i="1"/>
  <c r="AD1568" i="1"/>
  <c r="AD1567" i="1"/>
  <c r="AD1563" i="1"/>
  <c r="AD1562" i="1"/>
  <c r="AD1561" i="1"/>
  <c r="AD1556" i="1"/>
  <c r="AD1555" i="1"/>
  <c r="AD1551" i="1"/>
  <c r="AD1544" i="1"/>
  <c r="AD1542" i="1"/>
  <c r="AD1530" i="1"/>
  <c r="AD1529" i="1"/>
  <c r="AD1528" i="1"/>
  <c r="AD1527" i="1"/>
  <c r="AD1526" i="1"/>
  <c r="AD1525" i="1"/>
  <c r="AD1523" i="1"/>
  <c r="AD1521" i="1"/>
  <c r="AD1520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497" i="1"/>
  <c r="AD1496" i="1"/>
  <c r="AD1495" i="1"/>
  <c r="AD1493" i="1"/>
  <c r="AD1490" i="1"/>
  <c r="AD1489" i="1"/>
  <c r="AD1488" i="1"/>
  <c r="AD1487" i="1"/>
  <c r="AD1480" i="1"/>
  <c r="AD1477" i="1"/>
  <c r="AD1473" i="1"/>
  <c r="AD1472" i="1"/>
  <c r="AD1471" i="1"/>
  <c r="AD1469" i="1"/>
  <c r="AD1467" i="1"/>
  <c r="AD1466" i="1"/>
  <c r="AD1465" i="1"/>
  <c r="AD1462" i="1"/>
  <c r="AD1459" i="1"/>
  <c r="AD1456" i="1"/>
  <c r="AD1455" i="1"/>
  <c r="AD1453" i="1"/>
  <c r="AD1450" i="1"/>
  <c r="AD1449" i="1"/>
  <c r="AD1448" i="1"/>
  <c r="AD1444" i="1"/>
  <c r="AD1443" i="1"/>
  <c r="AD1442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1" i="1"/>
  <c r="AD1420" i="1"/>
  <c r="AD1418" i="1"/>
  <c r="AD1417" i="1"/>
  <c r="AD1416" i="1"/>
  <c r="AD1415" i="1"/>
  <c r="AD1414" i="1"/>
  <c r="AD1412" i="1"/>
  <c r="AD1411" i="1"/>
  <c r="AD1409" i="1"/>
  <c r="AD1408" i="1"/>
  <c r="AD1407" i="1"/>
  <c r="AD1406" i="1"/>
  <c r="AD1405" i="1"/>
  <c r="AD1404" i="1"/>
  <c r="AD1403" i="1"/>
  <c r="AD1402" i="1"/>
  <c r="AD1396" i="1"/>
  <c r="AD1394" i="1"/>
  <c r="AD1393" i="1"/>
  <c r="AD1389" i="1"/>
  <c r="AD1388" i="1"/>
  <c r="AD1387" i="1"/>
  <c r="AD1386" i="1"/>
  <c r="AD1385" i="1"/>
  <c r="AD1381" i="1"/>
  <c r="AD1380" i="1"/>
  <c r="AD1379" i="1"/>
  <c r="AD1378" i="1"/>
  <c r="AD1377" i="1"/>
  <c r="AD1376" i="1"/>
  <c r="AD1373" i="1"/>
  <c r="AD1369" i="1"/>
  <c r="AD1367" i="1"/>
  <c r="AD1366" i="1"/>
  <c r="AD1365" i="1"/>
  <c r="AD1364" i="1"/>
  <c r="AD1362" i="1"/>
  <c r="AD1361" i="1"/>
  <c r="AD1360" i="1"/>
  <c r="AD1359" i="1"/>
  <c r="AD1358" i="1"/>
  <c r="AD1357" i="1"/>
  <c r="AD1356" i="1"/>
  <c r="AD1352" i="1"/>
  <c r="AD1351" i="1"/>
  <c r="AD1350" i="1"/>
  <c r="AD1345" i="1"/>
  <c r="AD1344" i="1"/>
  <c r="AD1343" i="1"/>
  <c r="AD1342" i="1"/>
  <c r="AD1341" i="1"/>
  <c r="AD1340" i="1"/>
  <c r="AD1337" i="1"/>
  <c r="AD1334" i="1"/>
  <c r="AD1333" i="1"/>
  <c r="AD1331" i="1"/>
  <c r="AD1325" i="1"/>
  <c r="AD1324" i="1"/>
  <c r="AD1322" i="1"/>
  <c r="AD1321" i="1"/>
  <c r="AD1320" i="1"/>
  <c r="AD1318" i="1"/>
  <c r="AD1316" i="1"/>
  <c r="AD1315" i="1"/>
  <c r="AD1313" i="1"/>
  <c r="AD1306" i="1"/>
  <c r="AD1305" i="1"/>
  <c r="AD1304" i="1"/>
  <c r="AD1303" i="1"/>
  <c r="AD1300" i="1"/>
  <c r="AD1299" i="1"/>
  <c r="AD1297" i="1"/>
  <c r="AD1293" i="1"/>
  <c r="AD1291" i="1"/>
  <c r="AD1290" i="1"/>
  <c r="AD1289" i="1"/>
  <c r="AD1287" i="1"/>
  <c r="AD1286" i="1"/>
  <c r="AD1285" i="1"/>
  <c r="AD1284" i="1"/>
  <c r="AD1283" i="1"/>
  <c r="AD1281" i="1"/>
  <c r="AD1279" i="1"/>
  <c r="AD1278" i="1"/>
  <c r="AD1269" i="1"/>
  <c r="AD1267" i="1"/>
  <c r="AD1266" i="1"/>
  <c r="AD1258" i="1"/>
  <c r="AD1257" i="1"/>
  <c r="AD1256" i="1"/>
  <c r="AD1253" i="1"/>
  <c r="AD1252" i="1"/>
  <c r="AD1247" i="1"/>
  <c r="AD1246" i="1"/>
  <c r="AD1245" i="1"/>
  <c r="AD1244" i="1"/>
  <c r="AD1243" i="1"/>
  <c r="AD1241" i="1"/>
  <c r="AD1240" i="1"/>
  <c r="AD1239" i="1"/>
  <c r="AD1238" i="1"/>
  <c r="AD1237" i="1"/>
  <c r="AD1236" i="1"/>
  <c r="AD1235" i="1"/>
  <c r="AD1234" i="1"/>
  <c r="AD1232" i="1"/>
  <c r="AD1231" i="1"/>
  <c r="AD1230" i="1"/>
  <c r="AD1229" i="1"/>
  <c r="AD1228" i="1"/>
  <c r="AD1226" i="1"/>
  <c r="AD1225" i="1"/>
  <c r="AD1224" i="1"/>
  <c r="AD1223" i="1"/>
  <c r="AD1222" i="1"/>
  <c r="AD1221" i="1"/>
  <c r="AD1220" i="1"/>
  <c r="AD1217" i="1"/>
  <c r="AD1216" i="1"/>
  <c r="AD1215" i="1"/>
  <c r="AD1214" i="1"/>
  <c r="AD1213" i="1"/>
  <c r="AD1212" i="1"/>
  <c r="AD1211" i="1"/>
  <c r="AD1209" i="1"/>
  <c r="AD1207" i="1"/>
  <c r="AD1206" i="1"/>
  <c r="AD1205" i="1"/>
  <c r="AD1203" i="1"/>
  <c r="AD1202" i="1"/>
  <c r="AD1201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4" i="1"/>
  <c r="AD1182" i="1"/>
  <c r="AD1181" i="1"/>
  <c r="AD1180" i="1"/>
  <c r="AD1179" i="1"/>
  <c r="AD1178" i="1"/>
  <c r="AD1176" i="1"/>
  <c r="AD1175" i="1"/>
  <c r="AD1174" i="1"/>
  <c r="AD1173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4" i="1"/>
  <c r="AD1133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6" i="1"/>
  <c r="AD1115" i="1"/>
  <c r="AD1114" i="1"/>
  <c r="AD1113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4" i="1"/>
  <c r="AD1073" i="1"/>
  <c r="AD1072" i="1"/>
  <c r="AD1071" i="1"/>
  <c r="AD1070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2" i="1"/>
  <c r="AD991" i="1"/>
  <c r="AD990" i="1"/>
  <c r="AD989" i="1"/>
  <c r="AD988" i="1"/>
  <c r="AD987" i="1"/>
  <c r="AD986" i="1"/>
  <c r="AD985" i="1"/>
  <c r="AD984" i="1"/>
  <c r="AD983" i="1"/>
  <c r="AD982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29" i="1"/>
  <c r="AD927" i="1"/>
  <c r="AD926" i="1"/>
  <c r="AD925" i="1"/>
  <c r="AD924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8" i="1"/>
  <c r="AD887" i="1"/>
  <c r="AD886" i="1"/>
  <c r="AD885" i="1"/>
  <c r="AD884" i="1"/>
  <c r="AD883" i="1"/>
  <c r="AD881" i="1"/>
  <c r="AD880" i="1"/>
  <c r="AD879" i="1"/>
  <c r="AD877" i="1"/>
  <c r="AD876" i="1"/>
  <c r="AD875" i="1"/>
  <c r="AD874" i="1"/>
  <c r="AD873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7" i="1"/>
  <c r="AD836" i="1"/>
  <c r="AD835" i="1"/>
  <c r="AD834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6" i="1"/>
  <c r="AD815" i="1"/>
  <c r="AD814" i="1"/>
  <c r="AD813" i="1"/>
  <c r="AD812" i="1"/>
  <c r="AD811" i="1"/>
  <c r="AD810" i="1"/>
  <c r="AD809" i="1"/>
  <c r="AD808" i="1"/>
  <c r="AD805" i="1"/>
  <c r="AD804" i="1"/>
  <c r="AD803" i="1"/>
  <c r="AD802" i="1"/>
  <c r="AD801" i="1"/>
  <c r="AD800" i="1"/>
  <c r="AD799" i="1"/>
  <c r="AD798" i="1"/>
  <c r="AD797" i="1"/>
  <c r="AD796" i="1"/>
  <c r="AD795" i="1"/>
  <c r="AD793" i="1"/>
  <c r="AD792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19" i="1"/>
  <c r="AD718" i="1"/>
  <c r="AD717" i="1"/>
  <c r="AD716" i="1"/>
  <c r="AD715" i="1"/>
  <c r="AD714" i="1"/>
  <c r="AD713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7" i="1"/>
  <c r="AD646" i="1"/>
  <c r="AD645" i="1"/>
  <c r="AD644" i="1"/>
  <c r="AD643" i="1"/>
  <c r="AD641" i="1"/>
  <c r="AD640" i="1"/>
  <c r="AD639" i="1"/>
  <c r="AD638" i="1"/>
  <c r="AD637" i="1"/>
  <c r="AD636" i="1"/>
  <c r="AD635" i="1"/>
  <c r="AD634" i="1"/>
  <c r="AD633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1" i="1"/>
  <c r="AD610" i="1"/>
  <c r="AD609" i="1"/>
  <c r="AD608" i="1"/>
  <c r="AD607" i="1"/>
  <c r="AD606" i="1"/>
  <c r="AD605" i="1"/>
  <c r="AD604" i="1"/>
  <c r="AD601" i="1"/>
  <c r="AD600" i="1"/>
  <c r="AD595" i="1"/>
  <c r="AD593" i="1"/>
  <c r="AD592" i="1"/>
  <c r="AD591" i="1"/>
  <c r="AD590" i="1"/>
  <c r="AD589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1671" i="1"/>
  <c r="AC1670" i="1"/>
  <c r="AC1669" i="1"/>
  <c r="AC1666" i="1"/>
  <c r="AC1665" i="1"/>
  <c r="AC1664" i="1"/>
  <c r="AC1663" i="1"/>
  <c r="AC1662" i="1"/>
  <c r="AC1661" i="1"/>
  <c r="AC1660" i="1"/>
  <c r="AC1655" i="1"/>
  <c r="AC1654" i="1"/>
  <c r="AC1653" i="1"/>
  <c r="AC1652" i="1"/>
  <c r="AC1651" i="1"/>
  <c r="AC1650" i="1"/>
  <c r="AC1649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6" i="1"/>
  <c r="AC1615" i="1"/>
  <c r="AC1614" i="1"/>
  <c r="AC1613" i="1"/>
  <c r="AC1612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0" i="1"/>
  <c r="AC1589" i="1"/>
  <c r="AC1588" i="1"/>
  <c r="AC1587" i="1"/>
  <c r="AC1586" i="1"/>
  <c r="AC1585" i="1"/>
  <c r="AC1584" i="1"/>
  <c r="AC1580" i="1"/>
  <c r="AC1578" i="1"/>
  <c r="AC1576" i="1"/>
  <c r="AC1575" i="1"/>
  <c r="AC1574" i="1"/>
  <c r="AC1573" i="1"/>
  <c r="AC1572" i="1"/>
  <c r="AC1570" i="1"/>
  <c r="AC1569" i="1"/>
  <c r="AC1568" i="1"/>
  <c r="AC1567" i="1"/>
  <c r="AC1563" i="1"/>
  <c r="AC1562" i="1"/>
  <c r="AC1561" i="1"/>
  <c r="AC1556" i="1"/>
  <c r="AC1555" i="1"/>
  <c r="AC1551" i="1"/>
  <c r="AC1544" i="1"/>
  <c r="AC1542" i="1"/>
  <c r="AC1530" i="1"/>
  <c r="AC1529" i="1"/>
  <c r="AC1528" i="1"/>
  <c r="AC1527" i="1"/>
  <c r="AC1526" i="1"/>
  <c r="AC1525" i="1"/>
  <c r="AC1523" i="1"/>
  <c r="AC1521" i="1"/>
  <c r="AC1520" i="1"/>
  <c r="AC1516" i="1"/>
  <c r="AC1515" i="1"/>
  <c r="AC1514" i="1"/>
  <c r="AC1513" i="1"/>
  <c r="AC1512" i="1"/>
  <c r="AC1511" i="1"/>
  <c r="AC1510" i="1"/>
  <c r="AC1508" i="1"/>
  <c r="AC1507" i="1"/>
  <c r="AC1506" i="1"/>
  <c r="AC1505" i="1"/>
  <c r="AC1504" i="1"/>
  <c r="AC1503" i="1"/>
  <c r="AC1502" i="1"/>
  <c r="AC1497" i="1"/>
  <c r="AC1496" i="1"/>
  <c r="AC1495" i="1"/>
  <c r="AC1493" i="1"/>
  <c r="AC1490" i="1"/>
  <c r="AC1489" i="1"/>
  <c r="AC1488" i="1"/>
  <c r="AC1487" i="1"/>
  <c r="AC1480" i="1"/>
  <c r="AC1477" i="1"/>
  <c r="AC1473" i="1"/>
  <c r="AC1472" i="1"/>
  <c r="AC1471" i="1"/>
  <c r="AC1469" i="1"/>
  <c r="AC1467" i="1"/>
  <c r="AC1466" i="1"/>
  <c r="AC1465" i="1"/>
  <c r="AC1459" i="1"/>
  <c r="AC1456" i="1"/>
  <c r="AC1455" i="1"/>
  <c r="AC1453" i="1"/>
  <c r="AC1450" i="1"/>
  <c r="AC1449" i="1"/>
  <c r="AC1448" i="1"/>
  <c r="AC1444" i="1"/>
  <c r="AC1443" i="1"/>
  <c r="AC1442" i="1"/>
  <c r="AC1440" i="1"/>
  <c r="AC1438" i="1"/>
  <c r="AC1437" i="1"/>
  <c r="AC1436" i="1"/>
  <c r="AC1435" i="1"/>
  <c r="AC1434" i="1"/>
  <c r="AC1433" i="1"/>
  <c r="AC1432" i="1"/>
  <c r="AC1431" i="1"/>
  <c r="AC1430" i="1"/>
  <c r="AC1429" i="1"/>
  <c r="AC1427" i="1"/>
  <c r="AC1426" i="1"/>
  <c r="AC1425" i="1"/>
  <c r="AC1424" i="1"/>
  <c r="AC1421" i="1"/>
  <c r="AC1420" i="1"/>
  <c r="AC1418" i="1"/>
  <c r="AC1417" i="1"/>
  <c r="AC1416" i="1"/>
  <c r="AC1415" i="1"/>
  <c r="AC1414" i="1"/>
  <c r="AC1412" i="1"/>
  <c r="AC1411" i="1"/>
  <c r="AC1409" i="1"/>
  <c r="AC1408" i="1"/>
  <c r="AC1407" i="1"/>
  <c r="AC1406" i="1"/>
  <c r="AC1405" i="1"/>
  <c r="AC1404" i="1"/>
  <c r="AC1403" i="1"/>
  <c r="AC1402" i="1"/>
  <c r="AC1396" i="1"/>
  <c r="AC1394" i="1"/>
  <c r="AC1393" i="1"/>
  <c r="AC1389" i="1"/>
  <c r="AC1388" i="1"/>
  <c r="AC1387" i="1"/>
  <c r="AC1386" i="1"/>
  <c r="AC1385" i="1"/>
  <c r="AC1381" i="1"/>
  <c r="AC1380" i="1"/>
  <c r="AC1379" i="1"/>
  <c r="AC1378" i="1"/>
  <c r="AC1377" i="1"/>
  <c r="AC1376" i="1"/>
  <c r="AC1373" i="1"/>
  <c r="AC1369" i="1"/>
  <c r="AC1367" i="1"/>
  <c r="AC1366" i="1"/>
  <c r="AC1365" i="1"/>
  <c r="AC1364" i="1"/>
  <c r="AC1362" i="1"/>
  <c r="AC1361" i="1"/>
  <c r="AC1360" i="1"/>
  <c r="AC1359" i="1"/>
  <c r="AC1358" i="1"/>
  <c r="AC1357" i="1"/>
  <c r="AC1356" i="1"/>
  <c r="AC1352" i="1"/>
  <c r="AC1351" i="1"/>
  <c r="AC1350" i="1"/>
  <c r="AC1345" i="1"/>
  <c r="AC1344" i="1"/>
  <c r="AC1343" i="1"/>
  <c r="AC1342" i="1"/>
  <c r="AC1341" i="1"/>
  <c r="AC1340" i="1"/>
  <c r="AC1337" i="1"/>
  <c r="AC1334" i="1"/>
  <c r="AC1333" i="1"/>
  <c r="AC1331" i="1"/>
  <c r="AC1325" i="1"/>
  <c r="AC1324" i="1"/>
  <c r="AC1322" i="1"/>
  <c r="AC1321" i="1"/>
  <c r="AC1320" i="1"/>
  <c r="AC1318" i="1"/>
  <c r="AC1316" i="1"/>
  <c r="AC1315" i="1"/>
  <c r="AC1313" i="1"/>
  <c r="AC1306" i="1"/>
  <c r="AC1305" i="1"/>
  <c r="AC1304" i="1"/>
  <c r="AC1303" i="1"/>
  <c r="AC1300" i="1"/>
  <c r="AC1299" i="1"/>
  <c r="AC1293" i="1"/>
  <c r="AC1291" i="1"/>
  <c r="AC1290" i="1"/>
  <c r="AC1289" i="1"/>
  <c r="AC1287" i="1"/>
  <c r="AC1286" i="1"/>
  <c r="AC1285" i="1"/>
  <c r="AC1284" i="1"/>
  <c r="AC1283" i="1"/>
  <c r="AC1281" i="1"/>
  <c r="AC1279" i="1"/>
  <c r="AC1278" i="1"/>
  <c r="AC1269" i="1"/>
  <c r="AC1267" i="1"/>
  <c r="AC1266" i="1"/>
  <c r="AC1258" i="1"/>
  <c r="AC1257" i="1"/>
  <c r="AC1256" i="1"/>
  <c r="AC1253" i="1"/>
  <c r="AC1252" i="1"/>
  <c r="AC1246" i="1"/>
  <c r="AC1245" i="1"/>
  <c r="AC1244" i="1"/>
  <c r="AC1243" i="1"/>
  <c r="AC1241" i="1"/>
  <c r="AC1240" i="1"/>
  <c r="AC1239" i="1"/>
  <c r="AC1238" i="1"/>
  <c r="AC1237" i="1"/>
  <c r="AC1236" i="1"/>
  <c r="AC1235" i="1"/>
  <c r="AC1234" i="1"/>
  <c r="AC1232" i="1"/>
  <c r="AC1231" i="1"/>
  <c r="AC1230" i="1"/>
  <c r="AC1229" i="1"/>
  <c r="AC1228" i="1"/>
  <c r="AC1226" i="1"/>
  <c r="AC1225" i="1"/>
  <c r="AC1224" i="1"/>
  <c r="AC1223" i="1"/>
  <c r="AC1222" i="1"/>
  <c r="AC1221" i="1"/>
  <c r="AC1220" i="1"/>
  <c r="AC1217" i="1"/>
  <c r="AC1216" i="1"/>
  <c r="AC1215" i="1"/>
  <c r="AC1214" i="1"/>
  <c r="AC1213" i="1"/>
  <c r="AC1212" i="1"/>
  <c r="AC1211" i="1"/>
  <c r="AC1209" i="1"/>
  <c r="AC1207" i="1"/>
  <c r="AC1206" i="1"/>
  <c r="AC1205" i="1"/>
  <c r="AC1203" i="1"/>
  <c r="AC1202" i="1"/>
  <c r="AC1201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4" i="1"/>
  <c r="AC1182" i="1"/>
  <c r="AC1181" i="1"/>
  <c r="AC1180" i="1"/>
  <c r="AC1179" i="1"/>
  <c r="AC1178" i="1"/>
  <c r="AC1176" i="1"/>
  <c r="AC1175" i="1"/>
  <c r="AC1174" i="1"/>
  <c r="AC1173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59" i="1"/>
  <c r="AC1158" i="1"/>
  <c r="AC1157" i="1"/>
  <c r="AC1156" i="1"/>
  <c r="AC1155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4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6" i="1"/>
  <c r="AC1115" i="1"/>
  <c r="AC1114" i="1"/>
  <c r="AC1113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4" i="1"/>
  <c r="AC1073" i="1"/>
  <c r="AC1072" i="1"/>
  <c r="AC1071" i="1"/>
  <c r="AC1070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0" i="1"/>
  <c r="AC1039" i="1"/>
  <c r="AC1038" i="1"/>
  <c r="AC1037" i="1"/>
  <c r="AC1036" i="1"/>
  <c r="AC1035" i="1"/>
  <c r="AC1034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2" i="1"/>
  <c r="AC991" i="1"/>
  <c r="AC990" i="1"/>
  <c r="AC989" i="1"/>
  <c r="AC988" i="1"/>
  <c r="AC987" i="1"/>
  <c r="AC985" i="1"/>
  <c r="AC984" i="1"/>
  <c r="AC983" i="1"/>
  <c r="AC982" i="1"/>
  <c r="AC980" i="1"/>
  <c r="AC979" i="1"/>
  <c r="AC978" i="1"/>
  <c r="AC977" i="1"/>
  <c r="AC976" i="1"/>
  <c r="AC975" i="1"/>
  <c r="AC974" i="1"/>
  <c r="AC973" i="1"/>
  <c r="AC972" i="1"/>
  <c r="AC970" i="1"/>
  <c r="AC969" i="1"/>
  <c r="AC968" i="1"/>
  <c r="AC967" i="1"/>
  <c r="AC966" i="1"/>
  <c r="AC965" i="1"/>
  <c r="AC964" i="1"/>
  <c r="AC963" i="1"/>
  <c r="AC960" i="1"/>
  <c r="AC959" i="1"/>
  <c r="AC958" i="1"/>
  <c r="AC957" i="1"/>
  <c r="AC956" i="1"/>
  <c r="AC955" i="1"/>
  <c r="AC954" i="1"/>
  <c r="AC953" i="1"/>
  <c r="AC951" i="1"/>
  <c r="AC950" i="1"/>
  <c r="AC949" i="1"/>
  <c r="AC948" i="1"/>
  <c r="AC947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29" i="1"/>
  <c r="AC927" i="1"/>
  <c r="AC926" i="1"/>
  <c r="AC925" i="1"/>
  <c r="AC924" i="1"/>
  <c r="AC922" i="1"/>
  <c r="AC919" i="1"/>
  <c r="AC918" i="1"/>
  <c r="AC917" i="1"/>
  <c r="AC914" i="1"/>
  <c r="AC913" i="1"/>
  <c r="AC912" i="1"/>
  <c r="AC911" i="1"/>
  <c r="AC909" i="1"/>
  <c r="AC908" i="1"/>
  <c r="AC907" i="1"/>
  <c r="AC906" i="1"/>
  <c r="AC904" i="1"/>
  <c r="AC902" i="1"/>
  <c r="AC901" i="1"/>
  <c r="AC900" i="1"/>
  <c r="AC898" i="1"/>
  <c r="AC897" i="1"/>
  <c r="AC896" i="1"/>
  <c r="AC895" i="1"/>
  <c r="AC894" i="1"/>
  <c r="AC893" i="1"/>
  <c r="AC892" i="1"/>
  <c r="AC891" i="1"/>
  <c r="AC890" i="1"/>
  <c r="AC888" i="1"/>
  <c r="AC887" i="1"/>
  <c r="AC886" i="1"/>
  <c r="AC885" i="1"/>
  <c r="AC880" i="1"/>
  <c r="AC873" i="1"/>
  <c r="AC871" i="1"/>
  <c r="AC870" i="1"/>
  <c r="AC867" i="1"/>
  <c r="AC866" i="1"/>
  <c r="AC862" i="1"/>
  <c r="AC850" i="1"/>
  <c r="AC848" i="1"/>
  <c r="AC847" i="1"/>
  <c r="AC841" i="1"/>
  <c r="AC837" i="1"/>
  <c r="AC834" i="1"/>
  <c r="AC829" i="1"/>
  <c r="AC825" i="1"/>
  <c r="AC822" i="1"/>
  <c r="AC821" i="1"/>
  <c r="AC816" i="1"/>
  <c r="AC814" i="1"/>
  <c r="AC813" i="1"/>
  <c r="AC812" i="1"/>
  <c r="AC776" i="1"/>
  <c r="AC739" i="1"/>
  <c r="AC715" i="1"/>
  <c r="AC714" i="1"/>
  <c r="AC713" i="1"/>
  <c r="AC710" i="1"/>
  <c r="AC701" i="1"/>
  <c r="AC683" i="1"/>
  <c r="AC682" i="1"/>
  <c r="AC668" i="1"/>
  <c r="AC667" i="1"/>
  <c r="AC652" i="1"/>
  <c r="AC651" i="1"/>
  <c r="AC647" i="1"/>
  <c r="AC645" i="1"/>
  <c r="AC643" i="1"/>
  <c r="AC635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595" i="1"/>
  <c r="AC517" i="1"/>
  <c r="AC353" i="1"/>
  <c r="AC64" i="1"/>
</calcChain>
</file>

<file path=xl/sharedStrings.xml><?xml version="1.0" encoding="utf-8"?>
<sst xmlns="http://schemas.openxmlformats.org/spreadsheetml/2006/main" count="5117" uniqueCount="1864">
  <si>
    <t>Deal No.</t>
  </si>
  <si>
    <t>Transfer Date</t>
  </si>
  <si>
    <t>Land</t>
  </si>
  <si>
    <t>Reference No.</t>
  </si>
  <si>
    <t>Inteqal No.</t>
  </si>
  <si>
    <t>Registry No.</t>
  </si>
  <si>
    <t>Moza</t>
  </si>
  <si>
    <t>2% Deficiency</t>
  </si>
  <si>
    <t>7E - Tax</t>
  </si>
  <si>
    <t>Advance Tax</t>
  </si>
  <si>
    <t>Agent Commission</t>
  </si>
  <si>
    <t>Commission</t>
  </si>
  <si>
    <t>CVT</t>
  </si>
  <si>
    <t>Distrcit Council Fee</t>
  </si>
  <si>
    <t>Fard Fee</t>
  </si>
  <si>
    <t>Form No.32</t>
  </si>
  <si>
    <t>Form No.32-A</t>
  </si>
  <si>
    <t>Gain Tax</t>
  </si>
  <si>
    <t>Intiqal Transfer Fee</t>
  </si>
  <si>
    <t>Miscellaneous Charges</t>
  </si>
  <si>
    <t>Other</t>
  </si>
  <si>
    <t>Other / Miscellenous Cost</t>
  </si>
  <si>
    <t>Patwari Fee</t>
  </si>
  <si>
    <t>PLRA</t>
  </si>
  <si>
    <t>Possession</t>
  </si>
  <si>
    <t>Stamp Duty</t>
  </si>
  <si>
    <t>Tehsil Fee</t>
  </si>
  <si>
    <t>Total Cost</t>
  </si>
  <si>
    <t>34 Kanal 7 Marla</t>
  </si>
  <si>
    <t>LTN-000754</t>
  </si>
  <si>
    <t>Sheikhpur</t>
  </si>
  <si>
    <t>1 Kanal 7 Marla</t>
  </si>
  <si>
    <t>LTN-000799</t>
  </si>
  <si>
    <t>8 Kanal 18 Marla 7 Sarsai</t>
  </si>
  <si>
    <t>LTN-000796</t>
  </si>
  <si>
    <t>10 Kanal 12 Marla</t>
  </si>
  <si>
    <t>LTN-000797</t>
  </si>
  <si>
    <t>8 Kanal 15 Marla 4 Sarsai</t>
  </si>
  <si>
    <t>LTN-000798</t>
  </si>
  <si>
    <t>15 Kanal 7 Marla</t>
  </si>
  <si>
    <t>LTN-000803</t>
  </si>
  <si>
    <t>Kak</t>
  </si>
  <si>
    <t>4 Kanal 1 Marla</t>
  </si>
  <si>
    <t>LTN-000804</t>
  </si>
  <si>
    <t>1 Kanal</t>
  </si>
  <si>
    <t>LTN-000806</t>
  </si>
  <si>
    <t>2 Kanal</t>
  </si>
  <si>
    <t>LTN-000800</t>
  </si>
  <si>
    <t>LTN-000801</t>
  </si>
  <si>
    <t>LTN-000802</t>
  </si>
  <si>
    <t>LTN-000807</t>
  </si>
  <si>
    <t>1 Kanal 2 Marla 4.5 Sarsai</t>
  </si>
  <si>
    <t>LTN-000805</t>
  </si>
  <si>
    <t>5 Kanal 12 Marla 6 Sarsai</t>
  </si>
  <si>
    <t>LTN-000813</t>
  </si>
  <si>
    <t>5 Kanal 16 Marla</t>
  </si>
  <si>
    <t>LTN-000821</t>
  </si>
  <si>
    <t>12 Kanal</t>
  </si>
  <si>
    <t>LTN-000822</t>
  </si>
  <si>
    <t>2 Kanal 2 Marla</t>
  </si>
  <si>
    <t>LTN-000820</t>
  </si>
  <si>
    <t>19 Marla 4.5 Sarsai</t>
  </si>
  <si>
    <t>LTN-000825</t>
  </si>
  <si>
    <t>LTN-000823</t>
  </si>
  <si>
    <t>15 Marla 1 Sarsai</t>
  </si>
  <si>
    <t>LTN-000810</t>
  </si>
  <si>
    <t>5 Marla 3.5 Sarsai</t>
  </si>
  <si>
    <t>LTN-000811</t>
  </si>
  <si>
    <t>1 Kanal 10 Marla</t>
  </si>
  <si>
    <t>LTN-000814</t>
  </si>
  <si>
    <t>6 Kanal 12 Marla 6 Sarsai</t>
  </si>
  <si>
    <t>LTN-000815</t>
  </si>
  <si>
    <t>6 Kanal</t>
  </si>
  <si>
    <t>LTN-000808</t>
  </si>
  <si>
    <t>6 Kanal 3 Marla 1 Sarsai</t>
  </si>
  <si>
    <t>LTN-000816</t>
  </si>
  <si>
    <t>8 Marla 3 Sarsai</t>
  </si>
  <si>
    <t>LTN-000817</t>
  </si>
  <si>
    <t>2 Kanal 1 Marla 5 Sarsai</t>
  </si>
  <si>
    <t>LTN-000818</t>
  </si>
  <si>
    <t>4 Kanal 8 Sarsai</t>
  </si>
  <si>
    <t>1 Kanal 1 Marla 6 Sarsai</t>
  </si>
  <si>
    <t>10 Kanal 1 Marla</t>
  </si>
  <si>
    <t>LTN-000828</t>
  </si>
  <si>
    <t>1 Kanal 9 Marla</t>
  </si>
  <si>
    <t>LTN-000826</t>
  </si>
  <si>
    <t>5 Kanal 7 Marla 3 Sarsai</t>
  </si>
  <si>
    <t>LTN-000833</t>
  </si>
  <si>
    <t>5 Kanal 1 Marla</t>
  </si>
  <si>
    <t>LTN-000830</t>
  </si>
  <si>
    <t>3 Kanal 15 Marla</t>
  </si>
  <si>
    <t>LTN-000832</t>
  </si>
  <si>
    <t>3 Kanal 14 Marla 7 Sarsai</t>
  </si>
  <si>
    <t>LTN-000834</t>
  </si>
  <si>
    <t>35 Kanal 6 Marla 2 Sarsai</t>
  </si>
  <si>
    <t>LTN-000829</t>
  </si>
  <si>
    <t>5 Kanal 5 Marla 6 Sarsai</t>
  </si>
  <si>
    <t>LTN-000831</t>
  </si>
  <si>
    <t>5966/1</t>
  </si>
  <si>
    <t>3 Kanal 2 Marla 2 Sarsai</t>
  </si>
  <si>
    <t>3 Kanal 3 Marla 2 Sarsai</t>
  </si>
  <si>
    <t>13 Marla 7 Sarsai</t>
  </si>
  <si>
    <t>7 Kanal 10 Marla</t>
  </si>
  <si>
    <t>LTN-000845</t>
  </si>
  <si>
    <t>3 Kanal 5 Marla</t>
  </si>
  <si>
    <t>LTN-000835</t>
  </si>
  <si>
    <t>1 Kanal 19 Marla</t>
  </si>
  <si>
    <t>LTN-000836</t>
  </si>
  <si>
    <t>1 Kanal 15 Marla</t>
  </si>
  <si>
    <t>LTN-000837</t>
  </si>
  <si>
    <t>1 Kanal 2 Marla</t>
  </si>
  <si>
    <t>LTN-000838</t>
  </si>
  <si>
    <t>3 Kanal 8 Marla</t>
  </si>
  <si>
    <t>LTN-000839</t>
  </si>
  <si>
    <t>4 Marla</t>
  </si>
  <si>
    <t>LTN-000840</t>
  </si>
  <si>
    <t>1 Kanal 14 Marla</t>
  </si>
  <si>
    <t>LTN-000841</t>
  </si>
  <si>
    <t>5 Kanal 19 Marla</t>
  </si>
  <si>
    <t>LTN-000849</t>
  </si>
  <si>
    <t>3 Kanal 8 Marla 2 Sarsai</t>
  </si>
  <si>
    <t>LTN-000850</t>
  </si>
  <si>
    <t>1 Kanal 4 Marla 6 Sarsai</t>
  </si>
  <si>
    <t>LTN-000855</t>
  </si>
  <si>
    <t>LTN-000843</t>
  </si>
  <si>
    <t>5 Marla 3 Sarsai</t>
  </si>
  <si>
    <t>LTN-000844</t>
  </si>
  <si>
    <t>18 Marla</t>
  </si>
  <si>
    <t>LTN-000847</t>
  </si>
  <si>
    <t>LTN-000848</t>
  </si>
  <si>
    <t>1 Kanal 16 Marla</t>
  </si>
  <si>
    <t>LTN-000856</t>
  </si>
  <si>
    <t>6330/1</t>
  </si>
  <si>
    <t>19 Marla 1 Sarsai</t>
  </si>
  <si>
    <t>LTN-000852</t>
  </si>
  <si>
    <t>1 Kanal 9 Marla 4 Sarsai</t>
  </si>
  <si>
    <t>LTN-000853</t>
  </si>
  <si>
    <t>10 Marla</t>
  </si>
  <si>
    <t>LTN-000854</t>
  </si>
  <si>
    <t>17 Marla</t>
  </si>
  <si>
    <t>LTN-000842</t>
  </si>
  <si>
    <t>3 Kanal</t>
  </si>
  <si>
    <t>LTN-000846</t>
  </si>
  <si>
    <t>1 Kanal 1 Marla</t>
  </si>
  <si>
    <t>LTN-000851</t>
  </si>
  <si>
    <t>LTN-000865</t>
  </si>
  <si>
    <t>LTN-000867</t>
  </si>
  <si>
    <t>LTN-000864</t>
  </si>
  <si>
    <t>LTN-000866</t>
  </si>
  <si>
    <t>LTN-000868</t>
  </si>
  <si>
    <t>LTN-000870</t>
  </si>
  <si>
    <t>LTN-000874</t>
  </si>
  <si>
    <t>LTN-000869</t>
  </si>
  <si>
    <t>5 Marla</t>
  </si>
  <si>
    <t>LTN-000871</t>
  </si>
  <si>
    <t>LTN-000872</t>
  </si>
  <si>
    <t>LTN-000876</t>
  </si>
  <si>
    <t>4 Kanal 7 Marla</t>
  </si>
  <si>
    <t>LTN-000875</t>
  </si>
  <si>
    <t>2 Kanal 5 Marla</t>
  </si>
  <si>
    <t>LTN-000877</t>
  </si>
  <si>
    <t>8 Marla 1 Sarsai</t>
  </si>
  <si>
    <t>LTN-000878</t>
  </si>
  <si>
    <t>41 Kanal 14 Marla</t>
  </si>
  <si>
    <t>LTN-000755</t>
  </si>
  <si>
    <t>37 Kanal 13 Marla 1 Sarsai</t>
  </si>
  <si>
    <t>LTN-000879</t>
  </si>
  <si>
    <t>17 Kanal 17 Marla 4 Sarsai</t>
  </si>
  <si>
    <t>LTN-000881</t>
  </si>
  <si>
    <t>6 Kanal 13 Marla 2 Sarsai</t>
  </si>
  <si>
    <t>LTN-000884</t>
  </si>
  <si>
    <t>7 Kanal</t>
  </si>
  <si>
    <t>LTN-000885</t>
  </si>
  <si>
    <t>7 Kanal 6 Marla</t>
  </si>
  <si>
    <t>LTN-000883</t>
  </si>
  <si>
    <t>200 Kanal</t>
  </si>
  <si>
    <t>BPV</t>
  </si>
  <si>
    <t>19 Kanal 13 Marla</t>
  </si>
  <si>
    <t>20 Kanal 5 Marla</t>
  </si>
  <si>
    <t>7 Kanal 12 Marla</t>
  </si>
  <si>
    <t>43 Kanal 15 Marla</t>
  </si>
  <si>
    <t>73 Kanal 1 Marla</t>
  </si>
  <si>
    <t>35 Kanal 7 Marla</t>
  </si>
  <si>
    <t>16 Kanal 6 Marla</t>
  </si>
  <si>
    <t>LTN-000757</t>
  </si>
  <si>
    <t>21 Kanal 10 Marla 2 Sarsai</t>
  </si>
  <si>
    <t>LTN-000760</t>
  </si>
  <si>
    <t>LTN-000758</t>
  </si>
  <si>
    <t>8 Kanal</t>
  </si>
  <si>
    <t>LTN-000764</t>
  </si>
  <si>
    <t>4 Kanal 19 Marla</t>
  </si>
  <si>
    <t>LTN-000761</t>
  </si>
  <si>
    <t>1 Kanal 1 Marla 4 Sarsai</t>
  </si>
  <si>
    <t>LTN-000765</t>
  </si>
  <si>
    <t>2 Kanal 8 Marla</t>
  </si>
  <si>
    <t>LTN-000763</t>
  </si>
  <si>
    <t>5 Kanal 10 Marla 2 Sarsai</t>
  </si>
  <si>
    <t>LTN-000762</t>
  </si>
  <si>
    <t>11 Marla 3 Sarsai</t>
  </si>
  <si>
    <t>2 Kanal 19 Marla 4 Sarsai</t>
  </si>
  <si>
    <t>7 Kanal 9 Marla</t>
  </si>
  <si>
    <t>LTN-000767</t>
  </si>
  <si>
    <t>4 Kanal 8 Marla 5 Sarsai</t>
  </si>
  <si>
    <t>LTN-000768</t>
  </si>
  <si>
    <t>LTN-000770</t>
  </si>
  <si>
    <t>6 Marla</t>
  </si>
  <si>
    <t>LTN-000766</t>
  </si>
  <si>
    <t>5 Kanal</t>
  </si>
  <si>
    <t>7 Kanal 14 Marla</t>
  </si>
  <si>
    <t>6 Marla 7 Sarsai</t>
  </si>
  <si>
    <t>LTN-000769</t>
  </si>
  <si>
    <t>45 Kanal 3 Marla</t>
  </si>
  <si>
    <t>LTN-000771</t>
  </si>
  <si>
    <t>6 Kanal 12 Marla</t>
  </si>
  <si>
    <t>LTN-000773</t>
  </si>
  <si>
    <t>19 Kanal 17 Marla 1 Sarsai</t>
  </si>
  <si>
    <t>LTN-000772</t>
  </si>
  <si>
    <t>LTN-000774</t>
  </si>
  <si>
    <t>LTN-000775</t>
  </si>
  <si>
    <t>8 Kanal 10 Marla</t>
  </si>
  <si>
    <t>LTN-000776</t>
  </si>
  <si>
    <t>LTN-000779</t>
  </si>
  <si>
    <t>LTN-000784</t>
  </si>
  <si>
    <t>3 Kanal 4 Marla 3 Sarsai</t>
  </si>
  <si>
    <t>LTN-000777</t>
  </si>
  <si>
    <t>15 Kanal 3 Marla 7 Sarsai</t>
  </si>
  <si>
    <t>LTN-000780</t>
  </si>
  <si>
    <t>4 Kanal 17 Marla 4 Sarsai</t>
  </si>
  <si>
    <t>LTN-000781</t>
  </si>
  <si>
    <t>LTN-000785</t>
  </si>
  <si>
    <t>LTN-000782</t>
  </si>
  <si>
    <t>2 Kanal 1 Marla 8 Sarsai</t>
  </si>
  <si>
    <t>LTN-000795</t>
  </si>
  <si>
    <t>1 Kanal 5 Marla 1 Sarsai</t>
  </si>
  <si>
    <t>LTN-000778</t>
  </si>
  <si>
    <t>39 Kanal 14 Marla</t>
  </si>
  <si>
    <t>LTN-000791</t>
  </si>
  <si>
    <t>LTN-000786</t>
  </si>
  <si>
    <t>4 Kanal 13 Marla</t>
  </si>
  <si>
    <t>LTN-000788</t>
  </si>
  <si>
    <t>LTN-000787</t>
  </si>
  <si>
    <t>58 Kanal 15 Marla 5 Sarsai</t>
  </si>
  <si>
    <t>LTN-000790</t>
  </si>
  <si>
    <t>LTN-000793</t>
  </si>
  <si>
    <t>1 Kanal 19 Marla 6 Sarsai</t>
  </si>
  <si>
    <t>LTN-000794</t>
  </si>
  <si>
    <t>8 Kanal 12 Marla 3 Sarsai</t>
  </si>
  <si>
    <t>LTN-000792</t>
  </si>
  <si>
    <t>12 Kanal 4 Marla</t>
  </si>
  <si>
    <t>LTN-000424</t>
  </si>
  <si>
    <t>9075(11056)</t>
  </si>
  <si>
    <t>15 Kanal 5 Marla</t>
  </si>
  <si>
    <t>LTN-000423</t>
  </si>
  <si>
    <t>9008(11056)</t>
  </si>
  <si>
    <t>LTN-000426</t>
  </si>
  <si>
    <t>LTN-000425</t>
  </si>
  <si>
    <t>4 Kanal 18 Marla</t>
  </si>
  <si>
    <t>LTN-000427</t>
  </si>
  <si>
    <t>4 Kanal 1 Marla 4.5 Sarsai</t>
  </si>
  <si>
    <t>LTN-000428</t>
  </si>
  <si>
    <t>LTN-000430</t>
  </si>
  <si>
    <t>9106(11056)</t>
  </si>
  <si>
    <t>LTN-000429</t>
  </si>
  <si>
    <t>9071(11056)</t>
  </si>
  <si>
    <t>16 Marla</t>
  </si>
  <si>
    <t>2 Kanal 16 Marla 1 Sarsai</t>
  </si>
  <si>
    <t>LTN-000431</t>
  </si>
  <si>
    <t>25 Kanal 9 Marla</t>
  </si>
  <si>
    <t>LTN-000432</t>
  </si>
  <si>
    <t>4 Kanal 4 Marla 6 Sarsai</t>
  </si>
  <si>
    <t>LTN-000433</t>
  </si>
  <si>
    <t>6 Marla 3 Sarsai</t>
  </si>
  <si>
    <t>LTN-000434</t>
  </si>
  <si>
    <t>1 Kanal 2 Sarsai</t>
  </si>
  <si>
    <t>LTN-000437</t>
  </si>
  <si>
    <t>LTN-000439</t>
  </si>
  <si>
    <t>2 Kanal 12 Marla 7 Sarsai</t>
  </si>
  <si>
    <t>LTN-000438</t>
  </si>
  <si>
    <t>2 Kanal 10 Marla</t>
  </si>
  <si>
    <t>LTN-000440</t>
  </si>
  <si>
    <t>1 Kanal 10 Marla 4 Sarsai</t>
  </si>
  <si>
    <t>LTN-000441</t>
  </si>
  <si>
    <t>2 Kanal 11 Marla 7 Sarsai</t>
  </si>
  <si>
    <t>LTN-000442</t>
  </si>
  <si>
    <t>13 Marla 3 Sarsai</t>
  </si>
  <si>
    <t>LTN-000443</t>
  </si>
  <si>
    <t>19 Marla 2 Sarsai</t>
  </si>
  <si>
    <t>LTN-000450</t>
  </si>
  <si>
    <t>6 Kanal 15 Marla</t>
  </si>
  <si>
    <t>LTN-000451</t>
  </si>
  <si>
    <t>13 Kanal 14 Marla</t>
  </si>
  <si>
    <t>LTN-000452</t>
  </si>
  <si>
    <t>5 Kanal 10 Marla 1.5 Sarsai</t>
  </si>
  <si>
    <t>LTN-000453</t>
  </si>
  <si>
    <t>LTN-000455</t>
  </si>
  <si>
    <t>9108(11056)</t>
  </si>
  <si>
    <t>LTN-000454</t>
  </si>
  <si>
    <t>19 Marla</t>
  </si>
  <si>
    <t>BPV-10182</t>
  </si>
  <si>
    <t>2 Marla</t>
  </si>
  <si>
    <t>14 Marla 5 Sarsai</t>
  </si>
  <si>
    <t>8 Marla 6 Sarsai</t>
  </si>
  <si>
    <t>18 Marla 8 Sarsai</t>
  </si>
  <si>
    <t>12 Marla 6 Sarsai</t>
  </si>
  <si>
    <t>1 Kanal 17 Marla</t>
  </si>
  <si>
    <t>12 Marla 3 Sarsai</t>
  </si>
  <si>
    <t>4 Marla 6 Sarsai</t>
  </si>
  <si>
    <t>10 Marla 7 Sarsai</t>
  </si>
  <si>
    <t>7 Marla</t>
  </si>
  <si>
    <t>4 Marla 2 Sarsai</t>
  </si>
  <si>
    <t>Khasra 1742</t>
  </si>
  <si>
    <t>5 Marla 4 Sarsai</t>
  </si>
  <si>
    <t>12 Marla 5 Sarsai</t>
  </si>
  <si>
    <t>14 Marla</t>
  </si>
  <si>
    <t>7 Kanal 4 Marla</t>
  </si>
  <si>
    <t>BPV-10204</t>
  </si>
  <si>
    <t>7 Kanal 13 Marla 1 Sarsai</t>
  </si>
  <si>
    <t>BPV-11547</t>
  </si>
  <si>
    <t>24 Kanal 18 Marla 1 Sarsai</t>
  </si>
  <si>
    <t>LTN-000459</t>
  </si>
  <si>
    <t>5 Kanal 3 Sarsai</t>
  </si>
  <si>
    <t>LTN-000460</t>
  </si>
  <si>
    <t>LTN-000461</t>
  </si>
  <si>
    <t>4 Kanal</t>
  </si>
  <si>
    <t>LTN-000462</t>
  </si>
  <si>
    <t>4 Kanal 10 Marla 5 Sarsai</t>
  </si>
  <si>
    <t>LTN-000463</t>
  </si>
  <si>
    <t>LTN-000464</t>
  </si>
  <si>
    <t>LTN-000465</t>
  </si>
  <si>
    <t>1 Kanal 14 Marla 2 Sarsai</t>
  </si>
  <si>
    <t>LTN-000466</t>
  </si>
  <si>
    <t>LTN-000467</t>
  </si>
  <si>
    <t>LTN-000468</t>
  </si>
  <si>
    <t>8 Kanal 19 Marla</t>
  </si>
  <si>
    <t>LTN-000469</t>
  </si>
  <si>
    <t>LTN-000470</t>
  </si>
  <si>
    <t>9 Kanal</t>
  </si>
  <si>
    <t>LTN-000471</t>
  </si>
  <si>
    <t>3 Kanal 15 Marla 3 Sarsai</t>
  </si>
  <si>
    <t>LTN-000475</t>
  </si>
  <si>
    <t>5 Kanal 5 Sarsai</t>
  </si>
  <si>
    <t>LTN-000472</t>
  </si>
  <si>
    <t>3 Kanal 16 Marla</t>
  </si>
  <si>
    <t>LTN-000473</t>
  </si>
  <si>
    <t>1 Kanal 5 Marla</t>
  </si>
  <si>
    <t>LTN-000474</t>
  </si>
  <si>
    <t>4 Kanal 16 Marla</t>
  </si>
  <si>
    <t>LTN-000476</t>
  </si>
  <si>
    <t>2 Kanal 13 Marla 1 Sarsai</t>
  </si>
  <si>
    <t>LTN-000480</t>
  </si>
  <si>
    <t>19 Kanal 7 Marla 5 Sarsai</t>
  </si>
  <si>
    <t>LTN-000478</t>
  </si>
  <si>
    <t>9 Marla 1 Sarsai</t>
  </si>
  <si>
    <t>LTN-000477</t>
  </si>
  <si>
    <t>1 Marla 2 Sarsai</t>
  </si>
  <si>
    <t>LTN-000479</t>
  </si>
  <si>
    <t>11 Kanal 13 Marla 2 Sarsai</t>
  </si>
  <si>
    <t>LTN-000481</t>
  </si>
  <si>
    <t>5 Kanal 5 Marla 2 Sarsai</t>
  </si>
  <si>
    <t>LTN-000482</t>
  </si>
  <si>
    <t>LTN-000483</t>
  </si>
  <si>
    <t>2 Kanal 14 Marla</t>
  </si>
  <si>
    <t>LTN-000484</t>
  </si>
  <si>
    <t>3 Kanal 10 Marla</t>
  </si>
  <si>
    <t>LTN-000485</t>
  </si>
  <si>
    <t>LTN-000487</t>
  </si>
  <si>
    <t>1 Marla 3 Sarsai</t>
  </si>
  <si>
    <t>LTN-000486</t>
  </si>
  <si>
    <t>LTN-000488</t>
  </si>
  <si>
    <t>LTN-000489</t>
  </si>
  <si>
    <t>2 Kanal 7 Sarsai</t>
  </si>
  <si>
    <t>LTN-000490</t>
  </si>
  <si>
    <t>3 Kanal 11 Marla 2 Sarsai</t>
  </si>
  <si>
    <t>LTN-000491</t>
  </si>
  <si>
    <t>LTN-000492</t>
  </si>
  <si>
    <t>6 Marla 8 Sarsai</t>
  </si>
  <si>
    <t>LTN-000493</t>
  </si>
  <si>
    <t>8 Marla</t>
  </si>
  <si>
    <t>LTN-000494</t>
  </si>
  <si>
    <t>14 Marla 4.5 Sarsai</t>
  </si>
  <si>
    <t>LTN-000495</t>
  </si>
  <si>
    <t>3 Kanal 8 Marla 7 Sarsai</t>
  </si>
  <si>
    <t>LTN-000496</t>
  </si>
  <si>
    <t>1 Kanal 5 Marla 4 Sarsai</t>
  </si>
  <si>
    <t>LTN-000497</t>
  </si>
  <si>
    <t>9 Kanal 1 Marla 5 Sarsai</t>
  </si>
  <si>
    <t>LTN-000499</t>
  </si>
  <si>
    <t>LTN-000501</t>
  </si>
  <si>
    <t>LTN-000500</t>
  </si>
  <si>
    <t>LTN-000502</t>
  </si>
  <si>
    <t>21 Kanal 14 Marla 8 Sarsai</t>
  </si>
  <si>
    <t>LTN-000503</t>
  </si>
  <si>
    <t>LTN-000504</t>
  </si>
  <si>
    <t>2 Kanal 4 Marla</t>
  </si>
  <si>
    <t>LTN-000505</t>
  </si>
  <si>
    <t>LTN-000506</t>
  </si>
  <si>
    <t>LTN-000507</t>
  </si>
  <si>
    <t>LTN-000508</t>
  </si>
  <si>
    <t>LTN-000509</t>
  </si>
  <si>
    <t>LTN-000511</t>
  </si>
  <si>
    <t>LTN-000510</t>
  </si>
  <si>
    <t>10 Kanal 6 Marla 4 Sarsai</t>
  </si>
  <si>
    <t>LTN-000512</t>
  </si>
  <si>
    <t>LTN-000513</t>
  </si>
  <si>
    <t>LTN-000514</t>
  </si>
  <si>
    <t>6 Kanal 7 Marla 6 Sarsai</t>
  </si>
  <si>
    <t>LTN-000516</t>
  </si>
  <si>
    <t>18 Kanal 10 Marla 6 Sarsai</t>
  </si>
  <si>
    <t>LTN-000515</t>
  </si>
  <si>
    <t>8 Kanal 5 Sarsai</t>
  </si>
  <si>
    <t>LTN-000517</t>
  </si>
  <si>
    <t>LTN-000519</t>
  </si>
  <si>
    <t>LTN-000518</t>
  </si>
  <si>
    <t>6 Kanal 14 Marla</t>
  </si>
  <si>
    <t>LTN-000522</t>
  </si>
  <si>
    <t>15 Kanal 6 Marla</t>
  </si>
  <si>
    <t>LTN-000520</t>
  </si>
  <si>
    <t>4 Kanal 5 Marla</t>
  </si>
  <si>
    <t>LTN-000521</t>
  </si>
  <si>
    <t>34 Kanal 3 Sarsai</t>
  </si>
  <si>
    <t>LTN-000523</t>
  </si>
  <si>
    <t>LTN-000524</t>
  </si>
  <si>
    <t>1 Kanal 7 Sarsai</t>
  </si>
  <si>
    <t>LTN-000526</t>
  </si>
  <si>
    <t>1 Kanal 3 Marla 7 Sarsai</t>
  </si>
  <si>
    <t>LTN-000528</t>
  </si>
  <si>
    <t>LTN-000529</t>
  </si>
  <si>
    <t>1 Kanal 3 Marla</t>
  </si>
  <si>
    <t>LTN-000527</t>
  </si>
  <si>
    <t>LTN-000530</t>
  </si>
  <si>
    <t>2 Kanal 6 Sarsai</t>
  </si>
  <si>
    <t>LTN-000531</t>
  </si>
  <si>
    <t>1 Kanal 11 Marla 6 Sarsai</t>
  </si>
  <si>
    <t>LTN-000532</t>
  </si>
  <si>
    <t>1 Kanal 7 Marla 5 Sarsai</t>
  </si>
  <si>
    <t>LTN-000533</t>
  </si>
  <si>
    <t>LTN-000534</t>
  </si>
  <si>
    <t>LTN-000536</t>
  </si>
  <si>
    <t>LTN-000537</t>
  </si>
  <si>
    <t>1 Kanal 19 Marla 7 Sarsai</t>
  </si>
  <si>
    <t>LTN-000535</t>
  </si>
  <si>
    <t>4 Kanal 4 Marla 8 Sarsai</t>
  </si>
  <si>
    <t>LTN-000539</t>
  </si>
  <si>
    <t>10 Kanal 5 Marla</t>
  </si>
  <si>
    <t>LTN-000540</t>
  </si>
  <si>
    <t>22 Kanal</t>
  </si>
  <si>
    <t>LTN-000541</t>
  </si>
  <si>
    <t>4 Kanal 6 Marla</t>
  </si>
  <si>
    <t>LTN-000543</t>
  </si>
  <si>
    <t>3 Kanal 17 Marla</t>
  </si>
  <si>
    <t>LTN-000544</t>
  </si>
  <si>
    <t>LTN-000545</t>
  </si>
  <si>
    <t>8 Kanal 18 Marla</t>
  </si>
  <si>
    <t>LTN-000542</t>
  </si>
  <si>
    <t>LTN-000546</t>
  </si>
  <si>
    <t>LTN-000547</t>
  </si>
  <si>
    <t>5 Kanal 10 Marla</t>
  </si>
  <si>
    <t>LTN-000548</t>
  </si>
  <si>
    <t>LTN-000549</t>
  </si>
  <si>
    <t>LTN-000550</t>
  </si>
  <si>
    <t>LTN-000551</t>
  </si>
  <si>
    <t>LTN-000552</t>
  </si>
  <si>
    <t>6 Kanal 3 Sarsai</t>
  </si>
  <si>
    <t>LTN-000553</t>
  </si>
  <si>
    <t>LTN-000554</t>
  </si>
  <si>
    <t>LTN-000556</t>
  </si>
  <si>
    <t>LTN-000557</t>
  </si>
  <si>
    <t>1 Kanal 12 Marla 2 Sarsai</t>
  </si>
  <si>
    <t>LTN-000558</t>
  </si>
  <si>
    <t>LTN-000559</t>
  </si>
  <si>
    <t>LTN-000562</t>
  </si>
  <si>
    <t>2 Kanal 9 Marla 2 Sarsai</t>
  </si>
  <si>
    <t>LTN-000561</t>
  </si>
  <si>
    <t>77 Kanal 17 Marla 4 Sarsai</t>
  </si>
  <si>
    <t>LTN-000560</t>
  </si>
  <si>
    <t>2 Kanal 1 Marla 2 Sarsai</t>
  </si>
  <si>
    <t>LTN-000564</t>
  </si>
  <si>
    <t>4 Kanal 13 Marla 6 Sarsai</t>
  </si>
  <si>
    <t>LTN-000563</t>
  </si>
  <si>
    <t>8 Kanal 9 Marla 6 Sarsai</t>
  </si>
  <si>
    <t>LTN-000565</t>
  </si>
  <si>
    <t>9 Kanal 2 Marla 3 Sarsai</t>
  </si>
  <si>
    <t>LTN-000566</t>
  </si>
  <si>
    <t>15 Marla 4 Sarsai</t>
  </si>
  <si>
    <t>LTN-000567</t>
  </si>
  <si>
    <t>5 Kanal 8 Marla</t>
  </si>
  <si>
    <t>LTN-000569</t>
  </si>
  <si>
    <t>LTN-000568</t>
  </si>
  <si>
    <t>LTN-000570</t>
  </si>
  <si>
    <t>7 Kanal 19 Marla 2 Sarsai</t>
  </si>
  <si>
    <t>LTN-000571</t>
  </si>
  <si>
    <t>9 Marla 5 Sarsai</t>
  </si>
  <si>
    <t>LTN-000572</t>
  </si>
  <si>
    <t>18 Marla 5 Sarsai</t>
  </si>
  <si>
    <t>LTN-000573</t>
  </si>
  <si>
    <t>13 Marla</t>
  </si>
  <si>
    <t>LTN-000574</t>
  </si>
  <si>
    <t>1 Kanal 4 Marla 5 Sarsai</t>
  </si>
  <si>
    <t>LTN-000575</t>
  </si>
  <si>
    <t>LTN-000576</t>
  </si>
  <si>
    <t>LTN-000577</t>
  </si>
  <si>
    <t>LTN-000578</t>
  </si>
  <si>
    <t>2 Kanal 12 Marla 2 Sarsai</t>
  </si>
  <si>
    <t>LTN-000579</t>
  </si>
  <si>
    <t>11 Marla</t>
  </si>
  <si>
    <t>LTN-000580</t>
  </si>
  <si>
    <t>LTN-000581</t>
  </si>
  <si>
    <t>2 Marla 3 Sarsai</t>
  </si>
  <si>
    <t>LTN-000583</t>
  </si>
  <si>
    <t>LTN-000582</t>
  </si>
  <si>
    <t>25 Kanal 5 Marla</t>
  </si>
  <si>
    <t>LTN-000584</t>
  </si>
  <si>
    <t>11 Marla 4 Sarsai</t>
  </si>
  <si>
    <t>LTN-000585</t>
  </si>
  <si>
    <t>2 Kanal 9 Marla</t>
  </si>
  <si>
    <t>LTN-000586</t>
  </si>
  <si>
    <t>1 Kanal 3 Marla 3 Sarsai</t>
  </si>
  <si>
    <t>LTN-000587</t>
  </si>
  <si>
    <t>LTN-000588</t>
  </si>
  <si>
    <t>LTN-000589</t>
  </si>
  <si>
    <t>LTN-000590</t>
  </si>
  <si>
    <t>15 Marla</t>
  </si>
  <si>
    <t>LTN-000591</t>
  </si>
  <si>
    <t>LTN-000596</t>
  </si>
  <si>
    <t>30 Kanal 6 Marla</t>
  </si>
  <si>
    <t>LTN-000592</t>
  </si>
  <si>
    <t>2 Kanal 5 Marla 5 Sarsai</t>
  </si>
  <si>
    <t>LTN-000595</t>
  </si>
  <si>
    <t>16 Kanal</t>
  </si>
  <si>
    <t>LTN-000597</t>
  </si>
  <si>
    <t>LTN-000598</t>
  </si>
  <si>
    <t>3 Kanal 2 Marla</t>
  </si>
  <si>
    <t>LTN-000599</t>
  </si>
  <si>
    <t>LTN-000600</t>
  </si>
  <si>
    <t>6 Marla 6 Sarsai</t>
  </si>
  <si>
    <t>LTN-000601</t>
  </si>
  <si>
    <t>3 Marla</t>
  </si>
  <si>
    <t>LTN-000602</t>
  </si>
  <si>
    <t>LTN-000603</t>
  </si>
  <si>
    <t>10 Marla 3 Sarsai</t>
  </si>
  <si>
    <t>LTN-000604</t>
  </si>
  <si>
    <t>LTN-000605</t>
  </si>
  <si>
    <t>LTN-000606</t>
  </si>
  <si>
    <t>3 Marla 6 Sarsai</t>
  </si>
  <si>
    <t>LTN-000607</t>
  </si>
  <si>
    <t>5 Kanal 18 Marla 2 Sarsai</t>
  </si>
  <si>
    <t>LTN-000608</t>
  </si>
  <si>
    <t>LTN-000609</t>
  </si>
  <si>
    <t>5 Kanal 4 Marla 7 Sarsai</t>
  </si>
  <si>
    <t>LTN-000610</t>
  </si>
  <si>
    <t>LTN-000611</t>
  </si>
  <si>
    <t>1 Kanal 15 Marla 7 Sarsai</t>
  </si>
  <si>
    <t>LTN-000612</t>
  </si>
  <si>
    <t>17 Marla 8 Sarsai</t>
  </si>
  <si>
    <t>LTN-000613</t>
  </si>
  <si>
    <t>15 Marla 5 Sarsai</t>
  </si>
  <si>
    <t>LTN-000614</t>
  </si>
  <si>
    <t>LTN-000615</t>
  </si>
  <si>
    <t>12 Marla 4 Sarsai</t>
  </si>
  <si>
    <t>LTN-000616</t>
  </si>
  <si>
    <t>LTN-000617</t>
  </si>
  <si>
    <t>15 Marla 2 Sarsai</t>
  </si>
  <si>
    <t>LTN-000618</t>
  </si>
  <si>
    <t>3 Kanal 12 Marla</t>
  </si>
  <si>
    <t>LTN-000619</t>
  </si>
  <si>
    <t>5 Kanal 5 Marla 3 Sarsai</t>
  </si>
  <si>
    <t>LTN-000620</t>
  </si>
  <si>
    <t>8 Kanal 6 Marla 4 Sarsai</t>
  </si>
  <si>
    <t>LTN-000622</t>
  </si>
  <si>
    <t>1 Kanal 17 Marla 8 Sarsai</t>
  </si>
  <si>
    <t>LTN-000623</t>
  </si>
  <si>
    <t>3 Kanal 6 Marla 6 Sarsai</t>
  </si>
  <si>
    <t>LTN-000624</t>
  </si>
  <si>
    <t>10 Kanal 6 Sarsai</t>
  </si>
  <si>
    <t>LTN-000625</t>
  </si>
  <si>
    <t>6 Kanal 1 Marla 7 Sarsai</t>
  </si>
  <si>
    <t>LTN-000626</t>
  </si>
  <si>
    <t>20 Kanal 8 Marla 1 Sarsai</t>
  </si>
  <si>
    <t>LTN-000627</t>
  </si>
  <si>
    <t>11 Kanal 5 Marla 3 Sarsai</t>
  </si>
  <si>
    <t>LTN-000628</t>
  </si>
  <si>
    <t>12 Marla</t>
  </si>
  <si>
    <t>LTN-000630</t>
  </si>
  <si>
    <t>LTN-000629</t>
  </si>
  <si>
    <t>13 Marla 1 Sarsai</t>
  </si>
  <si>
    <t>BPV-570</t>
  </si>
  <si>
    <t>13 Kanal 9 Marla</t>
  </si>
  <si>
    <t>LTN-000632</t>
  </si>
  <si>
    <t>1 Kanal 4 Marla</t>
  </si>
  <si>
    <t>LTN-000633</t>
  </si>
  <si>
    <t>4 Marla 4 Sarsai</t>
  </si>
  <si>
    <t>LTN-000634</t>
  </si>
  <si>
    <t>LTN-000635</t>
  </si>
  <si>
    <t>LTN-000636</t>
  </si>
  <si>
    <t>7 Kanal 11 Marla 2 Sarsai</t>
  </si>
  <si>
    <t>LTN-000637</t>
  </si>
  <si>
    <t>LTN-000638</t>
  </si>
  <si>
    <t>1 Kanal 6 Marla 5 Sarsai</t>
  </si>
  <si>
    <t>LTN-000639</t>
  </si>
  <si>
    <t>LTN-000642</t>
  </si>
  <si>
    <t>11 Kanal 5 Sarsai</t>
  </si>
  <si>
    <t>LTN-000640</t>
  </si>
  <si>
    <t>LTN-000641</t>
  </si>
  <si>
    <t>LTN-000643</t>
  </si>
  <si>
    <t>1 Kanal 6 Marla</t>
  </si>
  <si>
    <t>LTN-000644</t>
  </si>
  <si>
    <t>LTN-000645</t>
  </si>
  <si>
    <t>LTN-000646</t>
  </si>
  <si>
    <t>LTN-000647</t>
  </si>
  <si>
    <t>LTN-000648</t>
  </si>
  <si>
    <t>LTN-000650</t>
  </si>
  <si>
    <t>LTN-000651</t>
  </si>
  <si>
    <t>LTN-000652</t>
  </si>
  <si>
    <t>LTN-000649</t>
  </si>
  <si>
    <t>9 Marla 7 Sarsai</t>
  </si>
  <si>
    <t>LTN-000653</t>
  </si>
  <si>
    <t>LTN-000654</t>
  </si>
  <si>
    <t>1 Kanal 1 Marla 2 Sarsai</t>
  </si>
  <si>
    <t>LTN-000655</t>
  </si>
  <si>
    <t>LTN-000656</t>
  </si>
  <si>
    <t>11599- Discharged</t>
  </si>
  <si>
    <t>12 Marla 7 Sarsai</t>
  </si>
  <si>
    <t>LTN-000657</t>
  </si>
  <si>
    <t>LTN-000658</t>
  </si>
  <si>
    <t>LTN-000661</t>
  </si>
  <si>
    <t>LTN-000659</t>
  </si>
  <si>
    <t>LTN-000660</t>
  </si>
  <si>
    <t>LTN-000662</t>
  </si>
  <si>
    <t>LTN-000663</t>
  </si>
  <si>
    <t>LTN-000665</t>
  </si>
  <si>
    <t>LTN-000664</t>
  </si>
  <si>
    <t>LTN-000666</t>
  </si>
  <si>
    <t>LTN-000668</t>
  </si>
  <si>
    <t>LTN-000667</t>
  </si>
  <si>
    <t>LTN-000669</t>
  </si>
  <si>
    <t>LTN-000670</t>
  </si>
  <si>
    <t>LTN-000671</t>
  </si>
  <si>
    <t>LTN-000672</t>
  </si>
  <si>
    <t>LTN-000673</t>
  </si>
  <si>
    <t>LTN-000674</t>
  </si>
  <si>
    <t>LTN-000675</t>
  </si>
  <si>
    <t>LTN-000676</t>
  </si>
  <si>
    <t>LTN-000677</t>
  </si>
  <si>
    <t>1 Kanal 10 Marla 7 Sarsai</t>
  </si>
  <si>
    <t>LTN-000678</t>
  </si>
  <si>
    <t>6 Kanal 12 Marla 3 Sarsai</t>
  </si>
  <si>
    <t>LTN-000679</t>
  </si>
  <si>
    <t>LTN-000680</t>
  </si>
  <si>
    <t>13 Marla 2 Sarsai</t>
  </si>
  <si>
    <t>LTN-000681</t>
  </si>
  <si>
    <t>1 Kanal 3 Marla 5 Sarsai</t>
  </si>
  <si>
    <t>LTN-000682</t>
  </si>
  <si>
    <t>LTN-000684</t>
  </si>
  <si>
    <t>2 Kanal 11 Marla 5 Sarsai</t>
  </si>
  <si>
    <t>LTN-000683</t>
  </si>
  <si>
    <t>LTN-000685</t>
  </si>
  <si>
    <t>LTN-000686</t>
  </si>
  <si>
    <t>4 Marla 3 Sarsai</t>
  </si>
  <si>
    <t>LTN-000687</t>
  </si>
  <si>
    <t>1 Kanal 8 Sarsai</t>
  </si>
  <si>
    <t>LTN-000688</t>
  </si>
  <si>
    <t>LTN-000689</t>
  </si>
  <si>
    <t>1 Kanal 13 Marla 6 Sarsai</t>
  </si>
  <si>
    <t>LTN-000693</t>
  </si>
  <si>
    <t>LTN-000691</t>
  </si>
  <si>
    <t>6 Kanal 2 Marla</t>
  </si>
  <si>
    <t>LTN-000690</t>
  </si>
  <si>
    <t>3 Marla 5 Sarsai</t>
  </si>
  <si>
    <t>BPV-157</t>
  </si>
  <si>
    <t>BPV-265</t>
  </si>
  <si>
    <t>2 Kanal 1 Marla</t>
  </si>
  <si>
    <t>17 Marla 1 Sarsai</t>
  </si>
  <si>
    <t>1 Marla</t>
  </si>
  <si>
    <t>5 Marla 4.5 Sarsai</t>
  </si>
  <si>
    <t>LTN-000694</t>
  </si>
  <si>
    <t>LTN-000695</t>
  </si>
  <si>
    <t>LTN-000696</t>
  </si>
  <si>
    <t>4 Kanal 11 Marla 7 Sarsai</t>
  </si>
  <si>
    <t>LTN-000697</t>
  </si>
  <si>
    <t>4 Marla 7 Sarsai</t>
  </si>
  <si>
    <t>LTN-000698</t>
  </si>
  <si>
    <t>LTN-000699</t>
  </si>
  <si>
    <t>9 Kanal 8 Sarsai</t>
  </si>
  <si>
    <t>LTN-000700</t>
  </si>
  <si>
    <t>8 Kanal 19 Marla 8 Sarsai</t>
  </si>
  <si>
    <t>LTN-000701</t>
  </si>
  <si>
    <t>LTN-000702</t>
  </si>
  <si>
    <t>LTN-000703</t>
  </si>
  <si>
    <t>LTN-000704</t>
  </si>
  <si>
    <t>LTN-000705</t>
  </si>
  <si>
    <t>3 Kanal 19 Marla</t>
  </si>
  <si>
    <t>LTN-000706</t>
  </si>
  <si>
    <t>LTN-000707</t>
  </si>
  <si>
    <t>LTN-000708</t>
  </si>
  <si>
    <t>5 Kanal 5 Marla 1 Sarsai</t>
  </si>
  <si>
    <t>LTN-000709</t>
  </si>
  <si>
    <t>LTN-000710</t>
  </si>
  <si>
    <t>LTN-000711</t>
  </si>
  <si>
    <t>29 Kanal 1 Marla</t>
  </si>
  <si>
    <t>LTN-000712</t>
  </si>
  <si>
    <t>9 Marla</t>
  </si>
  <si>
    <t>LTN-000713</t>
  </si>
  <si>
    <t>18 Marla 3 Sarsai</t>
  </si>
  <si>
    <t>LTN-000714</t>
  </si>
  <si>
    <t>31 Kanal 14 Marla</t>
  </si>
  <si>
    <t>LTN-000716</t>
  </si>
  <si>
    <t>LTN-000303</t>
  </si>
  <si>
    <t>LTN-000304</t>
  </si>
  <si>
    <t>LTN-000305</t>
  </si>
  <si>
    <t>LTN-000306</t>
  </si>
  <si>
    <t>LTN-000307</t>
  </si>
  <si>
    <t>1 Marla 7 Sarsai</t>
  </si>
  <si>
    <t>LTN-000308</t>
  </si>
  <si>
    <t>15 Kanal 6 Marla 5 Sarsai</t>
  </si>
  <si>
    <t>LTN-000309</t>
  </si>
  <si>
    <t>LTN-000310</t>
  </si>
  <si>
    <t>LTN-000311</t>
  </si>
  <si>
    <t>LTN-000312</t>
  </si>
  <si>
    <t>17 Marla 4.5 Sarsai</t>
  </si>
  <si>
    <t>LTN-000313</t>
  </si>
  <si>
    <t>LTN-000314</t>
  </si>
  <si>
    <t>4 Marla 1 Sarsai</t>
  </si>
  <si>
    <t>LTN-000315</t>
  </si>
  <si>
    <t>4 Marla 8 Sarsai</t>
  </si>
  <si>
    <t>LTN-000316</t>
  </si>
  <si>
    <t>LTN-000318</t>
  </si>
  <si>
    <t>33 Kanal 10 Marla 6 Sarsai</t>
  </si>
  <si>
    <t>LTN-000319</t>
  </si>
  <si>
    <t>1 Kanal 5 Marla 2 Sarsai</t>
  </si>
  <si>
    <t>LTN-000320</t>
  </si>
  <si>
    <t>2 Kanal 11 Marla</t>
  </si>
  <si>
    <t>LTN-000322</t>
  </si>
  <si>
    <t>11 Marla 2 Sarsai</t>
  </si>
  <si>
    <t>LTN-000321</t>
  </si>
  <si>
    <t>LTN-000323</t>
  </si>
  <si>
    <t>LTN-000324</t>
  </si>
  <si>
    <t>LTN-000325</t>
  </si>
  <si>
    <t>5 Kanal 5 Marla</t>
  </si>
  <si>
    <t>LTN-000326</t>
  </si>
  <si>
    <t>11 Marla 5.5 Sarsai</t>
  </si>
  <si>
    <t>LTN-000327</t>
  </si>
  <si>
    <t>LTN-000328</t>
  </si>
  <si>
    <t>8 Kanal 7 Marla 5 Sarsai</t>
  </si>
  <si>
    <t>LTN-000329</t>
  </si>
  <si>
    <t>6 Kanal 9 Marla 6 Sarsai</t>
  </si>
  <si>
    <t>LTN-000330</t>
  </si>
  <si>
    <t>LTN-000331</t>
  </si>
  <si>
    <t>11 Marla 4.5 Sarsai</t>
  </si>
  <si>
    <t>LTN-000332</t>
  </si>
  <si>
    <t>LTN-000333</t>
  </si>
  <si>
    <t>2 Kanal 3 Marla 1 Sarsai</t>
  </si>
  <si>
    <t>LTN-000334</t>
  </si>
  <si>
    <t>7 Kanal 19 Marla 8 Sarsai</t>
  </si>
  <si>
    <t>LTN-000335</t>
  </si>
  <si>
    <t>10 Kanal</t>
  </si>
  <si>
    <t>LTN-000733</t>
  </si>
  <si>
    <t>Lakhu</t>
  </si>
  <si>
    <t>LTN-000336</t>
  </si>
  <si>
    <t>LTN-000337</t>
  </si>
  <si>
    <t>2 Kanal 6 Marla</t>
  </si>
  <si>
    <t>15 Kanal 10 Marla 4 Sarsai</t>
  </si>
  <si>
    <t>16 Kanal 17 Marla</t>
  </si>
  <si>
    <t>33 Kanal 18 Marla 3 Sarsai</t>
  </si>
  <si>
    <t>12 Kanal 8 Marla 6 Sarsai</t>
  </si>
  <si>
    <t>3 Kanal 4 Marla 1 Sarsai</t>
  </si>
  <si>
    <t>13 Kanal 4 Marla 5 Sarsai</t>
  </si>
  <si>
    <t>12 Kanal 4 Sarsai</t>
  </si>
  <si>
    <t>3 Kanal 4 Marla 8 Sarsai</t>
  </si>
  <si>
    <t>1 Kanal 10 Marla 1 Sarsai</t>
  </si>
  <si>
    <t>9 Kanal 12 Marla 2 Sarsai</t>
  </si>
  <si>
    <t>12 Kanal 8 Marla</t>
  </si>
  <si>
    <t>22 Kanal 9 Marla 4 Sarsai</t>
  </si>
  <si>
    <t>8 Kanal 13 Marla</t>
  </si>
  <si>
    <t>33 Kanal 6 Marla</t>
  </si>
  <si>
    <t>15 Kanal 14 Marla</t>
  </si>
  <si>
    <t>11 Kanal 17 Marla 5 Sarsai</t>
  </si>
  <si>
    <t>8 Marla 2 Sarsai</t>
  </si>
  <si>
    <t>6 Kanal 6 Marla 7 Sarsai</t>
  </si>
  <si>
    <t>8 Kanal 4 Marla 1 Sarsai</t>
  </si>
  <si>
    <t>12 Kanal 2 Marla 4.5 Sarsai</t>
  </si>
  <si>
    <t>11 Kanal 8 Marla 2 Sarsai</t>
  </si>
  <si>
    <t>18 Kanal 10 Marla</t>
  </si>
  <si>
    <t>10 Kanal 16 Marla 4 Sarsai</t>
  </si>
  <si>
    <t>16 Kanal 5 Sarsai</t>
  </si>
  <si>
    <t>25 Kanal 2 Marla</t>
  </si>
  <si>
    <t>4 Kanal 1 Marla 1 Sarsai</t>
  </si>
  <si>
    <t>1 Kanal 17 Marla 6 Sarsai</t>
  </si>
  <si>
    <t>LTN-000338</t>
  </si>
  <si>
    <t>LTN-000339</t>
  </si>
  <si>
    <t>LTN-000340</t>
  </si>
  <si>
    <t>LTN-000341</t>
  </si>
  <si>
    <t>LTN-000342</t>
  </si>
  <si>
    <t>4 Kanal 4 Marla 1 Sarsai</t>
  </si>
  <si>
    <t>LTN-000343</t>
  </si>
  <si>
    <t>6 Sarsai</t>
  </si>
  <si>
    <t>LTN-000344</t>
  </si>
  <si>
    <t>LTN-000345</t>
  </si>
  <si>
    <t>LTN-000346</t>
  </si>
  <si>
    <t>LTN-000347</t>
  </si>
  <si>
    <t>5 Kanal 6 Marla</t>
  </si>
  <si>
    <t>LTN-000348</t>
  </si>
  <si>
    <t>LTN-000350</t>
  </si>
  <si>
    <t>LTN-000349</t>
  </si>
  <si>
    <t>LTN-000351</t>
  </si>
  <si>
    <t>LTN-000352</t>
  </si>
  <si>
    <t>2 Marla 4 Sarsai</t>
  </si>
  <si>
    <t>LTN-000354</t>
  </si>
  <si>
    <t>3 Kanal 6 Marla</t>
  </si>
  <si>
    <t>LTN-000353</t>
  </si>
  <si>
    <t>LTN-000355</t>
  </si>
  <si>
    <t>4 Kanal 17 Marla</t>
  </si>
  <si>
    <t>LTN-000356</t>
  </si>
  <si>
    <t>LTN-000358</t>
  </si>
  <si>
    <t>36 Kanal 10 Marla 6 Sarsai</t>
  </si>
  <si>
    <t>LTN-000357</t>
  </si>
  <si>
    <t>51 Kanal 16 Marla 2 Sarsai</t>
  </si>
  <si>
    <t>BPV-333</t>
  </si>
  <si>
    <t>90 Kanal 6 Marla 4 Sarsai</t>
  </si>
  <si>
    <t>BPV-626</t>
  </si>
  <si>
    <t>LTN-000359</t>
  </si>
  <si>
    <t>LTN-000360</t>
  </si>
  <si>
    <t>LTN-000361</t>
  </si>
  <si>
    <t>BPV-</t>
  </si>
  <si>
    <t>LTN-000362</t>
  </si>
  <si>
    <t>10 Marla 4 Sarsai</t>
  </si>
  <si>
    <t>LTN-000363</t>
  </si>
  <si>
    <t>LTN-000364</t>
  </si>
  <si>
    <t>19 Marla 3 Sarsai</t>
  </si>
  <si>
    <t>LTN-000365</t>
  </si>
  <si>
    <t>LTN-000366</t>
  </si>
  <si>
    <t>2 Marla 7 Sarsai</t>
  </si>
  <si>
    <t>LTN-000367</t>
  </si>
  <si>
    <t>LTN-000368</t>
  </si>
  <si>
    <t>LTN-000369</t>
  </si>
  <si>
    <t>LTN-000370</t>
  </si>
  <si>
    <t>LTN-000371</t>
  </si>
  <si>
    <t>LTN-000372</t>
  </si>
  <si>
    <t>LTN-000373</t>
  </si>
  <si>
    <t>LTN-000375</t>
  </si>
  <si>
    <t>321/1</t>
  </si>
  <si>
    <t>6 Marla 4 Sarsai</t>
  </si>
  <si>
    <t>LTN-000374</t>
  </si>
  <si>
    <t>3 Kanal 13 Marla 6 Sarsai</t>
  </si>
  <si>
    <t>BPV-144</t>
  </si>
  <si>
    <t>5 Kanal 16 Marla 3 Sarsai</t>
  </si>
  <si>
    <t>BPV-1303</t>
  </si>
  <si>
    <t>6 Kanal 15 Marla 4 Sarsai</t>
  </si>
  <si>
    <t>BPV-772</t>
  </si>
  <si>
    <t>4 Kanal 2 Marla 8 Sarsai</t>
  </si>
  <si>
    <t>2 Kanal 10 Marla 5 Sarsai</t>
  </si>
  <si>
    <t>6 Kanal 19 Marla</t>
  </si>
  <si>
    <t>BPV-1103</t>
  </si>
  <si>
    <t>9 Kanal 1 Marla 1 Sarsai</t>
  </si>
  <si>
    <t>BPV-357</t>
  </si>
  <si>
    <t>1 Kanal 13 Marla 7 Sarsai</t>
  </si>
  <si>
    <t>3 Marla 3 Sarsai</t>
  </si>
  <si>
    <t>LTN-000376</t>
  </si>
  <si>
    <t>LTN-000377</t>
  </si>
  <si>
    <t>LTN-000378</t>
  </si>
  <si>
    <t>14 Marla 6 Sarsai</t>
  </si>
  <si>
    <t>LTN-000379</t>
  </si>
  <si>
    <t>LTN-000380</t>
  </si>
  <si>
    <t>LTN-000381</t>
  </si>
  <si>
    <t>LTN-000382</t>
  </si>
  <si>
    <t>LTN-000383</t>
  </si>
  <si>
    <t>LTN-000384</t>
  </si>
  <si>
    <t>16 Marla 5 Sarsai</t>
  </si>
  <si>
    <t>LTN-000385</t>
  </si>
  <si>
    <t>14 Kanal 11 Marla 5 Sarsai</t>
  </si>
  <si>
    <t>LTN-000386</t>
  </si>
  <si>
    <t>LTN-000387</t>
  </si>
  <si>
    <t>16 Marla 2 Sarsai</t>
  </si>
  <si>
    <t>LTN-000389</t>
  </si>
  <si>
    <t>LTN-000388</t>
  </si>
  <si>
    <t>LTN-000390</t>
  </si>
  <si>
    <t>23 Kanal 8 Marla</t>
  </si>
  <si>
    <t>LTN-000391</t>
  </si>
  <si>
    <t>LTN-000392</t>
  </si>
  <si>
    <t>LTN-000725</t>
  </si>
  <si>
    <t>96 Kanal 4 Marla</t>
  </si>
  <si>
    <t>LTN-000393</t>
  </si>
  <si>
    <t>LTN-000394</t>
  </si>
  <si>
    <t>1 Kanal 14 Marla 1 Sarsai</t>
  </si>
  <si>
    <t>LTN-000395</t>
  </si>
  <si>
    <t>LTN-000396</t>
  </si>
  <si>
    <t>1 Kanal 15 Marla 1 Sarsai</t>
  </si>
  <si>
    <t>LTN-000397</t>
  </si>
  <si>
    <t>LTN-000399</t>
  </si>
  <si>
    <t>2 Kanal 4 Marla 8 Sarsai</t>
  </si>
  <si>
    <t>LTN-000398</t>
  </si>
  <si>
    <t>LTN-000400</t>
  </si>
  <si>
    <t>LTN-000401</t>
  </si>
  <si>
    <t>1 Kanal 18 Marla 6 Sarsai</t>
  </si>
  <si>
    <t>LTN-000402</t>
  </si>
  <si>
    <t>LTN-000403</t>
  </si>
  <si>
    <t>33 Kanal 1 Marla 5 Sarsai</t>
  </si>
  <si>
    <t>LTN-000405</t>
  </si>
  <si>
    <t>17 Kanal</t>
  </si>
  <si>
    <t>LTN-000404</t>
  </si>
  <si>
    <t>1 Kanal 4 Marla 8 Sarsai</t>
  </si>
  <si>
    <t>LTN-000406</t>
  </si>
  <si>
    <t>8 Marla 4.5 Sarsai</t>
  </si>
  <si>
    <t>LTN-000407</t>
  </si>
  <si>
    <t>LTN-000408</t>
  </si>
  <si>
    <t>LTN-000409</t>
  </si>
  <si>
    <t>19 Marla 4 Sarsai</t>
  </si>
  <si>
    <t>LTN-000410</t>
  </si>
  <si>
    <t>9 Kanal 8 Marla 6 Sarsai</t>
  </si>
  <si>
    <t>LTN-000412</t>
  </si>
  <si>
    <t>1 Kanal 8 Marla 8 Sarsai</t>
  </si>
  <si>
    <t>LTN-000415</t>
  </si>
  <si>
    <t>1 Kanal 4 Marla 1 Sarsai</t>
  </si>
  <si>
    <t>LTN-000416</t>
  </si>
  <si>
    <t>LTN-000414</t>
  </si>
  <si>
    <t>12 Marla 8 Sarsai</t>
  </si>
  <si>
    <t>LTN-000411</t>
  </si>
  <si>
    <t>LTN-000417</t>
  </si>
  <si>
    <t>20 Kanal 18 Marla 3 Sarsai</t>
  </si>
  <si>
    <t>LTN-000419</t>
  </si>
  <si>
    <t>6 Kanal 15 Marla 2 Sarsai</t>
  </si>
  <si>
    <t>LTN-000418</t>
  </si>
  <si>
    <t>LTN-000150</t>
  </si>
  <si>
    <t>In Possession but not transferable on our name. (Barah)</t>
  </si>
  <si>
    <t>LTN-000154</t>
  </si>
  <si>
    <t>LTN-000158</t>
  </si>
  <si>
    <t>LTN-000152</t>
  </si>
  <si>
    <t>LTN-000153</t>
  </si>
  <si>
    <t>LTN-000157</t>
  </si>
  <si>
    <t>LTN-000159</t>
  </si>
  <si>
    <t>LTN-000156</t>
  </si>
  <si>
    <t>LTN-000155</t>
  </si>
  <si>
    <t>7 Marla 4.5 Sarsai</t>
  </si>
  <si>
    <t>LTN-000151</t>
  </si>
  <si>
    <t>LTN-000161</t>
  </si>
  <si>
    <t>LTN-000163</t>
  </si>
  <si>
    <t>1 Kanal 5 Marla 8 Sarsai</t>
  </si>
  <si>
    <t>LTN-000160</t>
  </si>
  <si>
    <t>1 Kanal 1 Marla 3 Sarsai</t>
  </si>
  <si>
    <t>LTN-000164</t>
  </si>
  <si>
    <t>1 Kanal 1 Marla 8 Sarsai</t>
  </si>
  <si>
    <t>LTN-000165</t>
  </si>
  <si>
    <t>2 Kanal 1 Marla 6 Sarsai</t>
  </si>
  <si>
    <t>LTN-000162</t>
  </si>
  <si>
    <t>1 Kanal 2 Marla 3 Sarsai</t>
  </si>
  <si>
    <t>LTN-000166</t>
  </si>
  <si>
    <t>LTN-000167</t>
  </si>
  <si>
    <t>17 Kanal 19 Marla</t>
  </si>
  <si>
    <t>LTN-000168</t>
  </si>
  <si>
    <t>34 Kanal 19 Marla</t>
  </si>
  <si>
    <t>LTN-000169</t>
  </si>
  <si>
    <t>LTN-000174</t>
  </si>
  <si>
    <t>LTN-000172</t>
  </si>
  <si>
    <t>LTN-000173</t>
  </si>
  <si>
    <t>LTN-000170</t>
  </si>
  <si>
    <t>LTN-000171</t>
  </si>
  <si>
    <t>14 Kanal 17 Marla 5 Sarsai</t>
  </si>
  <si>
    <t>LTN-000175</t>
  </si>
  <si>
    <t>BBP-885</t>
  </si>
  <si>
    <t>LTN-000176</t>
  </si>
  <si>
    <t>8.47 Sarsai</t>
  </si>
  <si>
    <t>LTN-000178</t>
  </si>
  <si>
    <t>1 Kanal 14 Marla 8 Sarsai</t>
  </si>
  <si>
    <t>LTN-000177</t>
  </si>
  <si>
    <t>6 Kanal 16 Marla</t>
  </si>
  <si>
    <t>LTN-000179</t>
  </si>
  <si>
    <t>In Possession but not transferred on our name.</t>
  </si>
  <si>
    <t>1 Kanal 8 Marla 5 Sarsai</t>
  </si>
  <si>
    <t>LTN-000180</t>
  </si>
  <si>
    <t>LTN-000181</t>
  </si>
  <si>
    <t>LTN-000182</t>
  </si>
  <si>
    <t>5 Marla 7 Sarsai</t>
  </si>
  <si>
    <t>LTN-000184</t>
  </si>
  <si>
    <t>14 Marla 2 Sarsai</t>
  </si>
  <si>
    <t>LTN-000183</t>
  </si>
  <si>
    <t>185-isb intiqal</t>
  </si>
  <si>
    <t>LTN-000185</t>
  </si>
  <si>
    <t>7 Marla 6 Sarsai</t>
  </si>
  <si>
    <t>LTN-000187</t>
  </si>
  <si>
    <t>9 Marla 6 Sarsai</t>
  </si>
  <si>
    <t>LTN-000186</t>
  </si>
  <si>
    <t>LTN-000189</t>
  </si>
  <si>
    <t>LTN-000188</t>
  </si>
  <si>
    <t>LTN-000190</t>
  </si>
  <si>
    <t>LTN-000191</t>
  </si>
  <si>
    <t>LTN-000192</t>
  </si>
  <si>
    <t>LTN-000193</t>
  </si>
  <si>
    <t>11 Marla 6.22 Sarsai</t>
  </si>
  <si>
    <t>LTN-000196</t>
  </si>
  <si>
    <t>1 Marla 3.6 Sarsai</t>
  </si>
  <si>
    <t>LTN-000197</t>
  </si>
  <si>
    <t>LTN-000198</t>
  </si>
  <si>
    <t>3 Marla 6.18 Sarsai</t>
  </si>
  <si>
    <t>LTN-000195</t>
  </si>
  <si>
    <t>8 Kanal 15 Marla 1 Sarsai</t>
  </si>
  <si>
    <t>LTN-000194</t>
  </si>
  <si>
    <t>8 Marla 8 Sarsai</t>
  </si>
  <si>
    <t>Excess Payment</t>
  </si>
  <si>
    <t>1 Kanal 9 Marla 4.5 Sarsai</t>
  </si>
  <si>
    <t>LTN-000204</t>
  </si>
  <si>
    <t>LTN-000205</t>
  </si>
  <si>
    <t>LTN-000206</t>
  </si>
  <si>
    <t>7 Marla 5 Sarsai</t>
  </si>
  <si>
    <t>LTN-000207</t>
  </si>
  <si>
    <t>LTN-000209</t>
  </si>
  <si>
    <t>17 Marla 5 Sarsai</t>
  </si>
  <si>
    <t>LTN-000208</t>
  </si>
  <si>
    <t>LTN-000211</t>
  </si>
  <si>
    <t>10 Kanal 4 Marla 5 Sarsai</t>
  </si>
  <si>
    <t>LTN-000210</t>
  </si>
  <si>
    <t>LTN-000213</t>
  </si>
  <si>
    <t>LTN-000214</t>
  </si>
  <si>
    <t>3 Marla 2 Sarsai</t>
  </si>
  <si>
    <t>LTN-000216</t>
  </si>
  <si>
    <t>2 Kanal 13 Marla 2.4 Sarsai</t>
  </si>
  <si>
    <t>LTN-000215</t>
  </si>
  <si>
    <t>16 Marla 1 Sarsai</t>
  </si>
  <si>
    <t>LTN-000217</t>
  </si>
  <si>
    <t>LTN-000218</t>
  </si>
  <si>
    <t>LTN-000219</t>
  </si>
  <si>
    <t>its just a House Structure payment. land already in possession</t>
  </si>
  <si>
    <t>LTN-000220</t>
  </si>
  <si>
    <t>14 Kanal 2 Marla</t>
  </si>
  <si>
    <t>LTN-000221</t>
  </si>
  <si>
    <t>1 Kanal 1 Sarsai</t>
  </si>
  <si>
    <t>LTN-000222</t>
  </si>
  <si>
    <t>LTN-000223</t>
  </si>
  <si>
    <t>1 Kanal 5 Sarsai</t>
  </si>
  <si>
    <t>LTN-000225</t>
  </si>
  <si>
    <t>2 Kanal 13 Marla 7 Sarsai</t>
  </si>
  <si>
    <t>LTN-000224</t>
  </si>
  <si>
    <t>LTN-000226</t>
  </si>
  <si>
    <t>LTN-000227</t>
  </si>
  <si>
    <t>LTN-000228</t>
  </si>
  <si>
    <t>LTN-000230</t>
  </si>
  <si>
    <t>LTN-000229</t>
  </si>
  <si>
    <t>LTN-000717</t>
  </si>
  <si>
    <t>LTN-000231</t>
  </si>
  <si>
    <t>LTN-000232</t>
  </si>
  <si>
    <t>LTN-000233</t>
  </si>
  <si>
    <t>Graveyard land</t>
  </si>
  <si>
    <t>LTN-000234</t>
  </si>
  <si>
    <t>LTN-000235</t>
  </si>
  <si>
    <t>LTN-000236</t>
  </si>
  <si>
    <t>30 Kanal</t>
  </si>
  <si>
    <t>LTN-000237</t>
  </si>
  <si>
    <t>LTN-000238</t>
  </si>
  <si>
    <t>LTN-000239</t>
  </si>
  <si>
    <t>LTN-000240</t>
  </si>
  <si>
    <t>LTN-000242</t>
  </si>
  <si>
    <t>LTN-000241</t>
  </si>
  <si>
    <t>2 Marla 4.5 Sarsai</t>
  </si>
  <si>
    <t>LTN-000243</t>
  </si>
  <si>
    <t>5 Kanal 2 Marla</t>
  </si>
  <si>
    <t>LTN-000244</t>
  </si>
  <si>
    <t>15 Marla 8.27 Sarsai</t>
  </si>
  <si>
    <t>8 Marla 5 Sarsai</t>
  </si>
  <si>
    <t>LTN-000245</t>
  </si>
  <si>
    <t>LTN-000246</t>
  </si>
  <si>
    <t>9 Marla 5.0294 Sarsai</t>
  </si>
  <si>
    <t>8 Kanal 16 Marla</t>
  </si>
  <si>
    <t>LTN-000250</t>
  </si>
  <si>
    <t>LTN-000251</t>
  </si>
  <si>
    <t>LTN-000252</t>
  </si>
  <si>
    <t>33 Kanal 9 Marla 1 Sarsai</t>
  </si>
  <si>
    <t>BPV-376</t>
  </si>
  <si>
    <t>12 Kanal 16 Marla 5.2 Sarsai</t>
  </si>
  <si>
    <t>13 Kanal 1 Marla 8 Sarsai</t>
  </si>
  <si>
    <t>5 Marla 8 Sarsai</t>
  </si>
  <si>
    <t>7 Kanal 4 Marla 3 Sarsai</t>
  </si>
  <si>
    <t>LTN-000256</t>
  </si>
  <si>
    <t>LTN-000258</t>
  </si>
  <si>
    <t>LTN-000257</t>
  </si>
  <si>
    <t>3 Marla 8 Sarsai</t>
  </si>
  <si>
    <t>LTN-000255</t>
  </si>
  <si>
    <t>6 Marla 2 Sarsai</t>
  </si>
  <si>
    <t>LTN-000254</t>
  </si>
  <si>
    <t>7 Kanal 8 Marla</t>
  </si>
  <si>
    <t>LTN-000253</t>
  </si>
  <si>
    <t>LTN-000260</t>
  </si>
  <si>
    <t>1 Kanal 6 Marla 4 Sarsai</t>
  </si>
  <si>
    <t>LTN-000259</t>
  </si>
  <si>
    <t>LTN-000421</t>
  </si>
  <si>
    <t>1 Kanal 5 Marla 2.347 Sarsai</t>
  </si>
  <si>
    <t>LTN-000422</t>
  </si>
  <si>
    <t>LTN-000262</t>
  </si>
  <si>
    <t>3 Kanal 14 Marla 4.36755 Sarsai</t>
  </si>
  <si>
    <t>LTN-000263</t>
  </si>
  <si>
    <t>LTN-000264</t>
  </si>
  <si>
    <t>LTN-000265</t>
  </si>
  <si>
    <t>LTN-000267</t>
  </si>
  <si>
    <t>BPV-1375</t>
  </si>
  <si>
    <t>LTN-000268</t>
  </si>
  <si>
    <t>LTN-000269</t>
  </si>
  <si>
    <t>LTN-000270</t>
  </si>
  <si>
    <t>LTN-000271</t>
  </si>
  <si>
    <t>LTN-000273</t>
  </si>
  <si>
    <t>LTN-000274</t>
  </si>
  <si>
    <t>LTN-000275</t>
  </si>
  <si>
    <t>1 Kanal 9 Marla 2 Sarsai</t>
  </si>
  <si>
    <t>LTN-000276</t>
  </si>
  <si>
    <t>2 Kanal 10 Marla 7 Sarsai</t>
  </si>
  <si>
    <t>LTN-000277</t>
  </si>
  <si>
    <t>LTN-000279</t>
  </si>
  <si>
    <t>LTN-000278</t>
  </si>
  <si>
    <t>LTN-000280</t>
  </si>
  <si>
    <t>LTN-000281</t>
  </si>
  <si>
    <t>18 Marla 1.2573 Sarsai</t>
  </si>
  <si>
    <t>LTN-000282</t>
  </si>
  <si>
    <t>LTN-000283</t>
  </si>
  <si>
    <t>2 Kanal 15 Marla 7 Sarsai</t>
  </si>
  <si>
    <t>LTN-000285</t>
  </si>
  <si>
    <t>LTN-000284</t>
  </si>
  <si>
    <t>8 Marla 4 Sarsai</t>
  </si>
  <si>
    <t>LTN-000288</t>
  </si>
  <si>
    <t>2 Kanal 17 Marla</t>
  </si>
  <si>
    <t>LTN-000287</t>
  </si>
  <si>
    <t>LTN-000286</t>
  </si>
  <si>
    <t>LTN-000289</t>
  </si>
  <si>
    <t>LTN-000290</t>
  </si>
  <si>
    <t>8 Sarsai</t>
  </si>
  <si>
    <t>LTN-000291</t>
  </si>
  <si>
    <t>LTN-000292</t>
  </si>
  <si>
    <t>LTN-000293</t>
  </si>
  <si>
    <t>4 Kanal 9 Marla 8 Sarsai</t>
  </si>
  <si>
    <t>LTN-000093</t>
  </si>
  <si>
    <t>LTN-000094</t>
  </si>
  <si>
    <t>LTN-000095</t>
  </si>
  <si>
    <t>LTN-000096</t>
  </si>
  <si>
    <t>LTN-000097</t>
  </si>
  <si>
    <t>4 Kanal 4 Marla</t>
  </si>
  <si>
    <t>LTN-000098</t>
  </si>
  <si>
    <t>4 Kanal 8 Marla</t>
  </si>
  <si>
    <t>LTN-000099</t>
  </si>
  <si>
    <t>LTN-000100</t>
  </si>
  <si>
    <t>2 Kanal 7 Marla</t>
  </si>
  <si>
    <t>LTN-000101</t>
  </si>
  <si>
    <t>LTN-000102</t>
  </si>
  <si>
    <t>LTN-000734</t>
  </si>
  <si>
    <t>LTN-000103</t>
  </si>
  <si>
    <t>LTN-000104</t>
  </si>
  <si>
    <t>LTN-000105</t>
  </si>
  <si>
    <t>LTN-000106</t>
  </si>
  <si>
    <t>LTN-000107</t>
  </si>
  <si>
    <t>LTN-000108</t>
  </si>
  <si>
    <t>10 Marla 8 Sarsai</t>
  </si>
  <si>
    <t>LTN-000109</t>
  </si>
  <si>
    <t>LTN-000110</t>
  </si>
  <si>
    <t>LTN-000111</t>
  </si>
  <si>
    <t>LTN-000112</t>
  </si>
  <si>
    <t>LTN-000113</t>
  </si>
  <si>
    <t>LTN-000114</t>
  </si>
  <si>
    <t>BPV-620</t>
  </si>
  <si>
    <t>LTN-000117</t>
  </si>
  <si>
    <t>LTN-000116</t>
  </si>
  <si>
    <t>LTN-000118</t>
  </si>
  <si>
    <t>LTN-000119</t>
  </si>
  <si>
    <t>LTN-000120</t>
  </si>
  <si>
    <t>LTN-000121</t>
  </si>
  <si>
    <t>370 intiqal not on our name, qaiser sb promised to get it transfer soon</t>
  </si>
  <si>
    <t>12 Kanal 1 Marla</t>
  </si>
  <si>
    <t>LTN-000122</t>
  </si>
  <si>
    <t>LTN-000123</t>
  </si>
  <si>
    <t>3 Kanal 10 Marla 3 Sarsai</t>
  </si>
  <si>
    <t>LTN-000124</t>
  </si>
  <si>
    <t>LTN-000125</t>
  </si>
  <si>
    <t>LTN-000126</t>
  </si>
  <si>
    <t>LTN-000127</t>
  </si>
  <si>
    <t>3 Marla 6.75 Sarsai</t>
  </si>
  <si>
    <t>LTN-000128</t>
  </si>
  <si>
    <t>1 Marla 5 Sarsai</t>
  </si>
  <si>
    <t>LTN-000130</t>
  </si>
  <si>
    <t>LTN-000129</t>
  </si>
  <si>
    <t>LTN-000131</t>
  </si>
  <si>
    <t>LTN-000132</t>
  </si>
  <si>
    <t>LTN-000133</t>
  </si>
  <si>
    <t>LTN-000134</t>
  </si>
  <si>
    <t>LTN-000135</t>
  </si>
  <si>
    <t>2 Kanal 3 Marla</t>
  </si>
  <si>
    <t>LTN-000726</t>
  </si>
  <si>
    <t>Ropa</t>
  </si>
  <si>
    <t>3 Kanal 18 Marla</t>
  </si>
  <si>
    <t>BPV-619</t>
  </si>
  <si>
    <t>12 Marla 1.5 Sarsai</t>
  </si>
  <si>
    <t>4 Kanal 2 Marla</t>
  </si>
  <si>
    <t>LTN-000142</t>
  </si>
  <si>
    <t>14 Marla 4 Sarsai</t>
  </si>
  <si>
    <t>LTN-000138</t>
  </si>
  <si>
    <t>LTN-000140</t>
  </si>
  <si>
    <t>LTN-000145</t>
  </si>
  <si>
    <t>LTN-000143</t>
  </si>
  <si>
    <t>LTN-000144</t>
  </si>
  <si>
    <t>LTN-000146</t>
  </si>
  <si>
    <t>LTN-000147</t>
  </si>
  <si>
    <t>LTN-000148</t>
  </si>
  <si>
    <t>LTN-000149</t>
  </si>
  <si>
    <t>LTN-000055</t>
  </si>
  <si>
    <t>3 Kanal 4 Marla 2 Sarsai</t>
  </si>
  <si>
    <t>LTN-000056</t>
  </si>
  <si>
    <t>LTN-000057</t>
  </si>
  <si>
    <t>LTN-000735</t>
  </si>
  <si>
    <t>LTN-000058</t>
  </si>
  <si>
    <t>LTN-000737</t>
  </si>
  <si>
    <t>LTN-000736</t>
  </si>
  <si>
    <t>LTN-000061</t>
  </si>
  <si>
    <t>20 Kanal 7 Marla</t>
  </si>
  <si>
    <t>LTN-000060</t>
  </si>
  <si>
    <t>16 Marla 3 Sarsai</t>
  </si>
  <si>
    <t>LTN-000059</t>
  </si>
  <si>
    <t>1 Kanal 5 Marla 3 Sarsai</t>
  </si>
  <si>
    <t>2 Marla 5.1 Sarsai</t>
  </si>
  <si>
    <t>LTN-000718</t>
  </si>
  <si>
    <t>LTN-000062</t>
  </si>
  <si>
    <t>LTN-000738</t>
  </si>
  <si>
    <t>LTN-000719</t>
  </si>
  <si>
    <t>LTN-000739</t>
  </si>
  <si>
    <t>17 Marla 6 Sarsai</t>
  </si>
  <si>
    <t>LTN-000064</t>
  </si>
  <si>
    <t>10 Kanal 16 Marla 2.8455 Sarsai</t>
  </si>
  <si>
    <t>LTN-000063</t>
  </si>
  <si>
    <t>LTN-000447</t>
  </si>
  <si>
    <t>LTN-000444</t>
  </si>
  <si>
    <t>5 Kanal 16 Marla 4.5 Sarsai</t>
  </si>
  <si>
    <t>LTN-000449</t>
  </si>
  <si>
    <t>13 Kanal</t>
  </si>
  <si>
    <t>LTN-000446</t>
  </si>
  <si>
    <t>LTN-000445</t>
  </si>
  <si>
    <t>LTN-000538</t>
  </si>
  <si>
    <t>LTN-000071</t>
  </si>
  <si>
    <t>LTN-000072</t>
  </si>
  <si>
    <t>LTN-000073</t>
  </si>
  <si>
    <t>LTN-000074</t>
  </si>
  <si>
    <t>3 Kanal 1 Marla 6 Sarsai</t>
  </si>
  <si>
    <t>LTN-000075</t>
  </si>
  <si>
    <t>LTN-000740</t>
  </si>
  <si>
    <t>LTN-000741</t>
  </si>
  <si>
    <t>LTN-000742</t>
  </si>
  <si>
    <t>2 Marla 5 Sarsai</t>
  </si>
  <si>
    <t>LTN-000076</t>
  </si>
  <si>
    <t>4 Kanal 11 Marla 8.769 Sarsai</t>
  </si>
  <si>
    <t>LTN-000077</t>
  </si>
  <si>
    <t>LTN-000078</t>
  </si>
  <si>
    <t>15 Marla 5.98 Sarsai</t>
  </si>
  <si>
    <t>LTN-000082</t>
  </si>
  <si>
    <t>LTN-000081</t>
  </si>
  <si>
    <t>7 Kanal 12 Marla 3.8 Sarsai</t>
  </si>
  <si>
    <t>LTN-000080</t>
  </si>
  <si>
    <t>LTN-000079</t>
  </si>
  <si>
    <t>3 Marla 1.29 Sarsai</t>
  </si>
  <si>
    <t>LTN-000891</t>
  </si>
  <si>
    <t>12 Marla 1.73 Sarsai</t>
  </si>
  <si>
    <t>LTN-000892</t>
  </si>
  <si>
    <t>LTN-000083</t>
  </si>
  <si>
    <t>5 Marla 2 Sarsai</t>
  </si>
  <si>
    <t>LTN-000085</t>
  </si>
  <si>
    <t>LTN-000086</t>
  </si>
  <si>
    <t>LTN-000743</t>
  </si>
  <si>
    <t>LTN-000744</t>
  </si>
  <si>
    <t>LTN-000745</t>
  </si>
  <si>
    <t>LTN-000746</t>
  </si>
  <si>
    <t>LTN-000087</t>
  </si>
  <si>
    <t>LTN-000088</t>
  </si>
  <si>
    <t>LTN-000089</t>
  </si>
  <si>
    <t>3 Kanal 14 Marla 1 Sarsai</t>
  </si>
  <si>
    <t>LTN-000090</t>
  </si>
  <si>
    <t>LTN-000091</t>
  </si>
  <si>
    <t>LTN-000092</t>
  </si>
  <si>
    <t>10 Kanal 10 Marla</t>
  </si>
  <si>
    <t>LTN-000294</t>
  </si>
  <si>
    <t>LTN-000001</t>
  </si>
  <si>
    <t>LTN-000004</t>
  </si>
  <si>
    <t>LTN-000003</t>
  </si>
  <si>
    <t>LTN-000002</t>
  </si>
  <si>
    <t>LTN-000005</t>
  </si>
  <si>
    <t>1 Kanal 16 Marla 4.5 Sarsai</t>
  </si>
  <si>
    <t>LTN-000295</t>
  </si>
  <si>
    <t>LTN-000747</t>
  </si>
  <si>
    <t>LTN-000863</t>
  </si>
  <si>
    <t>BPV-813</t>
  </si>
  <si>
    <t>LTN-000862</t>
  </si>
  <si>
    <t>LTN-000748</t>
  </si>
  <si>
    <t>10 Kanal 14 Marla</t>
  </si>
  <si>
    <t>LTN-000749</t>
  </si>
  <si>
    <t>LTN-000886</t>
  </si>
  <si>
    <t>LTN-000890</t>
  </si>
  <si>
    <t>1 Kanal 18 Marla</t>
  </si>
  <si>
    <t>BPV# 917</t>
  </si>
  <si>
    <t>10 Kanal 4 Marla</t>
  </si>
  <si>
    <t>LTN-000006</t>
  </si>
  <si>
    <t>9 Kanal 11 Marla</t>
  </si>
  <si>
    <t>BPV-792</t>
  </si>
  <si>
    <t>1 Kanal 11 Marla</t>
  </si>
  <si>
    <t>LTN-000420</t>
  </si>
  <si>
    <t>LTN-000007</t>
  </si>
  <si>
    <t>7 Marla 4 Sarsai</t>
  </si>
  <si>
    <t>LTN-000296</t>
  </si>
  <si>
    <t>Can't Transfer (treat as adv to Qaiser)</t>
  </si>
  <si>
    <t>LTN-000008</t>
  </si>
  <si>
    <t>LTN-000009</t>
  </si>
  <si>
    <t>LTN-000010</t>
  </si>
  <si>
    <t>19 Kanal 5 Marla 6 Sarsai</t>
  </si>
  <si>
    <t>LTN-000011</t>
  </si>
  <si>
    <t>LTN-000013</t>
  </si>
  <si>
    <t>6 Kanal 19 Marla 6 Sarsai</t>
  </si>
  <si>
    <t>LTN-000012</t>
  </si>
  <si>
    <t>1924/1925/1926</t>
  </si>
  <si>
    <t>LTN-000751</t>
  </si>
  <si>
    <t>8 Kanal 5 Marla 5 Sarsai</t>
  </si>
  <si>
    <t>LTN-000750</t>
  </si>
  <si>
    <t>5481/5482</t>
  </si>
  <si>
    <t>LTN-000752</t>
  </si>
  <si>
    <t>LTN-000017</t>
  </si>
  <si>
    <t>7 Marla 2 Sarsai</t>
  </si>
  <si>
    <t>LTN-000018</t>
  </si>
  <si>
    <t>3102/3103</t>
  </si>
  <si>
    <t>4 Marla 3.78 Sarsai</t>
  </si>
  <si>
    <t>BPV-617</t>
  </si>
  <si>
    <t>BPV-618</t>
  </si>
  <si>
    <t>LTN-000021</t>
  </si>
  <si>
    <t>LTN-000019</t>
  </si>
  <si>
    <t>LTN-000020</t>
  </si>
  <si>
    <t>LTN-000721</t>
  </si>
  <si>
    <t>10 Marla 2 Sarsai</t>
  </si>
  <si>
    <t>BPV-400</t>
  </si>
  <si>
    <t>LTN-000435</t>
  </si>
  <si>
    <t>1 Kanal 11 Marla 4.5 Sarsai</t>
  </si>
  <si>
    <t>LTN-000027</t>
  </si>
  <si>
    <t>1 Kanal 13 Marla 4.5 Sarsai</t>
  </si>
  <si>
    <t>LTN-000025</t>
  </si>
  <si>
    <t>LTN-000026</t>
  </si>
  <si>
    <t>LTN-000024</t>
  </si>
  <si>
    <t>1 Kanal 6 Sarsai</t>
  </si>
  <si>
    <t>8 Marla 7 Sarsai</t>
  </si>
  <si>
    <t>LTN-000297</t>
  </si>
  <si>
    <t>BPV-661</t>
  </si>
  <si>
    <t>4 Kanal 5 Marla 2 Sarsai</t>
  </si>
  <si>
    <t>LTN-000299</t>
  </si>
  <si>
    <t>1 Kanal 17 Marla 5 Sarsai</t>
  </si>
  <si>
    <t>LTN-000030</t>
  </si>
  <si>
    <t>LTN-000031</t>
  </si>
  <si>
    <t>LTN-000033</t>
  </si>
  <si>
    <t>LTN-000029</t>
  </si>
  <si>
    <t>LTN-000032</t>
  </si>
  <si>
    <t>LTN-000028</t>
  </si>
  <si>
    <t>LTN-000034</t>
  </si>
  <si>
    <t>LTN-000036</t>
  </si>
  <si>
    <t>LTN-000035</t>
  </si>
  <si>
    <t>LTN-000037</t>
  </si>
  <si>
    <t>23 Kanal 7 Marla 5 Sarsai</t>
  </si>
  <si>
    <t>LTN-000038</t>
  </si>
  <si>
    <t>501/509</t>
  </si>
  <si>
    <t>LTN-000200</t>
  </si>
  <si>
    <t>LTN-000201</t>
  </si>
  <si>
    <t>BPV-200</t>
  </si>
  <si>
    <t>LTN-000039</t>
  </si>
  <si>
    <t>23 Kanal 18 Marla 7 Sarsai</t>
  </si>
  <si>
    <t>BPV-867</t>
  </si>
  <si>
    <t>7 Kanal 7 Sarsai</t>
  </si>
  <si>
    <t>LTN-000199</t>
  </si>
  <si>
    <t>23 Kanal 1 Marla 6 Sarsai</t>
  </si>
  <si>
    <t>LTN-000202</t>
  </si>
  <si>
    <t>19 Kanal 1 Marla</t>
  </si>
  <si>
    <t>BPV-481</t>
  </si>
  <si>
    <t>5 Marla 1 Sarsai</t>
  </si>
  <si>
    <t>BPV-429</t>
  </si>
  <si>
    <t>1 Marla 8 Sarsai</t>
  </si>
  <si>
    <t>BPV-825</t>
  </si>
  <si>
    <t>19 Marla 4.7143 Sarsai</t>
  </si>
  <si>
    <t>LTN-000041</t>
  </si>
  <si>
    <t>LTN-000042</t>
  </si>
  <si>
    <t>7 Marla 8 Sarsai</t>
  </si>
  <si>
    <t>LTN-000044</t>
  </si>
  <si>
    <t>LTN-000045</t>
  </si>
  <si>
    <t>LTN-000043</t>
  </si>
  <si>
    <t>LTN-000046</t>
  </si>
  <si>
    <t>LTN-000722</t>
  </si>
  <si>
    <t>LTN-000047</t>
  </si>
  <si>
    <t>5 Kanal 10 Marla 5 Sarsai</t>
  </si>
  <si>
    <t>LTN-000727</t>
  </si>
  <si>
    <t>LTN-000050</t>
  </si>
  <si>
    <t>LTN-000048</t>
  </si>
  <si>
    <t>3 Marla 4.5 Sarsai</t>
  </si>
  <si>
    <t>LTN-000053</t>
  </si>
  <si>
    <t>LTN-000051</t>
  </si>
  <si>
    <t>LTN-000052</t>
  </si>
  <si>
    <t>1 Kanal 10 Marla 2.7 Sarsai</t>
  </si>
  <si>
    <t>BPV-446</t>
  </si>
  <si>
    <t>3 Marla 9.28 Sarsai</t>
  </si>
  <si>
    <t>LTN-000301</t>
  </si>
  <si>
    <t>LTN-000054</t>
  </si>
  <si>
    <t>LTN-000753</t>
  </si>
  <si>
    <t>BPV-562</t>
  </si>
  <si>
    <t>LTN-000729</t>
  </si>
  <si>
    <t>LTN-000728</t>
  </si>
  <si>
    <t>LTN-000730</t>
  </si>
  <si>
    <t>2 Kanal 19 Marla 6.7831 Sarsai</t>
  </si>
  <si>
    <t>LTN-000731</t>
  </si>
  <si>
    <t>1 Marla 2.25 Sarsai</t>
  </si>
  <si>
    <t>LTN-000457</t>
  </si>
  <si>
    <t>1 Kanal 7 Marla 1.42149 Sarsai</t>
  </si>
  <si>
    <t>LTN-000458</t>
  </si>
  <si>
    <t>3254/3255/3256/3257</t>
  </si>
  <si>
    <t>1 Marla 3.99 Sarsai</t>
  </si>
  <si>
    <t>LTN-000525</t>
  </si>
  <si>
    <t>LTN-000456</t>
  </si>
  <si>
    <t>5 Kanal 9 Marla 1.29 Sarsai</t>
  </si>
  <si>
    <t>LTN-000889</t>
  </si>
  <si>
    <t>BPV-247</t>
  </si>
  <si>
    <t>14 Marla 1 Sarsai</t>
  </si>
  <si>
    <t>BPV-03</t>
  </si>
  <si>
    <t>LTN-000732</t>
  </si>
  <si>
    <t>18 Marla 7.0183 Sarsai</t>
  </si>
  <si>
    <t>LTN-000723</t>
  </si>
  <si>
    <t>16 Marla 2.4123 Sarsai</t>
  </si>
  <si>
    <t>BPV-662</t>
  </si>
  <si>
    <t>18 Marla 4.6654 Sarsai</t>
  </si>
  <si>
    <t>LTN-000895</t>
  </si>
  <si>
    <t>LTN-000894</t>
  </si>
  <si>
    <t>BPV-201</t>
  </si>
  <si>
    <t>LTN-000498</t>
  </si>
  <si>
    <t>LTN-000896</t>
  </si>
  <si>
    <t>LTN-000897</t>
  </si>
  <si>
    <t>BPV-196</t>
  </si>
  <si>
    <t>LTN-000899</t>
  </si>
  <si>
    <t>BPV-02</t>
  </si>
  <si>
    <t>LTN-000901</t>
  </si>
  <si>
    <t>519/520</t>
  </si>
  <si>
    <t>BPV-04</t>
  </si>
  <si>
    <t>23 Kanal 14 Marla</t>
  </si>
  <si>
    <t>BPV-173</t>
  </si>
  <si>
    <t>BPV-404</t>
  </si>
  <si>
    <t>8 Kanal 12 Marla</t>
  </si>
  <si>
    <t>BPV-402</t>
  </si>
  <si>
    <t>6 Kanal 6 Sarsai</t>
  </si>
  <si>
    <t>BPV-403</t>
  </si>
  <si>
    <t>9 Marla 4.5 Sarsai</t>
  </si>
  <si>
    <t>BPV-89</t>
  </si>
  <si>
    <t>BPV-208</t>
  </si>
  <si>
    <t>BPV-215</t>
  </si>
  <si>
    <t>BPV-392</t>
  </si>
  <si>
    <t>BPV-365</t>
  </si>
  <si>
    <t>7 Kanal 4 Marla 1.29 Sarsai</t>
  </si>
  <si>
    <t>13 Marla 5.32 Sarsai</t>
  </si>
  <si>
    <t>BPV-480</t>
  </si>
  <si>
    <t>3 Marla 1 Sarsai</t>
  </si>
  <si>
    <t>19 Marla 1.88 Sarsai</t>
  </si>
  <si>
    <t>2 Marla 5.98 Sarsai</t>
  </si>
  <si>
    <t>6 Kanal 6 Marla 4 Sarsai</t>
  </si>
  <si>
    <t>BPV-482</t>
  </si>
  <si>
    <t>1 Kanal 16 Marla 4.93 Sarsai</t>
  </si>
  <si>
    <t>BPV-477</t>
  </si>
  <si>
    <t>27 Kanal 1 Marla</t>
  </si>
  <si>
    <t>BPV-520</t>
  </si>
  <si>
    <t>BPV-659</t>
  </si>
  <si>
    <t>BPV-660</t>
  </si>
  <si>
    <t>7 Marla 9 Sarsai</t>
  </si>
  <si>
    <t>BPV-663</t>
  </si>
  <si>
    <t>1 Kanal 12 Marla</t>
  </si>
  <si>
    <t>BPV-806</t>
  </si>
  <si>
    <t>BPV-664</t>
  </si>
  <si>
    <t>5 Kanal 4.5 Sarsai</t>
  </si>
  <si>
    <t>BPV-665</t>
  </si>
  <si>
    <t>39 Kanal 5 Marla 8 Sarsai</t>
  </si>
  <si>
    <t>BPV-658</t>
  </si>
  <si>
    <t>17 Marla 5.98 Sarsai</t>
  </si>
  <si>
    <t>4 Kanal 7 Sarsai</t>
  </si>
  <si>
    <t>1 Kanal 15 Marla 2.98 Sarsai</t>
  </si>
  <si>
    <t>BPV-1232</t>
  </si>
  <si>
    <t>BPV-1237</t>
  </si>
  <si>
    <t>BPV-807</t>
  </si>
  <si>
    <t>Narhala</t>
  </si>
  <si>
    <t>BPV-1091</t>
  </si>
  <si>
    <t>9 Marla 4.3 Sarsai</t>
  </si>
  <si>
    <t>BPV-940</t>
  </si>
  <si>
    <t>BPV-848</t>
  </si>
  <si>
    <t>14 Marla 3 Sarsai</t>
  </si>
  <si>
    <t>BPV-1376</t>
  </si>
  <si>
    <t>3 Marla 7 Sarsai</t>
  </si>
  <si>
    <t>BPV-1090</t>
  </si>
  <si>
    <t>3 Kanal 5 Marla 8 Sarsai</t>
  </si>
  <si>
    <t>BPV-874</t>
  </si>
  <si>
    <t>BPV-1374</t>
  </si>
  <si>
    <t>1 Kanal 13 Marla</t>
  </si>
  <si>
    <t>BPV-176</t>
  </si>
  <si>
    <t>BPV-1092</t>
  </si>
  <si>
    <t>24 Kanal</t>
  </si>
  <si>
    <t>BPV-99</t>
  </si>
  <si>
    <t>19 Kanal 19 Marla 7.41 Sarsai</t>
  </si>
  <si>
    <t>15 Kanal</t>
  </si>
  <si>
    <t>6 Kanal 8 Marla</t>
  </si>
  <si>
    <t>3 Kanal 19 Marla 8.3 Sarsai</t>
  </si>
  <si>
    <t>BPV-818</t>
  </si>
  <si>
    <t>4 Kanal 10 Marla</t>
  </si>
  <si>
    <t>4 Kanal 15 Marla</t>
  </si>
  <si>
    <t>BPV-129</t>
  </si>
  <si>
    <t>5 Marla 5.29 Sarsai</t>
  </si>
  <si>
    <t>BPV-849</t>
  </si>
  <si>
    <t>BPV-417</t>
  </si>
  <si>
    <t>BPV-1167</t>
  </si>
  <si>
    <t>BPV-103</t>
  </si>
  <si>
    <t>3 Kanal 5 Marla 6.019 Sarsai</t>
  </si>
  <si>
    <t>BPV-177</t>
  </si>
  <si>
    <t>2 Kanal 14 Marla 4.9272 Sarsai</t>
  </si>
  <si>
    <t>8 Kanal 17 Marla 6.6137 Sarsai</t>
  </si>
  <si>
    <t>BPV-1210</t>
  </si>
  <si>
    <t>8 Marla 2.51 Sarsai</t>
  </si>
  <si>
    <t>4486/4487</t>
  </si>
  <si>
    <t>BPV-100</t>
  </si>
  <si>
    <t>16 Kanal 16 Marla</t>
  </si>
  <si>
    <t>BPV-101</t>
  </si>
  <si>
    <t>BPV-102</t>
  </si>
  <si>
    <t>1 Kanal 16 Marla 3 Sarsai</t>
  </si>
  <si>
    <t>BPV-104</t>
  </si>
  <si>
    <t>BPV-130</t>
  </si>
  <si>
    <t>1 Kanal 3 Marla 4 Sarsai</t>
  </si>
  <si>
    <t>BPV-894</t>
  </si>
  <si>
    <t>119/120</t>
  </si>
  <si>
    <t>12 Kanal 7 Marla 3 Sarsai</t>
  </si>
  <si>
    <t>BPV-175</t>
  </si>
  <si>
    <t>BPV-172</t>
  </si>
  <si>
    <t>Pending Attorney issue- Shabbir awan</t>
  </si>
  <si>
    <t>BPV-351</t>
  </si>
  <si>
    <t>2 Marla 7.08 Sarsai</t>
  </si>
  <si>
    <t>BPV-635</t>
  </si>
  <si>
    <t>BPV-555</t>
  </si>
  <si>
    <t>3 Sarsai</t>
  </si>
  <si>
    <t>9 Marla 6.5 Sarsai</t>
  </si>
  <si>
    <t>1 Marla 6.055 Sarsai</t>
  </si>
  <si>
    <t>BPV-630</t>
  </si>
  <si>
    <t>BPV-476</t>
  </si>
  <si>
    <t>1 Kanal 18 Marla 3 Sarsai</t>
  </si>
  <si>
    <t>2 Kanal 12 Marla 5 Sarsai</t>
  </si>
  <si>
    <t>BPV-418</t>
  </si>
  <si>
    <t>BPV-416</t>
  </si>
  <si>
    <t>BPV-475</t>
  </si>
  <si>
    <t>BPV-350</t>
  </si>
  <si>
    <t>2 Kanal 3 Marla 5.7241 Sarsai</t>
  </si>
  <si>
    <t>13 Kanal 17 Marla 5 Sarsai</t>
  </si>
  <si>
    <t>BPV-421</t>
  </si>
  <si>
    <t>114/115</t>
  </si>
  <si>
    <t>BPV-1403</t>
  </si>
  <si>
    <t>1 Kanal 9 Marla 6 Sarsai</t>
  </si>
  <si>
    <t>BPV-631</t>
  </si>
  <si>
    <t>BPV-260</t>
  </si>
  <si>
    <t>BPV-1404</t>
  </si>
  <si>
    <t>BPV-1296</t>
  </si>
  <si>
    <t>BPV-1055</t>
  </si>
  <si>
    <t>BPV-1550</t>
  </si>
  <si>
    <t>BPV-824</t>
  </si>
  <si>
    <t>1 Kanal 10 Marla 2 Sarsai</t>
  </si>
  <si>
    <t>BPV-1145</t>
  </si>
  <si>
    <t>BPV-411</t>
  </si>
  <si>
    <t>BPV-632</t>
  </si>
  <si>
    <t>14 Kanal 16 Marla</t>
  </si>
  <si>
    <t>4 Kanal 11 Marla 3 Sarsai</t>
  </si>
  <si>
    <t>BPV-634</t>
  </si>
  <si>
    <t>BPV-768</t>
  </si>
  <si>
    <t>BPV-1054</t>
  </si>
  <si>
    <t>BPV-820</t>
  </si>
  <si>
    <t>BPV-767</t>
  </si>
  <si>
    <t>BPV-823</t>
  </si>
  <si>
    <t>7 Kanal 5 Marla 2.41712 Sarsai</t>
  </si>
  <si>
    <t>4 Kanal 7 Marla 1 Sarsai</t>
  </si>
  <si>
    <t>BPV-1597</t>
  </si>
  <si>
    <t>BPV-821</t>
  </si>
  <si>
    <t>BPV-822</t>
  </si>
  <si>
    <t>BPV-1369</t>
  </si>
  <si>
    <t>BPV-1370</t>
  </si>
  <si>
    <t>BPV-872</t>
  </si>
  <si>
    <t>BPV-1146</t>
  </si>
  <si>
    <t>10 Kanal 14 Marla 3.97 Sarsai</t>
  </si>
  <si>
    <t>BPV-973</t>
  </si>
  <si>
    <t>7 Kanal 5 Marla</t>
  </si>
  <si>
    <t>18 Marla 1.03 Sarsai</t>
  </si>
  <si>
    <t>BPV- 1849 - JV- 808</t>
  </si>
  <si>
    <t>1 Marla 6 Sarsai</t>
  </si>
  <si>
    <t>BPV- 1892 - JV - 820</t>
  </si>
  <si>
    <t>7 Marla 5.85 Sarsai</t>
  </si>
  <si>
    <t>7 Kanal 3 Marla 6 Sarsai</t>
  </si>
  <si>
    <t>BPV-1645</t>
  </si>
  <si>
    <t>BPV-1195 - JV-551</t>
  </si>
  <si>
    <t>5 Kanal 4 Sarsai</t>
  </si>
  <si>
    <t>BPV-1263</t>
  </si>
  <si>
    <t>16 Kanal 17 Marla 3 Sarsai</t>
  </si>
  <si>
    <t>BPV-1295</t>
  </si>
  <si>
    <t>BPV-1297</t>
  </si>
  <si>
    <t>BPV-1701</t>
  </si>
  <si>
    <t>2 Kanal 8 Marla 4.5 Sarsai</t>
  </si>
  <si>
    <t>BPV-1147</t>
  </si>
  <si>
    <t>BPV-1442</t>
  </si>
  <si>
    <t>3 Kanal 1 Marla</t>
  </si>
  <si>
    <t>4 Kanal 19 Marla 7 Sarsai</t>
  </si>
  <si>
    <t>7 Kanal 14 Marla 5 Sarsai</t>
  </si>
  <si>
    <t>BPV-1446</t>
  </si>
  <si>
    <t>BPV-1549</t>
  </si>
  <si>
    <t>BPV-1552</t>
  </si>
  <si>
    <t>BPV-1716</t>
  </si>
  <si>
    <t>BPV-1480</t>
  </si>
  <si>
    <t>5 Marla 4.037 Sarsai</t>
  </si>
  <si>
    <t>7 Marla 2.85 Sarsai</t>
  </si>
  <si>
    <t>10 Marla 8.96 Sarsai</t>
  </si>
  <si>
    <t>4 Marla 4.5 Sarsai</t>
  </si>
  <si>
    <t>18 Kanal 8 Marla</t>
  </si>
  <si>
    <t>BPV-1607</t>
  </si>
  <si>
    <t>3 Marla 6.28 Sarsai</t>
  </si>
  <si>
    <t>BPV - 115 - JV - 43</t>
  </si>
  <si>
    <t>4 Marla 4.963 Sarsai</t>
  </si>
  <si>
    <t>BPV-1598</t>
  </si>
  <si>
    <t>BPV-1718</t>
  </si>
  <si>
    <t>BPV-1650</t>
  </si>
  <si>
    <t>21 Kanal 6 Marla 6.78 Sarsai</t>
  </si>
  <si>
    <t>BPV-1753</t>
  </si>
  <si>
    <t>Kot Kolian</t>
  </si>
  <si>
    <t>BPV-1751</t>
  </si>
  <si>
    <t>Ghariba</t>
  </si>
  <si>
    <t>41 Kanal 7 Marla</t>
  </si>
  <si>
    <t>BPV-1581</t>
  </si>
  <si>
    <t>17 Marla 5.2 Sarsai</t>
  </si>
  <si>
    <t>BPV-1752</t>
  </si>
  <si>
    <t>11 Kanal 11 Marla</t>
  </si>
  <si>
    <t>5 Kanal 13 Marla 3.72 Sarsai</t>
  </si>
  <si>
    <t>BPV-30</t>
  </si>
  <si>
    <t>47 Kanal 1 Marla</t>
  </si>
  <si>
    <t>8 Kanal 4.5 Sarsai</t>
  </si>
  <si>
    <t>13 Marla 1.92 Sarsai</t>
  </si>
  <si>
    <t>1 Kanal 9 Marla 2.48 Sarsai</t>
  </si>
  <si>
    <t>5 Kanal 4 Marla</t>
  </si>
  <si>
    <t>11 Marla 1 Sarsai</t>
  </si>
  <si>
    <t>15 Marla 1.45 Sarsai</t>
  </si>
  <si>
    <t>BPV-830</t>
  </si>
  <si>
    <t>BPV-873</t>
  </si>
  <si>
    <t>4 Marla 5 Sarsai</t>
  </si>
  <si>
    <t>BPV-877</t>
  </si>
  <si>
    <t>3 Marla 1.38 Sarsai</t>
  </si>
  <si>
    <t>BPV-876</t>
  </si>
  <si>
    <t>2 Marla 1 Sarsai</t>
  </si>
  <si>
    <t>1 Kanal 2 Marla 6 Sarsai</t>
  </si>
  <si>
    <t>BPV-1662</t>
  </si>
  <si>
    <t>1 Kanal 2 Marla 8.97 Sarsai</t>
  </si>
  <si>
    <t>BPV-1843 - JV- 806</t>
  </si>
  <si>
    <t>BPV-1729</t>
  </si>
  <si>
    <t>4951, 5602</t>
  </si>
  <si>
    <t>BPV-122</t>
  </si>
  <si>
    <t>BPV- 1845 - JV - 807</t>
  </si>
  <si>
    <t>2 Kanal 19 Marla</t>
  </si>
  <si>
    <t>7 Marla 3.45 Sarsai</t>
  </si>
  <si>
    <t>BPV-573</t>
  </si>
  <si>
    <t>5 Kanal 17 Marla</t>
  </si>
  <si>
    <t>BPV-52</t>
  </si>
  <si>
    <t>31 Kanal 3 Marla 4.1786 Sarsai</t>
  </si>
  <si>
    <t>Thallian</t>
  </si>
  <si>
    <t>9 Marla 1.90288 Sarsai</t>
  </si>
  <si>
    <t>BPV-218</t>
  </si>
  <si>
    <t>9 Kanal 17 Marla 7.11 Sarsai</t>
  </si>
  <si>
    <t>BPV-590</t>
  </si>
  <si>
    <t>BPV-136</t>
  </si>
  <si>
    <t>15 Marla 4.5 Sarsai</t>
  </si>
  <si>
    <t>2 Kanal 2 Marla 4.5 Sarsai</t>
  </si>
  <si>
    <t>BPV - 114 - JV - 42</t>
  </si>
  <si>
    <t>BPV-1430 - JV-659</t>
  </si>
  <si>
    <t>2 Kanal 16 Marla 3.0343 Sarsai</t>
  </si>
  <si>
    <t>BPV-745</t>
  </si>
  <si>
    <t>1 Kanal 1 Marla 8.74 Sarsai</t>
  </si>
  <si>
    <t>BPV-152</t>
  </si>
  <si>
    <t>18 Marla 6 Sarsai</t>
  </si>
  <si>
    <t>BPV-1190 - JV-546</t>
  </si>
  <si>
    <t>3 Kanal 4.5 Sarsai</t>
  </si>
  <si>
    <t>11 Kanal 4 Marla 1 Sarsai</t>
  </si>
  <si>
    <t>10 Marla 5.98 Sarsai</t>
  </si>
  <si>
    <t>BPV-565</t>
  </si>
  <si>
    <t>1 Kanal 8 Marla</t>
  </si>
  <si>
    <t>BPV-325</t>
  </si>
  <si>
    <t>BPV-819</t>
  </si>
  <si>
    <t>BPV-433</t>
  </si>
  <si>
    <t>BPV-560</t>
  </si>
  <si>
    <t>BPV-878</t>
  </si>
  <si>
    <t>BPV-687</t>
  </si>
  <si>
    <t>BPV-976</t>
  </si>
  <si>
    <t>BPV-646</t>
  </si>
  <si>
    <t>5733/5734</t>
  </si>
  <si>
    <t>BPV-682</t>
  </si>
  <si>
    <t>3 Kanal 8 Marla 4.5 Sarsai</t>
  </si>
  <si>
    <t>BPV-2044</t>
  </si>
  <si>
    <t>BPV-656</t>
  </si>
  <si>
    <t>BPV-666 Taj</t>
  </si>
  <si>
    <t>BPV-655</t>
  </si>
  <si>
    <t>BPV-609</t>
  </si>
  <si>
    <t>142-2023-0000463</t>
  </si>
  <si>
    <t>142-2023-0000459</t>
  </si>
  <si>
    <t>1 Kanal 15 Marla 5 Sarsai</t>
  </si>
  <si>
    <t>3 Kanal 1 Marla 4.5 Sarsai</t>
  </si>
  <si>
    <t>15 Marla 6 Sarsai</t>
  </si>
  <si>
    <t>BPV-611</t>
  </si>
  <si>
    <t>2 Marla 6 Sarsai</t>
  </si>
  <si>
    <t>BPV-879</t>
  </si>
  <si>
    <t>BPV- 747</t>
  </si>
  <si>
    <t>BPV-608</t>
  </si>
  <si>
    <t>BPV-1503</t>
  </si>
  <si>
    <t>5 Kanal 16 Marla 4 Sarsai</t>
  </si>
  <si>
    <t>BPV-1196 - JV-552</t>
  </si>
  <si>
    <t>8 Kanal 7 Marla</t>
  </si>
  <si>
    <t>BPV-1968</t>
  </si>
  <si>
    <t>11 Kanal 11 Marla 2.97 Sarsai</t>
  </si>
  <si>
    <t>11 Kanal 13 Marla 6.022 Sarsai</t>
  </si>
  <si>
    <t>1 Sarsai</t>
  </si>
  <si>
    <t>7 Kanal 19 Marla 2.614 Sarsai</t>
  </si>
  <si>
    <t>8 Kanal 14 Marla 1 Sarsai</t>
  </si>
  <si>
    <t>BPV-455</t>
  </si>
  <si>
    <t>1 Kanal 5 Marla 2.077 Sarsai</t>
  </si>
  <si>
    <t>6 Kanal 13 Marla 6.187 Sarsai</t>
  </si>
  <si>
    <t>BPV-923 - JV-441</t>
  </si>
  <si>
    <t>3 Kanal 8 Marla 6.485 Sarsai</t>
  </si>
  <si>
    <t>BPV-808 - JV-397</t>
  </si>
  <si>
    <t>1 Kanal 5 Marla 0.694 Sarsai</t>
  </si>
  <si>
    <t>BPV-1827 - JV-804</t>
  </si>
  <si>
    <t>4 Kanal 7 Marla 6.51 Sarsai</t>
  </si>
  <si>
    <t>BPV-1820 - JV-801</t>
  </si>
  <si>
    <t>2 Kanal 14 Marla 6.75 Sarsai</t>
  </si>
  <si>
    <t>11 Marla 2.779 Sarsai</t>
  </si>
  <si>
    <t>14 Marla 1.09 Sarsai</t>
  </si>
  <si>
    <t>BPV-1825 - JV-802</t>
  </si>
  <si>
    <t>1 Kanal 5 Marla 0.761 Sarsai</t>
  </si>
  <si>
    <t>BPV-1817 - JV-800</t>
  </si>
  <si>
    <t>2 Kanal 18 Marla 7.87 Sarsai</t>
  </si>
  <si>
    <t>8 Marla 3.8 Sarsai</t>
  </si>
  <si>
    <t>16 Marla 8.041 Sarsai</t>
  </si>
  <si>
    <t>BPV-2075</t>
  </si>
  <si>
    <t>9 Kanal 10 Marla</t>
  </si>
  <si>
    <t>BPV-613</t>
  </si>
  <si>
    <t>3 Kanal 17 Marla 4.5 Sarsai</t>
  </si>
  <si>
    <t>BPV-742 - JV-364</t>
  </si>
  <si>
    <t>11 Kanal 1 Marla</t>
  </si>
  <si>
    <t>2 Kanal 2 Marla 2 Sarsai</t>
  </si>
  <si>
    <t>BPV-344 - JV-188</t>
  </si>
  <si>
    <t>BPV-526 - JV-276</t>
  </si>
  <si>
    <t>3 Kanal 16 Marla 4 Sarsai</t>
  </si>
  <si>
    <t>BPV-529 - JV-277</t>
  </si>
  <si>
    <t>BPV-381</t>
  </si>
  <si>
    <t>2 Kanal 12 Marla</t>
  </si>
  <si>
    <t>BPV-731 - JV-361</t>
  </si>
  <si>
    <t>BPV-1194 - JV-550</t>
  </si>
  <si>
    <t>BPV-1741 - JV-782</t>
  </si>
  <si>
    <t>8 Kanal 13 Marla 8 Sarsai</t>
  </si>
  <si>
    <t>770, 771, 772, 773, 774, 775, 776, 777</t>
  </si>
  <si>
    <t>2 Kanal 19 Marla 1.4 Sarsai</t>
  </si>
  <si>
    <t>8 Kanal 6 Marla 6.0225 Sarsai</t>
  </si>
  <si>
    <t>BPV-1726 - JV-776</t>
  </si>
  <si>
    <t>768, 763</t>
  </si>
  <si>
    <t>7 Kanal 7 Marla</t>
  </si>
  <si>
    <t>6 Kanal 8 Marla 6.98 Sarsai</t>
  </si>
  <si>
    <t>778, 779</t>
  </si>
  <si>
    <t>5 Kanal 19 Marla 1.4 Sarsai</t>
  </si>
  <si>
    <t>3 Kanal 4.2 Sarsai</t>
  </si>
  <si>
    <t>3 Kanal 19 Marla 4.7 Sarsai</t>
  </si>
  <si>
    <t>BPV-798 - JV-798</t>
  </si>
  <si>
    <t>BPV-1439 - JV-665</t>
  </si>
  <si>
    <t>BPV-567 - JV-306</t>
  </si>
  <si>
    <t>Fard provided to Qaiser - He wil check.</t>
  </si>
  <si>
    <t>BPV-576 - JV-306</t>
  </si>
  <si>
    <t>Fard provided to Qaiser - He will check.</t>
  </si>
  <si>
    <t>3 Marla 7.47 Sarsai</t>
  </si>
  <si>
    <t>BPV-1193 - JV-549</t>
  </si>
  <si>
    <t>BPV-1441 - JV-668</t>
  </si>
  <si>
    <t>BPV-797 - JV-395</t>
  </si>
  <si>
    <t>BPV-1440 - JV-666</t>
  </si>
  <si>
    <t>1 Kanal 10 Marla 2.71 Sarsai</t>
  </si>
  <si>
    <t>1 Kanal 5 Marla 4.96 Sarsai</t>
  </si>
  <si>
    <t>BPV - 2574 - JV-1035</t>
  </si>
  <si>
    <t>BPV - 2573 - JV - 1034</t>
  </si>
  <si>
    <t>7 Marla 4.93 Sarsai</t>
  </si>
  <si>
    <t>BPV-2588 - JV-1044</t>
  </si>
  <si>
    <t>BPV - 62 - JV - 24</t>
  </si>
  <si>
    <t>1 Kanal 17 Marla 5.95 Sarsai</t>
  </si>
  <si>
    <t>6106, 6107</t>
  </si>
  <si>
    <t>12 Marla 5.95 Sarsai</t>
  </si>
  <si>
    <t>BPV - 841 - JV - 264</t>
  </si>
  <si>
    <t>12 Marla 3.97 Sarsai</t>
  </si>
  <si>
    <t>BPV-1428 - JV-658</t>
  </si>
  <si>
    <t>1 Kanal 14 Marla 2.978 Sarsai</t>
  </si>
  <si>
    <t>7 Kanal 12 Marla 8.173 Sarsai</t>
  </si>
  <si>
    <t>11 Marla 1.489 Sarsai</t>
  </si>
  <si>
    <t>1 Kanal 14 Marla 3 Sarsai</t>
  </si>
  <si>
    <t>1 Kanal 14 Marla 2.97 Sarsai</t>
  </si>
  <si>
    <t>15 Kanal 18 Marla</t>
  </si>
  <si>
    <t>2 Kanal 2 Marla 1.98 Sarsai</t>
  </si>
  <si>
    <t>BPV- 2278 - JV - 934</t>
  </si>
  <si>
    <t>BPV-1306 - JV-596</t>
  </si>
  <si>
    <t>BPV- 2277 - JV - 933</t>
  </si>
  <si>
    <t>14 Marla 2.1 Sarsai</t>
  </si>
  <si>
    <t>1 Kanal 16 Marla 6 Sarsai</t>
  </si>
  <si>
    <t>BPV - 316 - JV - 107</t>
  </si>
  <si>
    <t>BPV- 2181 - JV - 906 , BPV - 353 - JV - 112</t>
  </si>
  <si>
    <t>BPV - 2494 - JV 1001</t>
  </si>
  <si>
    <t>Rozi Khan- Molana</t>
  </si>
  <si>
    <t>6 Kanal 6 Marla 8.635 Sarsai</t>
  </si>
  <si>
    <t>BPV- 2513 - JV - 1007</t>
  </si>
  <si>
    <t>BPV - 134 - JV - 49, BPV - 653 - JV - 203</t>
  </si>
  <si>
    <t>Registry payment made.</t>
  </si>
  <si>
    <t>Registry payment not made.</t>
  </si>
  <si>
    <t>17 Marla 3 Sarsai</t>
  </si>
  <si>
    <t>BPV - 2750 - JV - 1084</t>
  </si>
  <si>
    <t>14 Marla 2.15 Sarsai</t>
  </si>
  <si>
    <t>2 Kanal 4 Sarsai</t>
  </si>
  <si>
    <t>Sardar Afif</t>
  </si>
  <si>
    <t>751 (this land is in exchange)</t>
  </si>
  <si>
    <t>11 Kanal 16 Marla</t>
  </si>
  <si>
    <t>2 Kanal 17 Marla 1 Sarsai</t>
  </si>
  <si>
    <t>BPV - 137 - JV - 51</t>
  </si>
  <si>
    <t>1 Kanal 2 Marla 8 Sarsai</t>
  </si>
  <si>
    <t>Qaiser</t>
  </si>
  <si>
    <t>BPV - 139 - JV - 53</t>
  </si>
  <si>
    <t>1 Kanal 1.687 Sarsai</t>
  </si>
  <si>
    <t>BPV - 579 - JV - 173</t>
  </si>
  <si>
    <t>2 Kanal 3.3421 Sarsai</t>
  </si>
  <si>
    <t>BPV - 544 - JV - 165</t>
  </si>
  <si>
    <t>8 Kanal 14 Marla 0.5 Sarsai</t>
  </si>
  <si>
    <t>BPV - 1472 - JV - 416</t>
  </si>
  <si>
    <t>BPV - 545 - JV - 166</t>
  </si>
  <si>
    <t>6 Kanal 5 Marla 5.55 Sarsai</t>
  </si>
  <si>
    <t>3 Marla 6.65 Sarsai</t>
  </si>
  <si>
    <t>1 Kanal 16 Marla 2.35 Sarsai</t>
  </si>
  <si>
    <t>2 Kanal 12 Marla 1 Sarsai</t>
  </si>
  <si>
    <t>BPV - 1008 - JV - 302</t>
  </si>
  <si>
    <t>Haris - Registry payment pending</t>
  </si>
  <si>
    <t>1 Kanal 9 Marla 7 Sarsai</t>
  </si>
  <si>
    <t>Haris - Registry Done</t>
  </si>
  <si>
    <t>4 Kanal 7 Marla 8.3 Sarsai</t>
  </si>
  <si>
    <t>BPV - 1007 - JV - 301</t>
  </si>
  <si>
    <t>19 Marla 6.98 Sarsai</t>
  </si>
  <si>
    <t>2 Kanal 16 Marla 6.45 Sarsai</t>
  </si>
  <si>
    <t>7 Kanal 16 Marla 7.97 Sarsai</t>
  </si>
  <si>
    <t>BPV - 2057 - JV - 560</t>
  </si>
  <si>
    <t>(Qazi Riaz ) Qaiser Registry Done</t>
  </si>
  <si>
    <t>BPV - 1125 - JV - 342</t>
  </si>
  <si>
    <t>Sardar Waseem</t>
  </si>
  <si>
    <t>17 Kanal 9 Marla</t>
  </si>
  <si>
    <t>BPV - 1146 - JV - 345</t>
  </si>
  <si>
    <t>1 Kanal 1 Marla 5.99 Sarsai</t>
  </si>
  <si>
    <t>1 Kanal 8 Marla 3 Sarsai</t>
  </si>
  <si>
    <t>13 Marla 6 Sarsai</t>
  </si>
  <si>
    <t>9 Kanal 12 Marla 8 Sarsai</t>
  </si>
  <si>
    <t>8 Kanal 3 Marla 5 Sarsai</t>
  </si>
  <si>
    <t>1 Kanal 4 Sarsai</t>
  </si>
  <si>
    <t>2 Marla 8 Sarsai</t>
  </si>
  <si>
    <t>4 Marla 3.5 Sarsai</t>
  </si>
  <si>
    <t>6 Marla 5 Sarsai</t>
  </si>
  <si>
    <t>3 Kanal 12 Marla 5.3 Sarsai</t>
  </si>
  <si>
    <t>2 Kanal 3 Marla 0.7 Sarsai</t>
  </si>
  <si>
    <t>5 Kanal 3 Marla</t>
  </si>
  <si>
    <t>4 Marla 5.22 Sarsai</t>
  </si>
  <si>
    <t>6.5 Marla</t>
  </si>
  <si>
    <t>7 Sarsai</t>
  </si>
  <si>
    <t>6 Kanal 6 Marla</t>
  </si>
  <si>
    <t>Qasair lily plot deal</t>
  </si>
  <si>
    <t>Qaiser-lily plot- registry done</t>
  </si>
  <si>
    <t>Qaiser-Registry Done</t>
  </si>
  <si>
    <t>Qaiser Registry Done</t>
  </si>
  <si>
    <t>Registry Done</t>
  </si>
  <si>
    <t>8 Kanal 6 Marla 2.98 Sarsai</t>
  </si>
  <si>
    <t>23 Kanal 17 Marla 8 Sarsai</t>
  </si>
  <si>
    <t>8 Marla 0.1654 Sarsai</t>
  </si>
  <si>
    <t>7 Marla 7 Sarsai</t>
  </si>
  <si>
    <t>Seller Name</t>
  </si>
  <si>
    <t>Purchaser Name</t>
  </si>
  <si>
    <t>Registry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</si>
</sst>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4" fontId="1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p/Downloads/Detailed%20Transfer%20Report%20(12).xls" TargetMode="External"/><Relationship Id="rId1" Type="http://schemas.openxmlformats.org/officeDocument/2006/relationships/externalLinkPath" Target="/Users/hp/Downloads/Detailed%20Transfer%20Report%20(1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iled Transfer Report (12)"/>
    </sheetNames>
    <sheetDataSet>
      <sheetData sheetId="0">
        <row r="1">
          <cell r="K1" t="str">
            <v>Intiqal</v>
          </cell>
          <cell r="L1" t="str">
            <v>Registry</v>
          </cell>
          <cell r="M1" t="str">
            <v>Doc (Intiqal)</v>
          </cell>
          <cell r="N1" t="str">
            <v>Doc (Registry)</v>
          </cell>
          <cell r="O1" t="str">
            <v>Kanal</v>
          </cell>
          <cell r="P1" t="str">
            <v>Marla</v>
          </cell>
          <cell r="Q1" t="str">
            <v>Sarsai</v>
          </cell>
          <cell r="R1" t="str">
            <v>Transfer Charges</v>
          </cell>
          <cell r="S1" t="str">
            <v>Commission Charges</v>
          </cell>
          <cell r="T1" t="str">
            <v>Remaining Size</v>
          </cell>
          <cell r="W1" t="str">
            <v>Seller Name</v>
          </cell>
          <cell r="X1" t="str">
            <v>Purchaser Name</v>
          </cell>
          <cell r="Y1" t="str">
            <v>Registry Date</v>
          </cell>
        </row>
        <row r="2">
          <cell r="K2">
            <v>6271</v>
          </cell>
          <cell r="M2" t="str">
            <v>Intiqal</v>
          </cell>
          <cell r="N2" t="str">
            <v>Not Available</v>
          </cell>
          <cell r="O2">
            <v>1</v>
          </cell>
          <cell r="P2">
            <v>7</v>
          </cell>
          <cell r="Q2">
            <v>0</v>
          </cell>
          <cell r="R2">
            <v>0</v>
          </cell>
          <cell r="S2">
            <v>0</v>
          </cell>
          <cell r="T2">
            <v>28</v>
          </cell>
          <cell r="U2">
            <v>6</v>
          </cell>
          <cell r="V2">
            <v>2</v>
          </cell>
          <cell r="X2" t="str">
            <v>Sardar M Sagheer Khan</v>
          </cell>
        </row>
        <row r="3">
          <cell r="K3">
            <v>5352</v>
          </cell>
          <cell r="M3" t="str">
            <v>Intiqal</v>
          </cell>
          <cell r="N3" t="str">
            <v>Not Available</v>
          </cell>
          <cell r="O3">
            <v>8</v>
          </cell>
          <cell r="P3">
            <v>15</v>
          </cell>
          <cell r="Q3">
            <v>4</v>
          </cell>
          <cell r="R3">
            <v>0</v>
          </cell>
          <cell r="S3">
            <v>0</v>
          </cell>
          <cell r="T3">
            <v>-7</v>
          </cell>
          <cell r="U3">
            <v>-8</v>
          </cell>
          <cell r="V3">
            <v>-4</v>
          </cell>
          <cell r="X3" t="str">
            <v>Sardar M Sagheer Khan</v>
          </cell>
        </row>
        <row r="4">
          <cell r="K4">
            <v>5347</v>
          </cell>
          <cell r="M4" t="str">
            <v>Intiqal</v>
          </cell>
          <cell r="N4" t="str">
            <v>Not Available</v>
          </cell>
          <cell r="O4">
            <v>10</v>
          </cell>
          <cell r="P4">
            <v>12</v>
          </cell>
          <cell r="Q4">
            <v>0</v>
          </cell>
          <cell r="R4">
            <v>277050</v>
          </cell>
          <cell r="S4">
            <v>0</v>
          </cell>
          <cell r="T4">
            <v>-2</v>
          </cell>
          <cell r="U4">
            <v>3</v>
          </cell>
          <cell r="V4">
            <v>4</v>
          </cell>
          <cell r="X4" t="str">
            <v>Sardar M Sagheer Khan</v>
          </cell>
        </row>
        <row r="5">
          <cell r="K5">
            <v>5346</v>
          </cell>
          <cell r="M5" t="str">
            <v>Intiqal</v>
          </cell>
          <cell r="N5" t="str">
            <v>Not Available</v>
          </cell>
          <cell r="O5">
            <v>8</v>
          </cell>
          <cell r="P5">
            <v>18</v>
          </cell>
          <cell r="Q5">
            <v>7</v>
          </cell>
          <cell r="R5">
            <v>241862</v>
          </cell>
          <cell r="S5">
            <v>0</v>
          </cell>
          <cell r="T5">
            <v>2</v>
          </cell>
          <cell r="U5">
            <v>-6</v>
          </cell>
          <cell r="V5">
            <v>-7</v>
          </cell>
          <cell r="X5" t="str">
            <v>Sardar M Sagheer Khan</v>
          </cell>
        </row>
        <row r="6">
          <cell r="K6">
            <v>4745</v>
          </cell>
          <cell r="M6" t="str">
            <v>Intiqal</v>
          </cell>
          <cell r="N6" t="str">
            <v>Not Available</v>
          </cell>
          <cell r="O6">
            <v>34</v>
          </cell>
          <cell r="P6">
            <v>7</v>
          </cell>
          <cell r="Q6">
            <v>0</v>
          </cell>
          <cell r="R6">
            <v>204000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X6" t="str">
            <v>Sardar M Sagheer Khan</v>
          </cell>
        </row>
        <row r="7">
          <cell r="K7">
            <v>1166</v>
          </cell>
          <cell r="M7" t="str">
            <v>Intiqal</v>
          </cell>
          <cell r="N7" t="str">
            <v>Not Available</v>
          </cell>
          <cell r="O7">
            <v>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21</v>
          </cell>
          <cell r="U7">
            <v>10</v>
          </cell>
          <cell r="V7">
            <v>4.5</v>
          </cell>
          <cell r="X7" t="str">
            <v>Sardar Tanveer Ilyas</v>
          </cell>
        </row>
        <row r="8">
          <cell r="K8">
            <v>1146</v>
          </cell>
          <cell r="M8" t="str">
            <v>Intiqal</v>
          </cell>
          <cell r="N8" t="str">
            <v>Not Available</v>
          </cell>
          <cell r="O8">
            <v>1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X8" t="str">
            <v>Sardar M Sagheer Khan</v>
          </cell>
        </row>
        <row r="9">
          <cell r="K9">
            <v>806</v>
          </cell>
          <cell r="M9" t="str">
            <v>Intiqal</v>
          </cell>
          <cell r="N9" t="str">
            <v>Not Available</v>
          </cell>
          <cell r="O9">
            <v>1</v>
          </cell>
          <cell r="P9">
            <v>2</v>
          </cell>
          <cell r="Q9">
            <v>4.5</v>
          </cell>
          <cell r="R9">
            <v>0</v>
          </cell>
          <cell r="S9">
            <v>0</v>
          </cell>
          <cell r="T9">
            <v>0</v>
          </cell>
          <cell r="U9">
            <v>-2</v>
          </cell>
          <cell r="V9">
            <v>-4.5</v>
          </cell>
          <cell r="X9" t="str">
            <v>Sardar M Sagheer Khan</v>
          </cell>
        </row>
        <row r="10">
          <cell r="K10">
            <v>805</v>
          </cell>
          <cell r="M10" t="str">
            <v>Intiqal</v>
          </cell>
          <cell r="N10" t="str">
            <v>Not Available</v>
          </cell>
          <cell r="O10">
            <v>4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-3</v>
          </cell>
          <cell r="U10">
            <v>1</v>
          </cell>
          <cell r="V10">
            <v>4.5</v>
          </cell>
          <cell r="X10" t="str">
            <v>Sardar M Sagheer Khan</v>
          </cell>
        </row>
        <row r="11">
          <cell r="K11">
            <v>802</v>
          </cell>
          <cell r="M11" t="str">
            <v>Intiqal</v>
          </cell>
          <cell r="N11" t="str">
            <v>Not Available</v>
          </cell>
          <cell r="O11">
            <v>15</v>
          </cell>
          <cell r="P11">
            <v>7</v>
          </cell>
          <cell r="Q11">
            <v>0</v>
          </cell>
          <cell r="R11">
            <v>168000</v>
          </cell>
          <cell r="S11">
            <v>0</v>
          </cell>
          <cell r="T11">
            <v>-11</v>
          </cell>
          <cell r="U11">
            <v>-6</v>
          </cell>
          <cell r="V11">
            <v>0</v>
          </cell>
          <cell r="X11" t="str">
            <v>Sardar M Shareef</v>
          </cell>
        </row>
        <row r="12">
          <cell r="K12">
            <v>10444</v>
          </cell>
          <cell r="M12" t="str">
            <v>Intiqal</v>
          </cell>
          <cell r="N12" t="str">
            <v>Not Available</v>
          </cell>
          <cell r="O12">
            <v>2</v>
          </cell>
          <cell r="P12">
            <v>0</v>
          </cell>
          <cell r="Q12">
            <v>0</v>
          </cell>
          <cell r="R12">
            <v>36000</v>
          </cell>
          <cell r="S12">
            <v>0</v>
          </cell>
          <cell r="T12">
            <v>4</v>
          </cell>
          <cell r="U12">
            <v>0</v>
          </cell>
          <cell r="V12">
            <v>0</v>
          </cell>
          <cell r="X12" t="str">
            <v>Sardar M Sagheer Khan</v>
          </cell>
        </row>
        <row r="13">
          <cell r="K13">
            <v>5366</v>
          </cell>
          <cell r="M13" t="str">
            <v>Intiqal</v>
          </cell>
          <cell r="N13" t="str">
            <v>Not Available</v>
          </cell>
          <cell r="O13">
            <v>2</v>
          </cell>
          <cell r="P13">
            <v>0</v>
          </cell>
          <cell r="Q13">
            <v>0</v>
          </cell>
          <cell r="R13">
            <v>41000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X13" t="str">
            <v>Sardar M Sagheer Khan</v>
          </cell>
        </row>
        <row r="14">
          <cell r="K14">
            <v>5361</v>
          </cell>
          <cell r="M14" t="str">
            <v>Intiqal</v>
          </cell>
          <cell r="N14" t="str">
            <v>Not Available</v>
          </cell>
          <cell r="O14">
            <v>2</v>
          </cell>
          <cell r="P14">
            <v>0</v>
          </cell>
          <cell r="Q14">
            <v>0</v>
          </cell>
          <cell r="R14">
            <v>41000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X14" t="str">
            <v>Sardar M Sagheer Khan</v>
          </cell>
        </row>
        <row r="15">
          <cell r="K15">
            <v>5832</v>
          </cell>
          <cell r="M15" t="str">
            <v>Intiqal</v>
          </cell>
          <cell r="N15" t="str">
            <v>Not Available</v>
          </cell>
          <cell r="O15">
            <v>1</v>
          </cell>
          <cell r="P15">
            <v>1</v>
          </cell>
          <cell r="Q15">
            <v>6</v>
          </cell>
          <cell r="R15">
            <v>0</v>
          </cell>
          <cell r="S15">
            <v>0</v>
          </cell>
          <cell r="T15">
            <v>35</v>
          </cell>
          <cell r="U15">
            <v>11</v>
          </cell>
          <cell r="V15">
            <v>2.5</v>
          </cell>
          <cell r="X15" t="str">
            <v>Sardar Rashid Ilyas Khan</v>
          </cell>
        </row>
        <row r="16">
          <cell r="K16">
            <v>5805</v>
          </cell>
          <cell r="M16" t="str">
            <v>Intiqal</v>
          </cell>
          <cell r="N16" t="str">
            <v>Not Available</v>
          </cell>
          <cell r="O16">
            <v>4</v>
          </cell>
          <cell r="P16">
            <v>0</v>
          </cell>
          <cell r="Q16">
            <v>8</v>
          </cell>
          <cell r="R16">
            <v>0</v>
          </cell>
          <cell r="S16">
            <v>0</v>
          </cell>
          <cell r="T16">
            <v>-3</v>
          </cell>
          <cell r="U16">
            <v>1</v>
          </cell>
          <cell r="V16">
            <v>-2</v>
          </cell>
          <cell r="X16" t="str">
            <v>Sardar Rashid Ilyas Khan</v>
          </cell>
        </row>
        <row r="17">
          <cell r="K17">
            <v>5804</v>
          </cell>
          <cell r="M17" t="str">
            <v>Intiqal</v>
          </cell>
          <cell r="N17" t="str">
            <v>Not Available</v>
          </cell>
          <cell r="O17">
            <v>2</v>
          </cell>
          <cell r="P17">
            <v>1</v>
          </cell>
          <cell r="Q17">
            <v>5</v>
          </cell>
          <cell r="R17">
            <v>0</v>
          </cell>
          <cell r="S17">
            <v>0</v>
          </cell>
          <cell r="T17">
            <v>2</v>
          </cell>
          <cell r="U17">
            <v>-1</v>
          </cell>
          <cell r="V17">
            <v>3</v>
          </cell>
          <cell r="X17" t="str">
            <v>Sardar Rashid Ilyas Khan</v>
          </cell>
        </row>
        <row r="18">
          <cell r="K18">
            <v>10390</v>
          </cell>
          <cell r="M18" t="str">
            <v>Intiqal</v>
          </cell>
          <cell r="N18" t="str">
            <v>Not Available</v>
          </cell>
          <cell r="O18">
            <v>2</v>
          </cell>
          <cell r="P18">
            <v>1</v>
          </cell>
          <cell r="Q18">
            <v>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X18" t="str">
            <v>Sardar Rashid Ilyas Khan</v>
          </cell>
        </row>
        <row r="19">
          <cell r="K19">
            <v>7457</v>
          </cell>
          <cell r="M19" t="str">
            <v>Intiqal</v>
          </cell>
          <cell r="N19" t="str">
            <v>Not Available</v>
          </cell>
          <cell r="O19">
            <v>0</v>
          </cell>
          <cell r="P19">
            <v>8</v>
          </cell>
          <cell r="Q19">
            <v>3</v>
          </cell>
          <cell r="R19">
            <v>0</v>
          </cell>
          <cell r="S19">
            <v>0</v>
          </cell>
          <cell r="T19">
            <v>2</v>
          </cell>
          <cell r="U19">
            <v>-7</v>
          </cell>
          <cell r="V19">
            <v>2</v>
          </cell>
          <cell r="X19" t="str">
            <v>Sardar Rashid Ilyas Khan</v>
          </cell>
        </row>
        <row r="20">
          <cell r="K20">
            <v>7048</v>
          </cell>
          <cell r="M20" t="str">
            <v>Intiqal</v>
          </cell>
          <cell r="N20" t="str">
            <v>Not Available</v>
          </cell>
          <cell r="O20">
            <v>6</v>
          </cell>
          <cell r="P20">
            <v>3</v>
          </cell>
          <cell r="Q20">
            <v>1</v>
          </cell>
          <cell r="R20">
            <v>0</v>
          </cell>
          <cell r="S20">
            <v>0</v>
          </cell>
          <cell r="T20">
            <v>-6</v>
          </cell>
          <cell r="U20">
            <v>5</v>
          </cell>
          <cell r="V20">
            <v>2</v>
          </cell>
          <cell r="X20" t="str">
            <v>Sardar Rashid Ilyas Khan</v>
          </cell>
        </row>
        <row r="21">
          <cell r="K21">
            <v>5802</v>
          </cell>
          <cell r="M21" t="str">
            <v>Intiqal</v>
          </cell>
          <cell r="N21" t="str">
            <v>Not Available</v>
          </cell>
          <cell r="O21">
            <v>6</v>
          </cell>
          <cell r="P21">
            <v>12</v>
          </cell>
          <cell r="Q21">
            <v>6</v>
          </cell>
          <cell r="R21">
            <v>0</v>
          </cell>
          <cell r="S21">
            <v>0</v>
          </cell>
          <cell r="T21">
            <v>0</v>
          </cell>
          <cell r="U21">
            <v>-9</v>
          </cell>
          <cell r="V21">
            <v>-5</v>
          </cell>
          <cell r="X21" t="str">
            <v>Sardar Rashid Ilyas Khan</v>
          </cell>
        </row>
        <row r="22">
          <cell r="K22">
            <v>5649</v>
          </cell>
          <cell r="M22" t="str">
            <v>Intiqal</v>
          </cell>
          <cell r="N22" t="str">
            <v>Not Available</v>
          </cell>
          <cell r="O22">
            <v>1</v>
          </cell>
          <cell r="P22">
            <v>10</v>
          </cell>
          <cell r="Q22">
            <v>0</v>
          </cell>
          <cell r="R22">
            <v>0</v>
          </cell>
          <cell r="S22">
            <v>0</v>
          </cell>
          <cell r="T22">
            <v>5</v>
          </cell>
          <cell r="U22">
            <v>2</v>
          </cell>
          <cell r="V22">
            <v>6</v>
          </cell>
          <cell r="X22" t="str">
            <v>Sardar M Sagheer Khan</v>
          </cell>
        </row>
        <row r="23">
          <cell r="K23">
            <v>5504</v>
          </cell>
          <cell r="M23" t="str">
            <v>Intiqal</v>
          </cell>
          <cell r="N23" t="str">
            <v>Not Available</v>
          </cell>
          <cell r="O23">
            <v>5</v>
          </cell>
          <cell r="P23">
            <v>12</v>
          </cell>
          <cell r="Q23">
            <v>6</v>
          </cell>
          <cell r="R23">
            <v>495370</v>
          </cell>
          <cell r="S23">
            <v>0</v>
          </cell>
          <cell r="T23">
            <v>-4</v>
          </cell>
          <cell r="U23">
            <v>-2</v>
          </cell>
          <cell r="V23">
            <v>-6</v>
          </cell>
          <cell r="X23" t="str">
            <v>Sardar M Sagheer Khan</v>
          </cell>
        </row>
        <row r="24">
          <cell r="K24">
            <v>9855</v>
          </cell>
          <cell r="M24" t="str">
            <v>Intiqal</v>
          </cell>
          <cell r="N24" t="str">
            <v>Not Available</v>
          </cell>
          <cell r="O24">
            <v>0</v>
          </cell>
          <cell r="P24">
            <v>5</v>
          </cell>
          <cell r="Q24">
            <v>3.5</v>
          </cell>
          <cell r="R24">
            <v>0</v>
          </cell>
          <cell r="S24">
            <v>0</v>
          </cell>
          <cell r="T24">
            <v>5</v>
          </cell>
          <cell r="U24">
            <v>7</v>
          </cell>
          <cell r="V24">
            <v>2.5</v>
          </cell>
          <cell r="X24" t="str">
            <v>Sardar Tanveer Ilyas</v>
          </cell>
        </row>
        <row r="25">
          <cell r="K25">
            <v>9412</v>
          </cell>
          <cell r="M25" t="str">
            <v>Intiqal</v>
          </cell>
          <cell r="N25" t="str">
            <v>Not Available</v>
          </cell>
          <cell r="O25">
            <v>0</v>
          </cell>
          <cell r="P25">
            <v>15</v>
          </cell>
          <cell r="Q25">
            <v>1</v>
          </cell>
          <cell r="R25">
            <v>59587</v>
          </cell>
          <cell r="S25">
            <v>0</v>
          </cell>
          <cell r="T25">
            <v>0</v>
          </cell>
          <cell r="U25">
            <v>-10</v>
          </cell>
          <cell r="V25">
            <v>2.5</v>
          </cell>
          <cell r="X25" t="str">
            <v>Sardar Tanveer Ilyas</v>
          </cell>
        </row>
        <row r="26">
          <cell r="K26">
            <v>5807</v>
          </cell>
          <cell r="M26" t="str">
            <v>Intiqal</v>
          </cell>
          <cell r="N26" t="str">
            <v>Not Available</v>
          </cell>
          <cell r="O26">
            <v>6</v>
          </cell>
          <cell r="P26">
            <v>0</v>
          </cell>
          <cell r="Q26">
            <v>0</v>
          </cell>
          <cell r="R26">
            <v>50413</v>
          </cell>
          <cell r="S26">
            <v>0</v>
          </cell>
          <cell r="T26">
            <v>-6</v>
          </cell>
          <cell r="U26">
            <v>15</v>
          </cell>
          <cell r="V26">
            <v>1</v>
          </cell>
          <cell r="X26" t="str">
            <v>Sardar Rashid Ilyas Khan</v>
          </cell>
        </row>
        <row r="27">
          <cell r="K27">
            <v>1109</v>
          </cell>
          <cell r="M27" t="str">
            <v>Intiqal</v>
          </cell>
          <cell r="N27" t="str">
            <v>Not Available</v>
          </cell>
          <cell r="O27">
            <v>0</v>
          </cell>
          <cell r="P27">
            <v>19</v>
          </cell>
          <cell r="Q27">
            <v>4.5</v>
          </cell>
          <cell r="R27">
            <v>0</v>
          </cell>
          <cell r="S27">
            <v>0</v>
          </cell>
          <cell r="T27">
            <v>22</v>
          </cell>
          <cell r="U27">
            <v>-2</v>
          </cell>
          <cell r="V27">
            <v>0</v>
          </cell>
          <cell r="X27" t="str">
            <v>Sardar M Sagheer Khan</v>
          </cell>
        </row>
        <row r="28">
          <cell r="K28">
            <v>1092</v>
          </cell>
          <cell r="M28" t="str">
            <v>Intiqal</v>
          </cell>
          <cell r="N28" t="str">
            <v>Not Available</v>
          </cell>
          <cell r="O28">
            <v>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-2</v>
          </cell>
          <cell r="U28">
            <v>19</v>
          </cell>
          <cell r="V28">
            <v>4.5</v>
          </cell>
          <cell r="X28" t="str">
            <v>Sardar M Sagheer Khan</v>
          </cell>
        </row>
        <row r="29">
          <cell r="K29">
            <v>829</v>
          </cell>
          <cell r="M29" t="str">
            <v>Intiqal</v>
          </cell>
          <cell r="N29" t="str">
            <v>Not Available</v>
          </cell>
          <cell r="O29">
            <v>12</v>
          </cell>
          <cell r="P29">
            <v>0</v>
          </cell>
          <cell r="Q29">
            <v>0</v>
          </cell>
          <cell r="R29">
            <v>180000</v>
          </cell>
          <cell r="S29">
            <v>0</v>
          </cell>
          <cell r="T29">
            <v>-10</v>
          </cell>
          <cell r="U29">
            <v>0</v>
          </cell>
          <cell r="V29">
            <v>0</v>
          </cell>
          <cell r="X29" t="str">
            <v>Sardar M Sagheer Khan</v>
          </cell>
        </row>
        <row r="30">
          <cell r="K30">
            <v>827</v>
          </cell>
          <cell r="M30" t="str">
            <v>Intiqal</v>
          </cell>
          <cell r="N30" t="str">
            <v>Not Available</v>
          </cell>
          <cell r="O30">
            <v>5</v>
          </cell>
          <cell r="P30">
            <v>16</v>
          </cell>
          <cell r="Q30">
            <v>0</v>
          </cell>
          <cell r="R30">
            <v>58415</v>
          </cell>
          <cell r="S30">
            <v>0</v>
          </cell>
          <cell r="T30">
            <v>7</v>
          </cell>
          <cell r="U30">
            <v>-16</v>
          </cell>
          <cell r="V30">
            <v>0</v>
          </cell>
          <cell r="X30" t="str">
            <v>Sardar M Sagheer Khan</v>
          </cell>
        </row>
        <row r="31">
          <cell r="K31">
            <v>830</v>
          </cell>
          <cell r="M31" t="str">
            <v>Intiqal</v>
          </cell>
          <cell r="N31" t="str">
            <v>Not Available</v>
          </cell>
          <cell r="O31">
            <v>2</v>
          </cell>
          <cell r="P31">
            <v>2</v>
          </cell>
          <cell r="Q31">
            <v>0</v>
          </cell>
          <cell r="R31">
            <v>28015</v>
          </cell>
          <cell r="S31">
            <v>0</v>
          </cell>
          <cell r="T31">
            <v>3</v>
          </cell>
          <cell r="U31">
            <v>14</v>
          </cell>
          <cell r="V31">
            <v>0</v>
          </cell>
          <cell r="X31" t="str">
            <v>Sardar M Sagheer Khan</v>
          </cell>
        </row>
        <row r="32">
          <cell r="K32">
            <v>5727</v>
          </cell>
          <cell r="M32" t="str">
            <v>Intiqal</v>
          </cell>
          <cell r="N32" t="str">
            <v>Not Available</v>
          </cell>
          <cell r="O32">
            <v>10</v>
          </cell>
          <cell r="P32">
            <v>1</v>
          </cell>
          <cell r="Q32">
            <v>0</v>
          </cell>
          <cell r="R32">
            <v>185000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X32" t="str">
            <v>Sardar Rashid Ilyas Khan</v>
          </cell>
        </row>
        <row r="33">
          <cell r="K33">
            <v>1178</v>
          </cell>
          <cell r="M33" t="str">
            <v>Intiqal</v>
          </cell>
          <cell r="N33" t="str">
            <v>Not Available</v>
          </cell>
          <cell r="O33">
            <v>1</v>
          </cell>
          <cell r="P33">
            <v>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X33" t="str">
            <v>Sardar Tanveer Ilyas</v>
          </cell>
        </row>
        <row r="34">
          <cell r="K34">
            <v>6846</v>
          </cell>
          <cell r="M34" t="str">
            <v>Intiqal</v>
          </cell>
          <cell r="N34" t="str">
            <v>Not Available</v>
          </cell>
          <cell r="O34">
            <v>0</v>
          </cell>
          <cell r="P34">
            <v>13</v>
          </cell>
          <cell r="Q34">
            <v>7</v>
          </cell>
          <cell r="R34">
            <v>0</v>
          </cell>
          <cell r="S34">
            <v>0</v>
          </cell>
          <cell r="T34">
            <v>65</v>
          </cell>
          <cell r="U34">
            <v>-4</v>
          </cell>
          <cell r="V34">
            <v>-5</v>
          </cell>
          <cell r="X34" t="str">
            <v>Sardar M Shareef</v>
          </cell>
        </row>
        <row r="35">
          <cell r="K35">
            <v>6845</v>
          </cell>
          <cell r="M35" t="str">
            <v>Intiqal</v>
          </cell>
          <cell r="N35" t="str">
            <v>Not Available</v>
          </cell>
          <cell r="O35">
            <v>3</v>
          </cell>
          <cell r="P35">
            <v>3</v>
          </cell>
          <cell r="Q35">
            <v>2</v>
          </cell>
          <cell r="R35">
            <v>0</v>
          </cell>
          <cell r="S35">
            <v>0</v>
          </cell>
          <cell r="T35">
            <v>-3</v>
          </cell>
          <cell r="U35">
            <v>10</v>
          </cell>
          <cell r="V35">
            <v>5</v>
          </cell>
          <cell r="X35" t="str">
            <v>Sardar M Shareef</v>
          </cell>
        </row>
        <row r="36">
          <cell r="K36">
            <v>6020</v>
          </cell>
          <cell r="M36" t="str">
            <v>Intiqal</v>
          </cell>
          <cell r="N36" t="str">
            <v>Not Available</v>
          </cell>
          <cell r="O36">
            <v>3</v>
          </cell>
          <cell r="P36">
            <v>2</v>
          </cell>
          <cell r="Q36">
            <v>2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0</v>
          </cell>
          <cell r="X36" t="str">
            <v>Sardar M Shareef</v>
          </cell>
        </row>
        <row r="37">
          <cell r="K37">
            <v>6019</v>
          </cell>
          <cell r="M37" t="str">
            <v>Intiqal</v>
          </cell>
          <cell r="N37" t="str">
            <v>Not Available</v>
          </cell>
          <cell r="O37">
            <v>3</v>
          </cell>
          <cell r="P37">
            <v>14</v>
          </cell>
          <cell r="Q37">
            <v>7</v>
          </cell>
          <cell r="R37">
            <v>0</v>
          </cell>
          <cell r="S37">
            <v>0</v>
          </cell>
          <cell r="T37">
            <v>0</v>
          </cell>
          <cell r="U37">
            <v>-12</v>
          </cell>
          <cell r="V37">
            <v>-5</v>
          </cell>
          <cell r="X37" t="str">
            <v>Sardar M Shareef</v>
          </cell>
        </row>
        <row r="38">
          <cell r="K38">
            <v>6844</v>
          </cell>
          <cell r="M38" t="str">
            <v>Intiqal</v>
          </cell>
          <cell r="N38" t="str">
            <v>Not Available</v>
          </cell>
          <cell r="O38">
            <v>5</v>
          </cell>
          <cell r="P38">
            <v>7</v>
          </cell>
          <cell r="Q38">
            <v>3</v>
          </cell>
          <cell r="R38">
            <v>0</v>
          </cell>
          <cell r="S38">
            <v>0</v>
          </cell>
          <cell r="T38">
            <v>-2</v>
          </cell>
          <cell r="U38">
            <v>7</v>
          </cell>
          <cell r="V38">
            <v>4</v>
          </cell>
          <cell r="X38" t="str">
            <v>Sardar M Shareef</v>
          </cell>
        </row>
        <row r="39">
          <cell r="K39">
            <v>5884</v>
          </cell>
          <cell r="M39" t="str">
            <v>Intiqal</v>
          </cell>
          <cell r="N39" t="str">
            <v>Not Available</v>
          </cell>
          <cell r="O39">
            <v>3</v>
          </cell>
          <cell r="P39">
            <v>15</v>
          </cell>
          <cell r="Q39">
            <v>0</v>
          </cell>
          <cell r="R39">
            <v>0</v>
          </cell>
          <cell r="S39">
            <v>0</v>
          </cell>
          <cell r="T39">
            <v>2</v>
          </cell>
          <cell r="U39">
            <v>-8</v>
          </cell>
          <cell r="V39">
            <v>3</v>
          </cell>
          <cell r="X39" t="str">
            <v>Sardar M Shareef</v>
          </cell>
        </row>
        <row r="40">
          <cell r="K40" t="str">
            <v>5966/1</v>
          </cell>
          <cell r="M40" t="str">
            <v>Intiqal</v>
          </cell>
          <cell r="N40" t="str">
            <v>Not Available</v>
          </cell>
          <cell r="O40">
            <v>5</v>
          </cell>
          <cell r="P40">
            <v>5</v>
          </cell>
          <cell r="Q40">
            <v>6</v>
          </cell>
          <cell r="R40">
            <v>0</v>
          </cell>
          <cell r="S40">
            <v>0</v>
          </cell>
          <cell r="T40">
            <v>-2</v>
          </cell>
          <cell r="U40">
            <v>10</v>
          </cell>
          <cell r="V40">
            <v>-6</v>
          </cell>
          <cell r="X40" t="str">
            <v>Sardar M Shareef</v>
          </cell>
        </row>
        <row r="41">
          <cell r="K41">
            <v>5852</v>
          </cell>
          <cell r="M41" t="str">
            <v>Intiqal</v>
          </cell>
          <cell r="N41" t="str">
            <v>Not Available</v>
          </cell>
          <cell r="O41">
            <v>5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4</v>
          </cell>
          <cell r="V41">
            <v>6</v>
          </cell>
          <cell r="X41" t="str">
            <v>Sardar M Shareef</v>
          </cell>
        </row>
        <row r="42">
          <cell r="K42">
            <v>6036</v>
          </cell>
          <cell r="M42" t="str">
            <v>Intiqal</v>
          </cell>
          <cell r="N42" t="str">
            <v>Not Available</v>
          </cell>
          <cell r="O42">
            <v>35</v>
          </cell>
          <cell r="P42">
            <v>6</v>
          </cell>
          <cell r="Q42">
            <v>2</v>
          </cell>
          <cell r="R42">
            <v>779000</v>
          </cell>
          <cell r="S42">
            <v>0</v>
          </cell>
          <cell r="T42">
            <v>-30</v>
          </cell>
          <cell r="U42">
            <v>-5</v>
          </cell>
          <cell r="V42">
            <v>-2</v>
          </cell>
          <cell r="X42" t="str">
            <v>Sardar M Shareef</v>
          </cell>
        </row>
        <row r="43">
          <cell r="K43" t="str">
            <v>6330/1</v>
          </cell>
          <cell r="M43" t="str">
            <v>Intiqal</v>
          </cell>
          <cell r="N43" t="str">
            <v>Not Available</v>
          </cell>
          <cell r="O43">
            <v>1</v>
          </cell>
          <cell r="P43">
            <v>16</v>
          </cell>
          <cell r="Q43">
            <v>0</v>
          </cell>
          <cell r="R43">
            <v>0</v>
          </cell>
          <cell r="S43">
            <v>0</v>
          </cell>
          <cell r="T43">
            <v>30</v>
          </cell>
          <cell r="U43">
            <v>-9</v>
          </cell>
          <cell r="V43">
            <v>7</v>
          </cell>
          <cell r="X43" t="str">
            <v>Sardar M Sagheer Khan</v>
          </cell>
        </row>
        <row r="44">
          <cell r="K44">
            <v>6312</v>
          </cell>
          <cell r="M44" t="str">
            <v>Intiqal</v>
          </cell>
          <cell r="N44" t="str">
            <v>Not Available</v>
          </cell>
          <cell r="O44">
            <v>1</v>
          </cell>
          <cell r="P44">
            <v>4</v>
          </cell>
          <cell r="Q44">
            <v>6</v>
          </cell>
          <cell r="R44">
            <v>0</v>
          </cell>
          <cell r="S44">
            <v>0</v>
          </cell>
          <cell r="T44">
            <v>0</v>
          </cell>
          <cell r="U44">
            <v>12</v>
          </cell>
          <cell r="V44">
            <v>-6</v>
          </cell>
          <cell r="X44" t="str">
            <v>Sardar M Sagheer Khan</v>
          </cell>
        </row>
        <row r="45">
          <cell r="K45">
            <v>6146</v>
          </cell>
          <cell r="M45" t="str">
            <v>Intiqal</v>
          </cell>
          <cell r="N45" t="str">
            <v>Not Available</v>
          </cell>
          <cell r="O45">
            <v>0</v>
          </cell>
          <cell r="P45">
            <v>10</v>
          </cell>
          <cell r="Q45">
            <v>0</v>
          </cell>
          <cell r="R45">
            <v>0</v>
          </cell>
          <cell r="S45">
            <v>0</v>
          </cell>
          <cell r="T45">
            <v>1</v>
          </cell>
          <cell r="U45">
            <v>-6</v>
          </cell>
          <cell r="V45">
            <v>6</v>
          </cell>
          <cell r="X45" t="str">
            <v>Sardar Rashid Ilyas Khan</v>
          </cell>
        </row>
        <row r="46">
          <cell r="K46">
            <v>6145</v>
          </cell>
          <cell r="M46" t="str">
            <v>Intiqal</v>
          </cell>
          <cell r="N46" t="str">
            <v>Not Available</v>
          </cell>
          <cell r="O46">
            <v>1</v>
          </cell>
          <cell r="P46">
            <v>9</v>
          </cell>
          <cell r="Q46">
            <v>4</v>
          </cell>
          <cell r="R46">
            <v>181705</v>
          </cell>
          <cell r="S46">
            <v>0</v>
          </cell>
          <cell r="T46">
            <v>-1</v>
          </cell>
          <cell r="U46">
            <v>1</v>
          </cell>
          <cell r="V46">
            <v>-4</v>
          </cell>
          <cell r="X46" t="str">
            <v>Sardar Rashid Ilyas Khan</v>
          </cell>
        </row>
        <row r="47">
          <cell r="K47">
            <v>6144</v>
          </cell>
          <cell r="M47" t="str">
            <v>Intiqal</v>
          </cell>
          <cell r="N47" t="str">
            <v>Not Available</v>
          </cell>
          <cell r="O47">
            <v>0</v>
          </cell>
          <cell r="P47">
            <v>19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-10</v>
          </cell>
          <cell r="V47">
            <v>3</v>
          </cell>
          <cell r="X47" t="str">
            <v>Sardar Rashid Ilyas Khan</v>
          </cell>
        </row>
        <row r="48">
          <cell r="K48">
            <v>6143</v>
          </cell>
          <cell r="L48">
            <v>20840</v>
          </cell>
          <cell r="M48" t="str">
            <v>Intiqal</v>
          </cell>
          <cell r="N48" t="str">
            <v>Registry</v>
          </cell>
          <cell r="O48">
            <v>1</v>
          </cell>
          <cell r="P48">
            <v>1</v>
          </cell>
          <cell r="Q48">
            <v>0</v>
          </cell>
          <cell r="R48">
            <v>201750</v>
          </cell>
          <cell r="S48">
            <v>0</v>
          </cell>
          <cell r="T48">
            <v>-1</v>
          </cell>
          <cell r="U48">
            <v>18</v>
          </cell>
          <cell r="V48">
            <v>1</v>
          </cell>
          <cell r="W48" t="str">
            <v>Sardar Rashid Ilyas Khan</v>
          </cell>
          <cell r="X48" t="str">
            <v>Sardar Tanveer Ilyas</v>
          </cell>
          <cell r="Y48">
            <v>45142</v>
          </cell>
        </row>
        <row r="49">
          <cell r="K49">
            <v>6250</v>
          </cell>
          <cell r="M49" t="str">
            <v>Intiqal</v>
          </cell>
          <cell r="N49" t="str">
            <v>Not Available</v>
          </cell>
          <cell r="O49">
            <v>3</v>
          </cell>
          <cell r="P49">
            <v>8</v>
          </cell>
          <cell r="Q49">
            <v>2</v>
          </cell>
          <cell r="R49">
            <v>36000</v>
          </cell>
          <cell r="S49">
            <v>0</v>
          </cell>
          <cell r="T49">
            <v>-2</v>
          </cell>
          <cell r="U49">
            <v>-7</v>
          </cell>
          <cell r="V49">
            <v>-2</v>
          </cell>
          <cell r="X49" t="str">
            <v>Sardar M Sagheer Khan</v>
          </cell>
        </row>
        <row r="50">
          <cell r="K50">
            <v>6248</v>
          </cell>
          <cell r="M50" t="str">
            <v>Intiqal</v>
          </cell>
          <cell r="N50" t="str">
            <v>Not Available</v>
          </cell>
          <cell r="O50">
            <v>5</v>
          </cell>
          <cell r="P50">
            <v>19</v>
          </cell>
          <cell r="Q50">
            <v>0</v>
          </cell>
          <cell r="R50">
            <v>60000</v>
          </cell>
          <cell r="S50">
            <v>0</v>
          </cell>
          <cell r="T50">
            <v>-2</v>
          </cell>
          <cell r="U50">
            <v>-11</v>
          </cell>
          <cell r="V50">
            <v>2</v>
          </cell>
          <cell r="X50" t="str">
            <v>Sardar M Sagheer Khan</v>
          </cell>
        </row>
        <row r="51">
          <cell r="K51">
            <v>6614</v>
          </cell>
          <cell r="M51" t="str">
            <v>Intiqal</v>
          </cell>
          <cell r="N51" t="str">
            <v>Not Available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4</v>
          </cell>
          <cell r="U51">
            <v>19</v>
          </cell>
          <cell r="V51">
            <v>0</v>
          </cell>
          <cell r="X51" t="str">
            <v>Sardar M Sagheer Khan</v>
          </cell>
        </row>
        <row r="52">
          <cell r="K52">
            <v>6582</v>
          </cell>
          <cell r="M52" t="str">
            <v>Intiqal</v>
          </cell>
          <cell r="N52" t="str">
            <v>Not Available</v>
          </cell>
          <cell r="O52">
            <v>0</v>
          </cell>
          <cell r="P52">
            <v>18</v>
          </cell>
          <cell r="Q52">
            <v>0</v>
          </cell>
          <cell r="R52">
            <v>0</v>
          </cell>
          <cell r="S52">
            <v>0</v>
          </cell>
          <cell r="T52">
            <v>1</v>
          </cell>
          <cell r="U52">
            <v>-18</v>
          </cell>
          <cell r="V52">
            <v>0</v>
          </cell>
          <cell r="X52" t="str">
            <v>Sardar M Sagheer Khan</v>
          </cell>
        </row>
        <row r="53">
          <cell r="K53">
            <v>6555</v>
          </cell>
          <cell r="M53" t="str">
            <v>Intiqal</v>
          </cell>
          <cell r="N53" t="str">
            <v>Not Available</v>
          </cell>
          <cell r="O53">
            <v>3</v>
          </cell>
          <cell r="P53">
            <v>0</v>
          </cell>
          <cell r="Q53">
            <v>0</v>
          </cell>
          <cell r="R53">
            <v>50000</v>
          </cell>
          <cell r="S53">
            <v>0</v>
          </cell>
          <cell r="T53">
            <v>-3</v>
          </cell>
          <cell r="U53">
            <v>18</v>
          </cell>
          <cell r="V53">
            <v>0</v>
          </cell>
          <cell r="X53" t="str">
            <v>Sardar Rashid Ilyas Khan</v>
          </cell>
        </row>
        <row r="54">
          <cell r="K54">
            <v>6439</v>
          </cell>
          <cell r="M54" t="str">
            <v>Intiqal</v>
          </cell>
          <cell r="N54" t="str">
            <v>Not Available</v>
          </cell>
          <cell r="O54">
            <v>7</v>
          </cell>
          <cell r="P54">
            <v>10</v>
          </cell>
          <cell r="Q54">
            <v>0</v>
          </cell>
          <cell r="R54">
            <v>186200</v>
          </cell>
          <cell r="S54">
            <v>0</v>
          </cell>
          <cell r="T54">
            <v>-4</v>
          </cell>
          <cell r="U54">
            <v>-10</v>
          </cell>
          <cell r="V54">
            <v>0</v>
          </cell>
          <cell r="X54" t="str">
            <v>Sardar M Shareef</v>
          </cell>
        </row>
        <row r="55">
          <cell r="K55">
            <v>6359</v>
          </cell>
          <cell r="M55" t="str">
            <v>Intiqal</v>
          </cell>
          <cell r="N55" t="str">
            <v>Not Available</v>
          </cell>
          <cell r="O55">
            <v>0</v>
          </cell>
          <cell r="P55">
            <v>5</v>
          </cell>
          <cell r="Q55">
            <v>3</v>
          </cell>
          <cell r="R55">
            <v>0</v>
          </cell>
          <cell r="S55">
            <v>0</v>
          </cell>
          <cell r="T55">
            <v>7</v>
          </cell>
          <cell r="U55">
            <v>5</v>
          </cell>
          <cell r="V55">
            <v>-3</v>
          </cell>
          <cell r="X55" t="str">
            <v>Sardar M Sagheer Khan</v>
          </cell>
        </row>
        <row r="56">
          <cell r="K56">
            <v>6335</v>
          </cell>
          <cell r="M56" t="str">
            <v>Intiqal</v>
          </cell>
          <cell r="N56" t="str">
            <v>Not Available</v>
          </cell>
          <cell r="O56">
            <v>1</v>
          </cell>
          <cell r="P56">
            <v>10</v>
          </cell>
          <cell r="Q56">
            <v>0</v>
          </cell>
          <cell r="R56">
            <v>0</v>
          </cell>
          <cell r="S56">
            <v>0</v>
          </cell>
          <cell r="T56">
            <v>-1</v>
          </cell>
          <cell r="U56">
            <v>-5</v>
          </cell>
          <cell r="V56">
            <v>3</v>
          </cell>
          <cell r="X56" t="str">
            <v>Sardar M Sagheer Khan</v>
          </cell>
        </row>
        <row r="57">
          <cell r="K57">
            <v>6164</v>
          </cell>
          <cell r="M57" t="str">
            <v>Intiqal</v>
          </cell>
          <cell r="N57" t="str">
            <v>Not Available</v>
          </cell>
          <cell r="O57">
            <v>0</v>
          </cell>
          <cell r="P57">
            <v>17</v>
          </cell>
          <cell r="Q57">
            <v>0</v>
          </cell>
          <cell r="R57">
            <v>0</v>
          </cell>
          <cell r="S57">
            <v>0</v>
          </cell>
          <cell r="T57">
            <v>1</v>
          </cell>
          <cell r="U57">
            <v>-7</v>
          </cell>
          <cell r="V57">
            <v>0</v>
          </cell>
          <cell r="X57" t="str">
            <v>Sardar Rashid Ilyas Khan</v>
          </cell>
        </row>
        <row r="58">
          <cell r="K58">
            <v>868</v>
          </cell>
          <cell r="M58" t="str">
            <v>Intiqal</v>
          </cell>
          <cell r="N58" t="str">
            <v>Not Available</v>
          </cell>
          <cell r="O58">
            <v>1</v>
          </cell>
          <cell r="P58">
            <v>14</v>
          </cell>
          <cell r="Q58">
            <v>0</v>
          </cell>
          <cell r="R58">
            <v>0</v>
          </cell>
          <cell r="S58">
            <v>0</v>
          </cell>
          <cell r="T58">
            <v>12</v>
          </cell>
          <cell r="U58">
            <v>-7</v>
          </cell>
          <cell r="V58">
            <v>0</v>
          </cell>
          <cell r="X58" t="str">
            <v>Sardar M Sagheer Khan</v>
          </cell>
        </row>
        <row r="59">
          <cell r="K59">
            <v>867</v>
          </cell>
          <cell r="M59" t="str">
            <v>Intiqal</v>
          </cell>
          <cell r="N59" t="str">
            <v>Not Available</v>
          </cell>
          <cell r="O59">
            <v>0</v>
          </cell>
          <cell r="P59">
            <v>4</v>
          </cell>
          <cell r="Q59">
            <v>0</v>
          </cell>
          <cell r="R59">
            <v>0</v>
          </cell>
          <cell r="S59">
            <v>0</v>
          </cell>
          <cell r="T59">
            <v>1</v>
          </cell>
          <cell r="U59">
            <v>10</v>
          </cell>
          <cell r="V59">
            <v>0</v>
          </cell>
          <cell r="X59" t="str">
            <v>Sardar M Sagheer Khan</v>
          </cell>
        </row>
        <row r="60">
          <cell r="K60">
            <v>864</v>
          </cell>
          <cell r="M60" t="str">
            <v>Intiqal</v>
          </cell>
          <cell r="N60" t="str">
            <v>Not Available</v>
          </cell>
          <cell r="O60">
            <v>3</v>
          </cell>
          <cell r="P60">
            <v>8</v>
          </cell>
          <cell r="Q60">
            <v>0</v>
          </cell>
          <cell r="R60">
            <v>0</v>
          </cell>
          <cell r="S60">
            <v>0</v>
          </cell>
          <cell r="T60">
            <v>-3</v>
          </cell>
          <cell r="U60">
            <v>-4</v>
          </cell>
          <cell r="V60">
            <v>0</v>
          </cell>
          <cell r="X60" t="str">
            <v>Sardar M Sagheer Khan</v>
          </cell>
        </row>
        <row r="61">
          <cell r="K61">
            <v>862</v>
          </cell>
          <cell r="M61" t="str">
            <v>Intiqal</v>
          </cell>
          <cell r="N61" t="str">
            <v>Not Available</v>
          </cell>
          <cell r="O61">
            <v>1</v>
          </cell>
          <cell r="P61">
            <v>2</v>
          </cell>
          <cell r="Q61">
            <v>0</v>
          </cell>
          <cell r="R61">
            <v>0</v>
          </cell>
          <cell r="S61">
            <v>0</v>
          </cell>
          <cell r="T61">
            <v>2</v>
          </cell>
          <cell r="U61">
            <v>6</v>
          </cell>
          <cell r="V61">
            <v>0</v>
          </cell>
          <cell r="X61" t="str">
            <v>Sardar M Sagheer Khan</v>
          </cell>
        </row>
        <row r="62">
          <cell r="K62">
            <v>861</v>
          </cell>
          <cell r="M62" t="str">
            <v>Intiqal</v>
          </cell>
          <cell r="N62" t="str">
            <v>Not Available</v>
          </cell>
          <cell r="O62">
            <v>1</v>
          </cell>
          <cell r="P62">
            <v>15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-13</v>
          </cell>
          <cell r="V62">
            <v>0</v>
          </cell>
          <cell r="X62" t="str">
            <v>Sardar M Sagheer Khan</v>
          </cell>
        </row>
        <row r="63">
          <cell r="K63">
            <v>860</v>
          </cell>
          <cell r="M63" t="str">
            <v>Intiqal</v>
          </cell>
          <cell r="N63" t="str">
            <v>Not Available</v>
          </cell>
          <cell r="O63">
            <v>1</v>
          </cell>
          <cell r="P63">
            <v>19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-4</v>
          </cell>
          <cell r="V63">
            <v>0</v>
          </cell>
          <cell r="X63" t="str">
            <v>Sardar M Sagheer Khan</v>
          </cell>
        </row>
        <row r="64">
          <cell r="K64">
            <v>859</v>
          </cell>
          <cell r="M64" t="str">
            <v>Intiqal</v>
          </cell>
          <cell r="N64" t="str">
            <v>Not Available</v>
          </cell>
          <cell r="O64">
            <v>3</v>
          </cell>
          <cell r="P64">
            <v>5</v>
          </cell>
          <cell r="Q64">
            <v>0</v>
          </cell>
          <cell r="R64">
            <v>72500</v>
          </cell>
          <cell r="S64">
            <v>0</v>
          </cell>
          <cell r="T64">
            <v>-2</v>
          </cell>
          <cell r="U64">
            <v>14</v>
          </cell>
          <cell r="V64">
            <v>0</v>
          </cell>
          <cell r="X64" t="str">
            <v>Sardar M Sagheer Khan</v>
          </cell>
        </row>
        <row r="65">
          <cell r="K65">
            <v>872</v>
          </cell>
          <cell r="M65" t="str">
            <v>Intiqal</v>
          </cell>
          <cell r="N65" t="str">
            <v>Not Available</v>
          </cell>
          <cell r="O65">
            <v>0</v>
          </cell>
          <cell r="P65">
            <v>10</v>
          </cell>
          <cell r="Q65">
            <v>0</v>
          </cell>
          <cell r="R65">
            <v>0</v>
          </cell>
          <cell r="S65">
            <v>0</v>
          </cell>
          <cell r="T65">
            <v>4</v>
          </cell>
          <cell r="U65">
            <v>-1</v>
          </cell>
          <cell r="V65">
            <v>0</v>
          </cell>
          <cell r="X65" t="str">
            <v>Sardar M Sagheer Khan</v>
          </cell>
        </row>
        <row r="66">
          <cell r="K66">
            <v>870</v>
          </cell>
          <cell r="M66" t="str">
            <v>Intiqal</v>
          </cell>
          <cell r="N66" t="str">
            <v>Not Available</v>
          </cell>
          <cell r="O66">
            <v>1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-1</v>
          </cell>
          <cell r="U66">
            <v>10</v>
          </cell>
          <cell r="V66">
            <v>0</v>
          </cell>
          <cell r="X66" t="str">
            <v>Sardar M Sagheer Khan</v>
          </cell>
        </row>
        <row r="67">
          <cell r="K67">
            <v>871</v>
          </cell>
          <cell r="M67" t="str">
            <v>Intiqal</v>
          </cell>
          <cell r="N67" t="str">
            <v>Not Available</v>
          </cell>
          <cell r="O67">
            <v>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X67" t="str">
            <v>Sardar M Sagheer Khan</v>
          </cell>
        </row>
        <row r="68">
          <cell r="K68">
            <v>873</v>
          </cell>
          <cell r="M68" t="str">
            <v>Intiqal</v>
          </cell>
          <cell r="N68" t="str">
            <v>Not Available</v>
          </cell>
          <cell r="O68">
            <v>1</v>
          </cell>
          <cell r="P68">
            <v>19</v>
          </cell>
          <cell r="Q68">
            <v>0</v>
          </cell>
          <cell r="R68">
            <v>58500</v>
          </cell>
          <cell r="S68">
            <v>0</v>
          </cell>
          <cell r="T68">
            <v>0</v>
          </cell>
          <cell r="U68">
            <v>-19</v>
          </cell>
          <cell r="V68">
            <v>0</v>
          </cell>
          <cell r="X68" t="str">
            <v>Sardar M Sagheer Khan</v>
          </cell>
        </row>
        <row r="69">
          <cell r="K69">
            <v>874</v>
          </cell>
          <cell r="M69" t="str">
            <v>Intiqal</v>
          </cell>
          <cell r="N69" t="str">
            <v>Not Available</v>
          </cell>
          <cell r="O69">
            <v>0</v>
          </cell>
          <cell r="P69">
            <v>10</v>
          </cell>
          <cell r="Q69">
            <v>0</v>
          </cell>
          <cell r="R69">
            <v>0</v>
          </cell>
          <cell r="S69">
            <v>0</v>
          </cell>
          <cell r="T69">
            <v>3</v>
          </cell>
          <cell r="U69">
            <v>-10</v>
          </cell>
          <cell r="V69">
            <v>0</v>
          </cell>
          <cell r="X69" t="str">
            <v>Sardar M Sagheer Khan</v>
          </cell>
        </row>
        <row r="70">
          <cell r="K70">
            <v>877</v>
          </cell>
          <cell r="M70" t="str">
            <v>Intiqal</v>
          </cell>
          <cell r="N70" t="str">
            <v>Not Available</v>
          </cell>
          <cell r="O70">
            <v>0</v>
          </cell>
          <cell r="P70">
            <v>10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X70" t="str">
            <v>Sardar M Sagheer Khan</v>
          </cell>
        </row>
        <row r="71">
          <cell r="K71">
            <v>876</v>
          </cell>
          <cell r="M71" t="str">
            <v>Intiqal</v>
          </cell>
          <cell r="N71" t="str">
            <v>Not Available</v>
          </cell>
          <cell r="O71">
            <v>2</v>
          </cell>
          <cell r="P71">
            <v>0</v>
          </cell>
          <cell r="Q71">
            <v>0</v>
          </cell>
          <cell r="R71">
            <v>58605</v>
          </cell>
          <cell r="S71">
            <v>0</v>
          </cell>
          <cell r="T71">
            <v>-2</v>
          </cell>
          <cell r="U71">
            <v>10</v>
          </cell>
          <cell r="V71">
            <v>0</v>
          </cell>
          <cell r="X71" t="str">
            <v>Sardar M Sagheer Khan</v>
          </cell>
        </row>
        <row r="72">
          <cell r="K72">
            <v>6451</v>
          </cell>
          <cell r="M72" t="str">
            <v>Intiqal</v>
          </cell>
          <cell r="N72" t="str">
            <v>Not Available</v>
          </cell>
          <cell r="O72">
            <v>4</v>
          </cell>
          <cell r="P72">
            <v>1</v>
          </cell>
          <cell r="Q72">
            <v>0</v>
          </cell>
          <cell r="R72">
            <v>0</v>
          </cell>
          <cell r="S72">
            <v>0</v>
          </cell>
          <cell r="T72">
            <v>2</v>
          </cell>
          <cell r="U72">
            <v>0</v>
          </cell>
          <cell r="V72">
            <v>0</v>
          </cell>
          <cell r="X72" t="str">
            <v>Sardar M Sagheer Khan</v>
          </cell>
        </row>
        <row r="73">
          <cell r="K73">
            <v>6444</v>
          </cell>
          <cell r="M73" t="str">
            <v>Intiqal</v>
          </cell>
          <cell r="N73" t="str">
            <v>Not Available</v>
          </cell>
          <cell r="O73">
            <v>0</v>
          </cell>
          <cell r="P73">
            <v>5</v>
          </cell>
          <cell r="Q73">
            <v>0</v>
          </cell>
          <cell r="R73">
            <v>0</v>
          </cell>
          <cell r="S73">
            <v>0</v>
          </cell>
          <cell r="T73">
            <v>4</v>
          </cell>
          <cell r="U73">
            <v>-4</v>
          </cell>
          <cell r="V73">
            <v>0</v>
          </cell>
          <cell r="X73" t="str">
            <v>Sardar M Sagheer Khan</v>
          </cell>
        </row>
        <row r="74">
          <cell r="K74">
            <v>6443</v>
          </cell>
          <cell r="M74" t="str">
            <v>Intiqal</v>
          </cell>
          <cell r="N74" t="str">
            <v>Not Available</v>
          </cell>
          <cell r="O74">
            <v>1</v>
          </cell>
          <cell r="P74">
            <v>15</v>
          </cell>
          <cell r="Q74">
            <v>0</v>
          </cell>
          <cell r="R74">
            <v>58605</v>
          </cell>
          <cell r="S74">
            <v>0</v>
          </cell>
          <cell r="T74">
            <v>-1</v>
          </cell>
          <cell r="U74">
            <v>-10</v>
          </cell>
          <cell r="V74">
            <v>0</v>
          </cell>
          <cell r="X74" t="str">
            <v>Sardar M Sagheer Khan</v>
          </cell>
        </row>
        <row r="75">
          <cell r="K75">
            <v>6466</v>
          </cell>
          <cell r="M75" t="str">
            <v>Intiqal</v>
          </cell>
          <cell r="N75" t="str">
            <v>Not Available</v>
          </cell>
          <cell r="O75">
            <v>2</v>
          </cell>
          <cell r="P75">
            <v>5</v>
          </cell>
          <cell r="Q75">
            <v>0</v>
          </cell>
          <cell r="R75">
            <v>29783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X75" t="str">
            <v>Sardar M Sagheer Khan</v>
          </cell>
        </row>
        <row r="76">
          <cell r="K76">
            <v>880</v>
          </cell>
          <cell r="M76" t="str">
            <v>Intiqal</v>
          </cell>
          <cell r="N76" t="str">
            <v>Not Available</v>
          </cell>
          <cell r="O76">
            <v>0</v>
          </cell>
          <cell r="P76">
            <v>10</v>
          </cell>
          <cell r="Q76">
            <v>0</v>
          </cell>
          <cell r="R76">
            <v>8817</v>
          </cell>
          <cell r="S76">
            <v>0</v>
          </cell>
          <cell r="T76">
            <v>4</v>
          </cell>
          <cell r="U76">
            <v>7</v>
          </cell>
          <cell r="V76">
            <v>0</v>
          </cell>
          <cell r="X76" t="str">
            <v>Sardar M Sagheer Khan</v>
          </cell>
        </row>
        <row r="77">
          <cell r="K77">
            <v>884</v>
          </cell>
          <cell r="M77" t="str">
            <v>Intiqal</v>
          </cell>
          <cell r="N77" t="str">
            <v>Not Available</v>
          </cell>
          <cell r="O77">
            <v>4</v>
          </cell>
          <cell r="P77">
            <v>7</v>
          </cell>
          <cell r="Q77">
            <v>0</v>
          </cell>
          <cell r="R77">
            <v>50750</v>
          </cell>
          <cell r="S77">
            <v>0</v>
          </cell>
          <cell r="T77">
            <v>-4</v>
          </cell>
          <cell r="U77">
            <v>3</v>
          </cell>
          <cell r="V77">
            <v>0</v>
          </cell>
          <cell r="X77" t="str">
            <v>Sardar M Sagheer Khan</v>
          </cell>
        </row>
        <row r="78">
          <cell r="K78">
            <v>8375</v>
          </cell>
          <cell r="M78" t="str">
            <v>Intiqal</v>
          </cell>
          <cell r="N78" t="str">
            <v>Not Available</v>
          </cell>
          <cell r="O78">
            <v>0</v>
          </cell>
          <cell r="P78">
            <v>8</v>
          </cell>
          <cell r="Q78">
            <v>1</v>
          </cell>
          <cell r="R78">
            <v>40000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X78" t="str">
            <v>Sardar Tanveer Ilyas</v>
          </cell>
        </row>
        <row r="79">
          <cell r="K79">
            <v>7330</v>
          </cell>
          <cell r="M79" t="str">
            <v>Intiqal</v>
          </cell>
          <cell r="N79" t="str">
            <v>Not Available</v>
          </cell>
          <cell r="O79">
            <v>7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69</v>
          </cell>
          <cell r="U79">
            <v>9</v>
          </cell>
          <cell r="V79">
            <v>7</v>
          </cell>
          <cell r="X79" t="str">
            <v>Sardar Tanveer Ilyas</v>
          </cell>
        </row>
        <row r="80">
          <cell r="K80">
            <v>6957</v>
          </cell>
          <cell r="M80" t="str">
            <v>Intiqal</v>
          </cell>
          <cell r="N80" t="str">
            <v>Not Available</v>
          </cell>
          <cell r="O80">
            <v>6</v>
          </cell>
          <cell r="P80">
            <v>13</v>
          </cell>
          <cell r="Q80">
            <v>2</v>
          </cell>
          <cell r="R80">
            <v>0</v>
          </cell>
          <cell r="S80">
            <v>0</v>
          </cell>
          <cell r="T80">
            <v>1</v>
          </cell>
          <cell r="U80">
            <v>-13</v>
          </cell>
          <cell r="V80">
            <v>-2</v>
          </cell>
          <cell r="X80" t="str">
            <v>Sardar Tanveer Ilyas</v>
          </cell>
        </row>
        <row r="81">
          <cell r="K81">
            <v>6959</v>
          </cell>
          <cell r="M81" t="str">
            <v>Intiqal</v>
          </cell>
          <cell r="N81" t="str">
            <v>Not Available</v>
          </cell>
          <cell r="O81">
            <v>7</v>
          </cell>
          <cell r="P81">
            <v>6</v>
          </cell>
          <cell r="Q81">
            <v>0</v>
          </cell>
          <cell r="R81">
            <v>0</v>
          </cell>
          <cell r="S81">
            <v>0</v>
          </cell>
          <cell r="T81">
            <v>-1</v>
          </cell>
          <cell r="U81">
            <v>7</v>
          </cell>
          <cell r="V81">
            <v>2</v>
          </cell>
          <cell r="X81" t="str">
            <v>Sardar Tanveer Ilyas</v>
          </cell>
        </row>
        <row r="82">
          <cell r="K82">
            <v>6914</v>
          </cell>
          <cell r="M82" t="str">
            <v>Intiqal</v>
          </cell>
          <cell r="N82" t="str">
            <v>Not Available</v>
          </cell>
          <cell r="O82">
            <v>17</v>
          </cell>
          <cell r="P82">
            <v>17</v>
          </cell>
          <cell r="Q82">
            <v>4</v>
          </cell>
          <cell r="R82">
            <v>0</v>
          </cell>
          <cell r="S82">
            <v>0</v>
          </cell>
          <cell r="T82">
            <v>-10</v>
          </cell>
          <cell r="U82">
            <v>-11</v>
          </cell>
          <cell r="V82">
            <v>-4</v>
          </cell>
          <cell r="X82" t="str">
            <v>Sardar Tanveer Ilyas</v>
          </cell>
        </row>
        <row r="83">
          <cell r="K83">
            <v>6913</v>
          </cell>
          <cell r="M83" t="str">
            <v>Intiqal</v>
          </cell>
          <cell r="N83" t="str">
            <v>Not Available</v>
          </cell>
          <cell r="O83">
            <v>37</v>
          </cell>
          <cell r="P83">
            <v>13</v>
          </cell>
          <cell r="Q83">
            <v>1</v>
          </cell>
          <cell r="R83">
            <v>7121450</v>
          </cell>
          <cell r="S83">
            <v>2250000</v>
          </cell>
          <cell r="T83">
            <v>-20</v>
          </cell>
          <cell r="U83">
            <v>4</v>
          </cell>
          <cell r="V83">
            <v>3</v>
          </cell>
          <cell r="X83" t="str">
            <v>Sardar Tanveer Ilyas</v>
          </cell>
        </row>
        <row r="84">
          <cell r="K84">
            <v>741</v>
          </cell>
          <cell r="M84" t="str">
            <v>Intiqal</v>
          </cell>
          <cell r="N84" t="str">
            <v>Not Available</v>
          </cell>
          <cell r="O84">
            <v>41</v>
          </cell>
          <cell r="P84">
            <v>14</v>
          </cell>
          <cell r="Q84">
            <v>0</v>
          </cell>
          <cell r="R84">
            <v>229515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X84" t="str">
            <v>Sardar M Sagheer Khan</v>
          </cell>
        </row>
        <row r="85">
          <cell r="K85">
            <v>842</v>
          </cell>
          <cell r="M85" t="str">
            <v>Intiqal</v>
          </cell>
          <cell r="N85" t="str">
            <v>Not Available</v>
          </cell>
          <cell r="O85">
            <v>35</v>
          </cell>
          <cell r="P85">
            <v>7</v>
          </cell>
          <cell r="Q85">
            <v>0</v>
          </cell>
          <cell r="R85">
            <v>282800</v>
          </cell>
          <cell r="S85">
            <v>0</v>
          </cell>
          <cell r="T85">
            <v>44</v>
          </cell>
          <cell r="U85">
            <v>-5</v>
          </cell>
          <cell r="V85">
            <v>0</v>
          </cell>
          <cell r="X85" t="str">
            <v>Sardar Tanveer Ilyas</v>
          </cell>
        </row>
        <row r="86">
          <cell r="K86">
            <v>801</v>
          </cell>
          <cell r="M86" t="str">
            <v>Intiqal</v>
          </cell>
          <cell r="N86" t="str">
            <v>Not Available</v>
          </cell>
          <cell r="O86">
            <v>43</v>
          </cell>
          <cell r="P86">
            <v>15</v>
          </cell>
          <cell r="Q86">
            <v>0</v>
          </cell>
          <cell r="R86">
            <v>360800</v>
          </cell>
          <cell r="S86">
            <v>0</v>
          </cell>
          <cell r="T86">
            <v>-8</v>
          </cell>
          <cell r="U86">
            <v>-8</v>
          </cell>
          <cell r="V86">
            <v>0</v>
          </cell>
          <cell r="X86" t="str">
            <v>Sardar Tanveer Ilyas</v>
          </cell>
        </row>
        <row r="87">
          <cell r="K87">
            <v>760</v>
          </cell>
          <cell r="M87" t="str">
            <v>Intiqal</v>
          </cell>
          <cell r="N87" t="str">
            <v>Not Available</v>
          </cell>
          <cell r="O87">
            <v>73</v>
          </cell>
          <cell r="P87">
            <v>1</v>
          </cell>
          <cell r="Q87">
            <v>0</v>
          </cell>
          <cell r="R87">
            <v>1937985</v>
          </cell>
          <cell r="S87">
            <v>0</v>
          </cell>
          <cell r="T87">
            <v>27</v>
          </cell>
          <cell r="U87">
            <v>5</v>
          </cell>
          <cell r="V87">
            <v>0</v>
          </cell>
          <cell r="X87" t="str">
            <v>Sardar Tanveer Ilyas</v>
          </cell>
        </row>
        <row r="88">
          <cell r="K88">
            <v>761</v>
          </cell>
          <cell r="M88" t="str">
            <v>Intiqal</v>
          </cell>
          <cell r="N88" t="str">
            <v>Not Available</v>
          </cell>
          <cell r="O88">
            <v>7</v>
          </cell>
          <cell r="P88">
            <v>12</v>
          </cell>
          <cell r="Q88">
            <v>0</v>
          </cell>
          <cell r="R88">
            <v>60015</v>
          </cell>
          <cell r="S88">
            <v>0</v>
          </cell>
          <cell r="T88">
            <v>66</v>
          </cell>
          <cell r="U88">
            <v>-11</v>
          </cell>
          <cell r="V88">
            <v>0</v>
          </cell>
          <cell r="X88" t="str">
            <v>Sardar Tanveer Ilyas</v>
          </cell>
        </row>
        <row r="89">
          <cell r="K89">
            <v>764</v>
          </cell>
          <cell r="M89" t="str">
            <v>Intiqal</v>
          </cell>
          <cell r="N89" t="str">
            <v>Not Available</v>
          </cell>
          <cell r="O89">
            <v>19</v>
          </cell>
          <cell r="P89">
            <v>13</v>
          </cell>
          <cell r="Q89">
            <v>0</v>
          </cell>
          <cell r="R89">
            <v>220000</v>
          </cell>
          <cell r="S89">
            <v>0</v>
          </cell>
          <cell r="T89">
            <v>-12</v>
          </cell>
          <cell r="U89">
            <v>-1</v>
          </cell>
          <cell r="V89">
            <v>0</v>
          </cell>
          <cell r="X89" t="str">
            <v>Sardar Tanveer Ilyas</v>
          </cell>
        </row>
        <row r="90">
          <cell r="K90">
            <v>4898</v>
          </cell>
          <cell r="M90" t="str">
            <v>Intiqal</v>
          </cell>
          <cell r="N90" t="str">
            <v>Not Available</v>
          </cell>
          <cell r="O90">
            <v>20</v>
          </cell>
          <cell r="P90">
            <v>5</v>
          </cell>
          <cell r="Q90">
            <v>0</v>
          </cell>
          <cell r="R90">
            <v>303000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X90" t="str">
            <v>Sardar Tanveer Ilyas</v>
          </cell>
        </row>
        <row r="91">
          <cell r="K91">
            <v>742</v>
          </cell>
          <cell r="M91" t="str">
            <v>Intiqal</v>
          </cell>
          <cell r="N91" t="str">
            <v>Not Available</v>
          </cell>
          <cell r="O91">
            <v>200</v>
          </cell>
          <cell r="P91">
            <v>0</v>
          </cell>
          <cell r="Q91">
            <v>0</v>
          </cell>
          <cell r="R91">
            <v>1200200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X91" t="str">
            <v>Sardar Tanveer Ilyas</v>
          </cell>
        </row>
        <row r="92">
          <cell r="K92">
            <v>4800</v>
          </cell>
          <cell r="M92" t="str">
            <v>Intiqal</v>
          </cell>
          <cell r="N92" t="str">
            <v>Not Available</v>
          </cell>
          <cell r="O92">
            <v>21</v>
          </cell>
          <cell r="P92">
            <v>10</v>
          </cell>
          <cell r="Q92">
            <v>2</v>
          </cell>
          <cell r="R92">
            <v>123017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X92" t="str">
            <v>Sardar M Sagheer Khan</v>
          </cell>
        </row>
        <row r="93">
          <cell r="K93">
            <v>746</v>
          </cell>
          <cell r="M93" t="str">
            <v>Intiqal</v>
          </cell>
          <cell r="N93" t="str">
            <v>Not Available</v>
          </cell>
          <cell r="O93">
            <v>6</v>
          </cell>
          <cell r="P93">
            <v>0</v>
          </cell>
          <cell r="Q93">
            <v>0</v>
          </cell>
          <cell r="R93">
            <v>33015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 t="str">
            <v>Sardar M Sagheer Khan</v>
          </cell>
        </row>
        <row r="94">
          <cell r="K94">
            <v>915</v>
          </cell>
          <cell r="M94" t="str">
            <v>Intiqal</v>
          </cell>
          <cell r="N94" t="str">
            <v>Not Available</v>
          </cell>
          <cell r="O94">
            <v>16</v>
          </cell>
          <cell r="P94">
            <v>6</v>
          </cell>
          <cell r="Q94">
            <v>0</v>
          </cell>
          <cell r="R94">
            <v>96000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X94" t="str">
            <v>Sardar Tanveer Ilyas</v>
          </cell>
        </row>
        <row r="95">
          <cell r="K95">
            <v>6458</v>
          </cell>
          <cell r="M95" t="str">
            <v>Intiqal</v>
          </cell>
          <cell r="N95" t="str">
            <v>Not Available</v>
          </cell>
          <cell r="O95">
            <v>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11</v>
          </cell>
          <cell r="U95">
            <v>19</v>
          </cell>
          <cell r="V95">
            <v>2</v>
          </cell>
          <cell r="X95" t="str">
            <v>Sardar M Shareef</v>
          </cell>
        </row>
        <row r="96">
          <cell r="K96">
            <v>6457</v>
          </cell>
          <cell r="M96" t="str">
            <v>Intiqal</v>
          </cell>
          <cell r="N96" t="str">
            <v>Not Available</v>
          </cell>
          <cell r="O96">
            <v>2</v>
          </cell>
          <cell r="P96">
            <v>19</v>
          </cell>
          <cell r="Q96">
            <v>4</v>
          </cell>
          <cell r="R96">
            <v>0</v>
          </cell>
          <cell r="S96">
            <v>0</v>
          </cell>
          <cell r="T96">
            <v>-1</v>
          </cell>
          <cell r="U96">
            <v>-19</v>
          </cell>
          <cell r="V96">
            <v>-4</v>
          </cell>
          <cell r="X96" t="str">
            <v>Sardar M Shareef</v>
          </cell>
        </row>
        <row r="97">
          <cell r="K97">
            <v>6448</v>
          </cell>
          <cell r="M97" t="str">
            <v>Intiqal</v>
          </cell>
          <cell r="N97" t="str">
            <v>Not Available</v>
          </cell>
          <cell r="O97">
            <v>6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-4</v>
          </cell>
          <cell r="U97">
            <v>19</v>
          </cell>
          <cell r="V97">
            <v>4</v>
          </cell>
          <cell r="X97" t="str">
            <v>Sardar M Shareef</v>
          </cell>
        </row>
        <row r="98">
          <cell r="K98">
            <v>5122</v>
          </cell>
          <cell r="M98" t="str">
            <v>Intiqal</v>
          </cell>
          <cell r="N98" t="str">
            <v>Not Available</v>
          </cell>
          <cell r="O98">
            <v>1</v>
          </cell>
          <cell r="P98">
            <v>7</v>
          </cell>
          <cell r="Q98">
            <v>0</v>
          </cell>
          <cell r="R98">
            <v>0</v>
          </cell>
          <cell r="S98">
            <v>0</v>
          </cell>
          <cell r="T98">
            <v>5</v>
          </cell>
          <cell r="U98">
            <v>-7</v>
          </cell>
          <cell r="V98">
            <v>0</v>
          </cell>
          <cell r="X98" t="str">
            <v>Sardar M Shareef</v>
          </cell>
        </row>
        <row r="99">
          <cell r="K99">
            <v>5121</v>
          </cell>
          <cell r="M99" t="str">
            <v>Intiqal</v>
          </cell>
          <cell r="N99" t="str">
            <v>Not Available</v>
          </cell>
          <cell r="O99">
            <v>0</v>
          </cell>
          <cell r="P99">
            <v>11</v>
          </cell>
          <cell r="Q99">
            <v>3</v>
          </cell>
          <cell r="R99">
            <v>0</v>
          </cell>
          <cell r="S99">
            <v>0</v>
          </cell>
          <cell r="T99">
            <v>1</v>
          </cell>
          <cell r="U99">
            <v>-4</v>
          </cell>
          <cell r="V99">
            <v>-3</v>
          </cell>
          <cell r="X99" t="str">
            <v>Sardar M Shareef</v>
          </cell>
        </row>
        <row r="100">
          <cell r="K100">
            <v>5120</v>
          </cell>
          <cell r="M100" t="str">
            <v>Intiqal</v>
          </cell>
          <cell r="N100" t="str">
            <v>Not Available</v>
          </cell>
          <cell r="O100">
            <v>1</v>
          </cell>
          <cell r="P100">
            <v>1</v>
          </cell>
          <cell r="Q100">
            <v>4</v>
          </cell>
          <cell r="R100">
            <v>218145</v>
          </cell>
          <cell r="S100">
            <v>0</v>
          </cell>
          <cell r="T100">
            <v>-1</v>
          </cell>
          <cell r="U100">
            <v>10</v>
          </cell>
          <cell r="V100">
            <v>-1</v>
          </cell>
          <cell r="X100" t="str">
            <v>Sardar M Shareef</v>
          </cell>
        </row>
        <row r="101">
          <cell r="K101">
            <v>875</v>
          </cell>
          <cell r="M101" t="str">
            <v>Intiqal</v>
          </cell>
          <cell r="N101" t="str">
            <v>Not Available</v>
          </cell>
          <cell r="O101">
            <v>8</v>
          </cell>
          <cell r="P101">
            <v>0</v>
          </cell>
          <cell r="Q101">
            <v>0</v>
          </cell>
          <cell r="R101">
            <v>64000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X101" t="str">
            <v>Sardar M Shareef</v>
          </cell>
        </row>
        <row r="102">
          <cell r="K102">
            <v>878</v>
          </cell>
          <cell r="M102" t="str">
            <v>Intiqal</v>
          </cell>
          <cell r="N102" t="str">
            <v>Not Available</v>
          </cell>
          <cell r="O102">
            <v>2</v>
          </cell>
          <cell r="P102">
            <v>8</v>
          </cell>
          <cell r="Q102">
            <v>0</v>
          </cell>
          <cell r="R102">
            <v>12000</v>
          </cell>
          <cell r="S102">
            <v>0</v>
          </cell>
          <cell r="T102">
            <v>10</v>
          </cell>
          <cell r="U102">
            <v>9</v>
          </cell>
          <cell r="V102">
            <v>2</v>
          </cell>
          <cell r="X102" t="str">
            <v>Sardar M Shareef</v>
          </cell>
        </row>
        <row r="103">
          <cell r="K103">
            <v>879</v>
          </cell>
          <cell r="M103" t="str">
            <v>Intiqal</v>
          </cell>
          <cell r="N103" t="str">
            <v>Not Available</v>
          </cell>
          <cell r="O103">
            <v>5</v>
          </cell>
          <cell r="P103">
            <v>10</v>
          </cell>
          <cell r="Q103">
            <v>2</v>
          </cell>
          <cell r="R103">
            <v>52000</v>
          </cell>
          <cell r="S103">
            <v>0</v>
          </cell>
          <cell r="T103">
            <v>-3</v>
          </cell>
          <cell r="U103">
            <v>-2</v>
          </cell>
          <cell r="V103">
            <v>-2</v>
          </cell>
          <cell r="X103" t="str">
            <v>Sardar M Shareef</v>
          </cell>
        </row>
        <row r="104">
          <cell r="K104">
            <v>759</v>
          </cell>
          <cell r="M104" t="str">
            <v>Intiqal</v>
          </cell>
          <cell r="N104" t="str">
            <v>Not Available</v>
          </cell>
          <cell r="O104">
            <v>4</v>
          </cell>
          <cell r="P104">
            <v>19</v>
          </cell>
          <cell r="Q104">
            <v>0</v>
          </cell>
          <cell r="R104">
            <v>44515</v>
          </cell>
          <cell r="S104">
            <v>0</v>
          </cell>
          <cell r="T104">
            <v>1</v>
          </cell>
          <cell r="U104">
            <v>-9</v>
          </cell>
          <cell r="V104">
            <v>2</v>
          </cell>
          <cell r="X104" t="str">
            <v>Sardar M Shareef</v>
          </cell>
        </row>
        <row r="105">
          <cell r="K105">
            <v>752</v>
          </cell>
          <cell r="M105" t="str">
            <v>Intiqal</v>
          </cell>
          <cell r="N105" t="str">
            <v>Not Available</v>
          </cell>
          <cell r="O105">
            <v>5</v>
          </cell>
          <cell r="P105">
            <v>0</v>
          </cell>
          <cell r="Q105">
            <v>0</v>
          </cell>
          <cell r="R105">
            <v>35000</v>
          </cell>
          <cell r="S105">
            <v>0</v>
          </cell>
          <cell r="T105">
            <v>8</v>
          </cell>
          <cell r="U105">
            <v>0</v>
          </cell>
          <cell r="V105">
            <v>0</v>
          </cell>
          <cell r="X105" t="str">
            <v>Sardar M Shareef</v>
          </cell>
        </row>
        <row r="106">
          <cell r="K106">
            <v>755</v>
          </cell>
          <cell r="M106" t="str">
            <v>Intiqal</v>
          </cell>
          <cell r="N106" t="str">
            <v>Not Available</v>
          </cell>
          <cell r="O106">
            <v>0</v>
          </cell>
          <cell r="P106">
            <v>6</v>
          </cell>
          <cell r="Q106">
            <v>0</v>
          </cell>
          <cell r="R106">
            <v>0</v>
          </cell>
          <cell r="S106">
            <v>0</v>
          </cell>
          <cell r="T106">
            <v>5</v>
          </cell>
          <cell r="U106">
            <v>-6</v>
          </cell>
          <cell r="V106">
            <v>0</v>
          </cell>
          <cell r="X106" t="str">
            <v>Sardar M Shareef</v>
          </cell>
        </row>
        <row r="107">
          <cell r="K107">
            <v>750</v>
          </cell>
          <cell r="M107" t="str">
            <v>Intiqal</v>
          </cell>
          <cell r="N107" t="str">
            <v>Not Available</v>
          </cell>
          <cell r="O107">
            <v>7</v>
          </cell>
          <cell r="P107">
            <v>14</v>
          </cell>
          <cell r="Q107">
            <v>0</v>
          </cell>
          <cell r="R107">
            <v>45200</v>
          </cell>
          <cell r="S107">
            <v>0</v>
          </cell>
          <cell r="T107">
            <v>-7</v>
          </cell>
          <cell r="U107">
            <v>-8</v>
          </cell>
          <cell r="V107">
            <v>0</v>
          </cell>
          <cell r="X107" t="str">
            <v>Sardar M Shareef</v>
          </cell>
        </row>
        <row r="108">
          <cell r="K108">
            <v>4841</v>
          </cell>
          <cell r="M108" t="str">
            <v>Intiqal</v>
          </cell>
          <cell r="N108" t="str">
            <v>Not Available</v>
          </cell>
          <cell r="O108">
            <v>2</v>
          </cell>
          <cell r="P108">
            <v>8</v>
          </cell>
          <cell r="Q108">
            <v>0</v>
          </cell>
          <cell r="R108">
            <v>18600</v>
          </cell>
          <cell r="S108">
            <v>0</v>
          </cell>
          <cell r="T108">
            <v>12</v>
          </cell>
          <cell r="U108">
            <v>4</v>
          </cell>
          <cell r="V108">
            <v>3</v>
          </cell>
          <cell r="X108" t="str">
            <v>Sardar M Sagheer Khan</v>
          </cell>
        </row>
        <row r="109">
          <cell r="K109">
            <v>4838</v>
          </cell>
          <cell r="M109" t="str">
            <v>Intiqal</v>
          </cell>
          <cell r="N109" t="str">
            <v>Not Available</v>
          </cell>
          <cell r="O109">
            <v>0</v>
          </cell>
          <cell r="P109">
            <v>6</v>
          </cell>
          <cell r="Q109">
            <v>7</v>
          </cell>
          <cell r="R109">
            <v>900</v>
          </cell>
          <cell r="S109">
            <v>0</v>
          </cell>
          <cell r="T109">
            <v>2</v>
          </cell>
          <cell r="U109">
            <v>2</v>
          </cell>
          <cell r="V109">
            <v>-7</v>
          </cell>
          <cell r="X109" t="str">
            <v>Sardar M Sagheer Khan</v>
          </cell>
        </row>
        <row r="110">
          <cell r="K110">
            <v>4837</v>
          </cell>
          <cell r="M110" t="str">
            <v>Intiqal</v>
          </cell>
          <cell r="N110" t="str">
            <v>Not Available</v>
          </cell>
          <cell r="O110">
            <v>4</v>
          </cell>
          <cell r="P110">
            <v>8</v>
          </cell>
          <cell r="Q110">
            <v>5</v>
          </cell>
          <cell r="R110">
            <v>21000</v>
          </cell>
          <cell r="S110">
            <v>0</v>
          </cell>
          <cell r="T110">
            <v>-4</v>
          </cell>
          <cell r="U110">
            <v>-2</v>
          </cell>
          <cell r="V110">
            <v>2</v>
          </cell>
          <cell r="X110" t="str">
            <v>Sardar M Sagheer Khan</v>
          </cell>
        </row>
        <row r="111">
          <cell r="K111">
            <v>4819</v>
          </cell>
          <cell r="M111" t="str">
            <v>Intiqal</v>
          </cell>
          <cell r="N111" t="str">
            <v>Not Available</v>
          </cell>
          <cell r="O111">
            <v>7</v>
          </cell>
          <cell r="P111">
            <v>9</v>
          </cell>
          <cell r="Q111">
            <v>0</v>
          </cell>
          <cell r="R111">
            <v>43500</v>
          </cell>
          <cell r="S111">
            <v>0</v>
          </cell>
          <cell r="T111">
            <v>-3</v>
          </cell>
          <cell r="U111">
            <v>-1</v>
          </cell>
          <cell r="V111">
            <v>5</v>
          </cell>
          <cell r="X111" t="str">
            <v>Sardar M Sagheer Khan</v>
          </cell>
        </row>
        <row r="112">
          <cell r="K112">
            <v>8814</v>
          </cell>
          <cell r="M112" t="str">
            <v>Intiqal</v>
          </cell>
          <cell r="N112" t="str">
            <v>Registry</v>
          </cell>
          <cell r="O112">
            <v>45</v>
          </cell>
          <cell r="P112">
            <v>3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X112" t="str">
            <v>Sardar M Sagheer Khan</v>
          </cell>
          <cell r="Y112">
            <v>45006</v>
          </cell>
        </row>
        <row r="113">
          <cell r="K113">
            <v>4945</v>
          </cell>
          <cell r="M113" t="str">
            <v>Intiqal</v>
          </cell>
          <cell r="N113" t="str">
            <v>Not Available</v>
          </cell>
          <cell r="O113">
            <v>5</v>
          </cell>
          <cell r="P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26</v>
          </cell>
          <cell r="U113">
            <v>9</v>
          </cell>
          <cell r="V113">
            <v>1</v>
          </cell>
          <cell r="X113" t="str">
            <v>Sardar M Shareef</v>
          </cell>
        </row>
        <row r="114">
          <cell r="K114">
            <v>4859</v>
          </cell>
          <cell r="M114" t="str">
            <v>Intiqal</v>
          </cell>
          <cell r="N114" t="str">
            <v>Not Available</v>
          </cell>
          <cell r="O114">
            <v>6</v>
          </cell>
          <cell r="P114">
            <v>12</v>
          </cell>
          <cell r="Q114">
            <v>0</v>
          </cell>
          <cell r="R114">
            <v>53000</v>
          </cell>
          <cell r="S114">
            <v>0</v>
          </cell>
          <cell r="T114">
            <v>-1</v>
          </cell>
          <cell r="U114">
            <v>-11</v>
          </cell>
          <cell r="V114">
            <v>0</v>
          </cell>
          <cell r="X114" t="str">
            <v>Sardar M Sagheer Khan</v>
          </cell>
        </row>
        <row r="115">
          <cell r="K115">
            <v>4944</v>
          </cell>
          <cell r="M115" t="str">
            <v>Intiqal</v>
          </cell>
          <cell r="N115" t="str">
            <v>Not Available</v>
          </cell>
          <cell r="O115">
            <v>19</v>
          </cell>
          <cell r="P115">
            <v>17</v>
          </cell>
          <cell r="Q115">
            <v>1</v>
          </cell>
          <cell r="R115">
            <v>135983</v>
          </cell>
          <cell r="S115">
            <v>0</v>
          </cell>
          <cell r="T115">
            <v>-13</v>
          </cell>
          <cell r="U115">
            <v>-5</v>
          </cell>
          <cell r="V115">
            <v>-1</v>
          </cell>
          <cell r="X115" t="str">
            <v>Sardar M Shareef</v>
          </cell>
        </row>
        <row r="116">
          <cell r="K116">
            <v>5030</v>
          </cell>
          <cell r="M116" t="str">
            <v>Intiqal</v>
          </cell>
          <cell r="N116" t="str">
            <v>Not Available</v>
          </cell>
          <cell r="O116">
            <v>1</v>
          </cell>
          <cell r="P116">
            <v>9</v>
          </cell>
          <cell r="Q116">
            <v>0</v>
          </cell>
          <cell r="R116">
            <v>0</v>
          </cell>
          <cell r="S116">
            <v>0</v>
          </cell>
          <cell r="T116">
            <v>46</v>
          </cell>
          <cell r="U116">
            <v>5</v>
          </cell>
          <cell r="V116">
            <v>5</v>
          </cell>
          <cell r="X116" t="str">
            <v>Sardar M Sagheer Khan</v>
          </cell>
        </row>
        <row r="117">
          <cell r="K117">
            <v>5014</v>
          </cell>
          <cell r="M117" t="str">
            <v>Intiqal</v>
          </cell>
          <cell r="N117" t="str">
            <v>Not Available</v>
          </cell>
          <cell r="O117">
            <v>2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-1</v>
          </cell>
          <cell r="U117">
            <v>9</v>
          </cell>
          <cell r="V117">
            <v>0</v>
          </cell>
          <cell r="X117" t="str">
            <v>Sardar M Sagheer Khan</v>
          </cell>
        </row>
        <row r="118">
          <cell r="K118">
            <v>5013</v>
          </cell>
          <cell r="M118" t="str">
            <v>Intiqal</v>
          </cell>
          <cell r="N118" t="str">
            <v>Not Available</v>
          </cell>
          <cell r="O118">
            <v>1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</v>
          </cell>
          <cell r="U118">
            <v>0</v>
          </cell>
          <cell r="V118">
            <v>0</v>
          </cell>
          <cell r="X118" t="str">
            <v>Sardar M Sagheer Khan</v>
          </cell>
        </row>
        <row r="119">
          <cell r="K119">
            <v>5012</v>
          </cell>
          <cell r="M119" t="str">
            <v>Intiqal</v>
          </cell>
          <cell r="N119" t="str">
            <v>Not Available</v>
          </cell>
          <cell r="O119">
            <v>4</v>
          </cell>
          <cell r="P119">
            <v>17</v>
          </cell>
          <cell r="Q119">
            <v>4</v>
          </cell>
          <cell r="R119">
            <v>0</v>
          </cell>
          <cell r="S119">
            <v>0</v>
          </cell>
          <cell r="T119">
            <v>-3</v>
          </cell>
          <cell r="U119">
            <v>-17</v>
          </cell>
          <cell r="V119">
            <v>-4</v>
          </cell>
          <cell r="X119" t="str">
            <v>Sardar M Sagheer Khan</v>
          </cell>
        </row>
        <row r="120">
          <cell r="K120">
            <v>5011</v>
          </cell>
          <cell r="M120" t="str">
            <v>Intiqal</v>
          </cell>
          <cell r="N120" t="str">
            <v>Not Available</v>
          </cell>
          <cell r="O120">
            <v>15</v>
          </cell>
          <cell r="P120">
            <v>3</v>
          </cell>
          <cell r="Q120">
            <v>7</v>
          </cell>
          <cell r="R120">
            <v>280619</v>
          </cell>
          <cell r="S120">
            <v>0</v>
          </cell>
          <cell r="T120">
            <v>-11</v>
          </cell>
          <cell r="U120">
            <v>14</v>
          </cell>
          <cell r="V120">
            <v>-3</v>
          </cell>
          <cell r="X120" t="str">
            <v>Sardar M Sagheer Khan</v>
          </cell>
        </row>
        <row r="121">
          <cell r="K121">
            <v>5010</v>
          </cell>
          <cell r="M121" t="str">
            <v>Intiqal</v>
          </cell>
          <cell r="N121" t="str">
            <v>Not Available</v>
          </cell>
          <cell r="O121">
            <v>3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12</v>
          </cell>
          <cell r="U121">
            <v>3</v>
          </cell>
          <cell r="V121">
            <v>7</v>
          </cell>
          <cell r="X121" t="str">
            <v>Sardar M Sagheer Khan</v>
          </cell>
        </row>
        <row r="122">
          <cell r="K122">
            <v>5009</v>
          </cell>
          <cell r="M122" t="str">
            <v>Intiqal</v>
          </cell>
          <cell r="N122" t="str">
            <v>Not Available</v>
          </cell>
          <cell r="O122">
            <v>3</v>
          </cell>
          <cell r="P122">
            <v>4</v>
          </cell>
          <cell r="Q122">
            <v>3</v>
          </cell>
          <cell r="R122">
            <v>0</v>
          </cell>
          <cell r="S122">
            <v>0</v>
          </cell>
          <cell r="T122">
            <v>0</v>
          </cell>
          <cell r="U122">
            <v>-4</v>
          </cell>
          <cell r="V122">
            <v>-3</v>
          </cell>
          <cell r="X122" t="str">
            <v>Sardar M Sagheer Khan</v>
          </cell>
        </row>
        <row r="123">
          <cell r="K123">
            <v>5008</v>
          </cell>
          <cell r="M123" t="str">
            <v>Intiqal</v>
          </cell>
          <cell r="N123" t="str">
            <v>Not Available</v>
          </cell>
          <cell r="O123">
            <v>8</v>
          </cell>
          <cell r="P123">
            <v>10</v>
          </cell>
          <cell r="Q123">
            <v>0</v>
          </cell>
          <cell r="R123">
            <v>0</v>
          </cell>
          <cell r="S123">
            <v>0</v>
          </cell>
          <cell r="T123">
            <v>-5</v>
          </cell>
          <cell r="U123">
            <v>-6</v>
          </cell>
          <cell r="V123">
            <v>3</v>
          </cell>
          <cell r="X123" t="str">
            <v>Sardar M Sagheer Khan</v>
          </cell>
        </row>
        <row r="124">
          <cell r="K124">
            <v>5007</v>
          </cell>
          <cell r="M124" t="str">
            <v>Intiqal</v>
          </cell>
          <cell r="N124" t="str">
            <v>Not Available</v>
          </cell>
          <cell r="O124">
            <v>1</v>
          </cell>
          <cell r="P124">
            <v>10</v>
          </cell>
          <cell r="Q124">
            <v>0</v>
          </cell>
          <cell r="R124">
            <v>0</v>
          </cell>
          <cell r="S124">
            <v>0</v>
          </cell>
          <cell r="T124">
            <v>7</v>
          </cell>
          <cell r="U124">
            <v>0</v>
          </cell>
          <cell r="V124">
            <v>0</v>
          </cell>
          <cell r="X124" t="str">
            <v>Sardar M Sagheer Khan</v>
          </cell>
        </row>
        <row r="125">
          <cell r="K125">
            <v>5006</v>
          </cell>
          <cell r="M125" t="str">
            <v>Intiqal</v>
          </cell>
          <cell r="N125" t="str">
            <v>Not Available</v>
          </cell>
          <cell r="O125">
            <v>7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-6</v>
          </cell>
          <cell r="U125">
            <v>10</v>
          </cell>
          <cell r="V125">
            <v>0</v>
          </cell>
          <cell r="X125" t="str">
            <v>Sardar M Sagheer Khan</v>
          </cell>
        </row>
        <row r="126">
          <cell r="K126">
            <v>786</v>
          </cell>
          <cell r="M126" t="str">
            <v>Intiqal</v>
          </cell>
          <cell r="N126" t="str">
            <v>Not Available</v>
          </cell>
          <cell r="O126">
            <v>5</v>
          </cell>
          <cell r="P126">
            <v>0</v>
          </cell>
          <cell r="Q126">
            <v>0</v>
          </cell>
          <cell r="R126">
            <v>21000</v>
          </cell>
          <cell r="S126">
            <v>0</v>
          </cell>
          <cell r="T126">
            <v>10</v>
          </cell>
          <cell r="U126">
            <v>0</v>
          </cell>
          <cell r="V126">
            <v>0</v>
          </cell>
          <cell r="X126" t="str">
            <v>Sardar M Shareef</v>
          </cell>
        </row>
        <row r="127">
          <cell r="K127">
            <v>784</v>
          </cell>
          <cell r="M127" t="str">
            <v>Intiqal</v>
          </cell>
          <cell r="N127" t="str">
            <v>Not Available</v>
          </cell>
          <cell r="O127">
            <v>4</v>
          </cell>
          <cell r="P127">
            <v>13</v>
          </cell>
          <cell r="Q127">
            <v>0</v>
          </cell>
          <cell r="R127">
            <v>51784</v>
          </cell>
          <cell r="S127">
            <v>0</v>
          </cell>
          <cell r="T127">
            <v>1</v>
          </cell>
          <cell r="U127">
            <v>-13</v>
          </cell>
          <cell r="V127">
            <v>0</v>
          </cell>
          <cell r="X127" t="str">
            <v>Sardar M Shareef</v>
          </cell>
        </row>
        <row r="128">
          <cell r="K128">
            <v>1112</v>
          </cell>
          <cell r="M128" t="str">
            <v>Intiqal</v>
          </cell>
          <cell r="N128" t="str">
            <v>Not Available</v>
          </cell>
          <cell r="O128">
            <v>1</v>
          </cell>
          <cell r="P128">
            <v>0</v>
          </cell>
          <cell r="Q128">
            <v>0</v>
          </cell>
          <cell r="R128">
            <v>26200</v>
          </cell>
          <cell r="S128">
            <v>0</v>
          </cell>
          <cell r="T128">
            <v>3</v>
          </cell>
          <cell r="U128">
            <v>13</v>
          </cell>
          <cell r="V128">
            <v>0</v>
          </cell>
          <cell r="X128" t="str">
            <v>Sardar M Shareef</v>
          </cell>
        </row>
        <row r="129">
          <cell r="K129">
            <v>1087</v>
          </cell>
          <cell r="M129" t="str">
            <v>Intiqal</v>
          </cell>
          <cell r="N129" t="str">
            <v>Not Available</v>
          </cell>
          <cell r="O129">
            <v>4</v>
          </cell>
          <cell r="P129">
            <v>7</v>
          </cell>
          <cell r="Q129">
            <v>0</v>
          </cell>
          <cell r="R129">
            <v>100400</v>
          </cell>
          <cell r="S129">
            <v>0</v>
          </cell>
          <cell r="T129">
            <v>-3</v>
          </cell>
          <cell r="U129">
            <v>-7</v>
          </cell>
          <cell r="V129">
            <v>0</v>
          </cell>
          <cell r="X129" t="str">
            <v>Sardar M Shareef</v>
          </cell>
        </row>
        <row r="130">
          <cell r="K130">
            <v>4967</v>
          </cell>
          <cell r="M130" t="str">
            <v>Intiqal</v>
          </cell>
          <cell r="N130" t="str">
            <v>Not Available</v>
          </cell>
          <cell r="O130">
            <v>2</v>
          </cell>
          <cell r="P130">
            <v>1</v>
          </cell>
          <cell r="Q130">
            <v>8</v>
          </cell>
          <cell r="R130">
            <v>3767</v>
          </cell>
          <cell r="S130">
            <v>0</v>
          </cell>
          <cell r="T130">
            <v>111</v>
          </cell>
          <cell r="U130">
            <v>5</v>
          </cell>
          <cell r="V130">
            <v>-3</v>
          </cell>
          <cell r="X130" t="str">
            <v>Sardar M Sagheer Khan</v>
          </cell>
        </row>
        <row r="131">
          <cell r="K131">
            <v>5176</v>
          </cell>
          <cell r="M131" t="str">
            <v>Intiqal</v>
          </cell>
          <cell r="N131" t="str">
            <v>Not Available</v>
          </cell>
          <cell r="O131">
            <v>1</v>
          </cell>
          <cell r="P131">
            <v>19</v>
          </cell>
          <cell r="Q131">
            <v>6</v>
          </cell>
          <cell r="R131">
            <v>8117</v>
          </cell>
          <cell r="S131">
            <v>0</v>
          </cell>
          <cell r="T131">
            <v>1</v>
          </cell>
          <cell r="U131">
            <v>-18</v>
          </cell>
          <cell r="V131">
            <v>2</v>
          </cell>
          <cell r="X131" t="str">
            <v>Sardar M Sagheer Khan</v>
          </cell>
        </row>
        <row r="132">
          <cell r="K132">
            <v>5175</v>
          </cell>
          <cell r="M132" t="str">
            <v>Intiqal</v>
          </cell>
          <cell r="N132" t="str">
            <v>Not Available</v>
          </cell>
          <cell r="O132">
            <v>0</v>
          </cell>
          <cell r="P132">
            <v>18</v>
          </cell>
          <cell r="Q132">
            <v>0</v>
          </cell>
          <cell r="R132">
            <v>12017</v>
          </cell>
          <cell r="S132">
            <v>0</v>
          </cell>
          <cell r="T132">
            <v>1</v>
          </cell>
          <cell r="U132">
            <v>1</v>
          </cell>
          <cell r="V132">
            <v>6</v>
          </cell>
          <cell r="X132" t="str">
            <v>Sardar M Sagheer Khan</v>
          </cell>
        </row>
        <row r="133">
          <cell r="K133">
            <v>5126</v>
          </cell>
          <cell r="M133" t="str">
            <v>Intiqal</v>
          </cell>
          <cell r="N133" t="str">
            <v>Not Available</v>
          </cell>
          <cell r="O133">
            <v>8</v>
          </cell>
          <cell r="P133">
            <v>12</v>
          </cell>
          <cell r="Q133">
            <v>3</v>
          </cell>
          <cell r="R133">
            <v>73517</v>
          </cell>
          <cell r="S133">
            <v>0</v>
          </cell>
          <cell r="T133">
            <v>-8</v>
          </cell>
          <cell r="U133">
            <v>6</v>
          </cell>
          <cell r="V133">
            <v>-3</v>
          </cell>
          <cell r="X133" t="str">
            <v>Sardar M Shareef</v>
          </cell>
        </row>
        <row r="134">
          <cell r="K134">
            <v>5088</v>
          </cell>
          <cell r="M134" t="str">
            <v>Intiqal</v>
          </cell>
          <cell r="N134" t="str">
            <v>Not Available</v>
          </cell>
          <cell r="O134">
            <v>39</v>
          </cell>
          <cell r="P134">
            <v>14</v>
          </cell>
          <cell r="Q134">
            <v>0</v>
          </cell>
          <cell r="R134">
            <v>272684</v>
          </cell>
          <cell r="S134">
            <v>0</v>
          </cell>
          <cell r="T134">
            <v>-31</v>
          </cell>
          <cell r="U134">
            <v>-2</v>
          </cell>
          <cell r="V134">
            <v>3</v>
          </cell>
          <cell r="X134" t="str">
            <v>Sardar M Sagheer Khan</v>
          </cell>
        </row>
        <row r="135">
          <cell r="K135">
            <v>5087</v>
          </cell>
          <cell r="M135" t="str">
            <v>Intiqal</v>
          </cell>
          <cell r="N135" t="str">
            <v>Not Available</v>
          </cell>
          <cell r="O135">
            <v>58</v>
          </cell>
          <cell r="P135">
            <v>15</v>
          </cell>
          <cell r="Q135">
            <v>5</v>
          </cell>
          <cell r="R135">
            <v>467043</v>
          </cell>
          <cell r="S135">
            <v>0</v>
          </cell>
          <cell r="T135">
            <v>-19</v>
          </cell>
          <cell r="U135">
            <v>-1</v>
          </cell>
          <cell r="V135">
            <v>-5</v>
          </cell>
          <cell r="X135" t="str">
            <v>Sardar M Sagheer Khan</v>
          </cell>
        </row>
        <row r="136">
          <cell r="K136">
            <v>5031</v>
          </cell>
          <cell r="M136" t="str">
            <v>Intiqal</v>
          </cell>
          <cell r="N136" t="str">
            <v>Not Available</v>
          </cell>
          <cell r="O136">
            <v>1</v>
          </cell>
          <cell r="P136">
            <v>5</v>
          </cell>
          <cell r="Q136">
            <v>1</v>
          </cell>
          <cell r="R136">
            <v>0</v>
          </cell>
          <cell r="S136">
            <v>0</v>
          </cell>
          <cell r="T136">
            <v>57</v>
          </cell>
          <cell r="U136">
            <v>10</v>
          </cell>
          <cell r="V136">
            <v>4</v>
          </cell>
          <cell r="X136" t="str">
            <v>Sardar M Sagheer Khan</v>
          </cell>
        </row>
        <row r="137">
          <cell r="K137" t="str">
            <v>9075(11056)</v>
          </cell>
          <cell r="M137" t="str">
            <v>Intiqal</v>
          </cell>
          <cell r="N137" t="str">
            <v>Not Available</v>
          </cell>
          <cell r="O137">
            <v>12</v>
          </cell>
          <cell r="P137">
            <v>4</v>
          </cell>
          <cell r="Q137">
            <v>0</v>
          </cell>
          <cell r="R137">
            <v>96000</v>
          </cell>
          <cell r="S137">
            <v>0</v>
          </cell>
          <cell r="T137">
            <v>15</v>
          </cell>
          <cell r="U137">
            <v>5</v>
          </cell>
          <cell r="V137">
            <v>0</v>
          </cell>
          <cell r="X137" t="str">
            <v>Noor Wahid</v>
          </cell>
        </row>
        <row r="138">
          <cell r="K138" t="str">
            <v>9008(11056)</v>
          </cell>
          <cell r="M138" t="str">
            <v>Intiqal</v>
          </cell>
          <cell r="N138" t="str">
            <v>Not Available</v>
          </cell>
          <cell r="O138">
            <v>15</v>
          </cell>
          <cell r="P138">
            <v>5</v>
          </cell>
          <cell r="Q138">
            <v>0</v>
          </cell>
          <cell r="R138">
            <v>453000</v>
          </cell>
          <cell r="S138">
            <v>0</v>
          </cell>
          <cell r="T138">
            <v>-3</v>
          </cell>
          <cell r="U138">
            <v>-1</v>
          </cell>
          <cell r="V138">
            <v>0</v>
          </cell>
          <cell r="X138" t="str">
            <v>Noor Wahid</v>
          </cell>
        </row>
        <row r="139">
          <cell r="K139">
            <v>966</v>
          </cell>
          <cell r="M139" t="str">
            <v>Intiqal</v>
          </cell>
          <cell r="N139" t="str">
            <v>Not Available</v>
          </cell>
          <cell r="O139">
            <v>0</v>
          </cell>
          <cell r="P139">
            <v>6</v>
          </cell>
          <cell r="Q139">
            <v>0</v>
          </cell>
          <cell r="R139">
            <v>12500</v>
          </cell>
          <cell r="S139">
            <v>0</v>
          </cell>
          <cell r="T139">
            <v>4</v>
          </cell>
          <cell r="U139">
            <v>-5</v>
          </cell>
          <cell r="V139">
            <v>0</v>
          </cell>
          <cell r="X139" t="str">
            <v>Sardar Tanveer Ilyas</v>
          </cell>
        </row>
        <row r="140">
          <cell r="K140">
            <v>965</v>
          </cell>
          <cell r="M140" t="str">
            <v>Intiqal</v>
          </cell>
          <cell r="N140" t="str">
            <v>Not Available</v>
          </cell>
          <cell r="O140">
            <v>3</v>
          </cell>
          <cell r="P140">
            <v>15</v>
          </cell>
          <cell r="Q140">
            <v>0</v>
          </cell>
          <cell r="R140">
            <v>69000</v>
          </cell>
          <cell r="S140">
            <v>0</v>
          </cell>
          <cell r="T140">
            <v>-3</v>
          </cell>
          <cell r="U140">
            <v>-9</v>
          </cell>
          <cell r="V140">
            <v>0</v>
          </cell>
          <cell r="X140" t="str">
            <v>Sardar Tanveer Ilyas</v>
          </cell>
        </row>
        <row r="141">
          <cell r="K141">
            <v>969</v>
          </cell>
          <cell r="M141" t="str">
            <v>Intiqal</v>
          </cell>
          <cell r="N141" t="str">
            <v>Not Available</v>
          </cell>
          <cell r="O141">
            <v>4</v>
          </cell>
          <cell r="P141">
            <v>18</v>
          </cell>
          <cell r="Q141">
            <v>0</v>
          </cell>
          <cell r="R141">
            <v>101000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X141" t="str">
            <v>Sardar Tanveer Ilyas</v>
          </cell>
        </row>
        <row r="142">
          <cell r="K142">
            <v>972</v>
          </cell>
          <cell r="M142" t="str">
            <v>Intiqal</v>
          </cell>
          <cell r="N142" t="str">
            <v>Not Available</v>
          </cell>
          <cell r="O142">
            <v>4</v>
          </cell>
          <cell r="P142">
            <v>1</v>
          </cell>
          <cell r="Q142">
            <v>4.5</v>
          </cell>
          <cell r="R142">
            <v>64800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X142" t="str">
            <v>Sardar Tanveer Ilyas</v>
          </cell>
        </row>
        <row r="143">
          <cell r="K143">
            <v>9854</v>
          </cell>
          <cell r="M143" t="str">
            <v>Intiqal</v>
          </cell>
          <cell r="N143" t="str">
            <v>Not Available</v>
          </cell>
          <cell r="O143">
            <v>0</v>
          </cell>
          <cell r="P143">
            <v>16</v>
          </cell>
          <cell r="Q143">
            <v>0</v>
          </cell>
          <cell r="R143">
            <v>300000</v>
          </cell>
          <cell r="S143">
            <v>0</v>
          </cell>
          <cell r="T143">
            <v>8</v>
          </cell>
          <cell r="U143">
            <v>0</v>
          </cell>
          <cell r="V143">
            <v>0</v>
          </cell>
          <cell r="X143" t="str">
            <v>Sardar Tanveer Ilyas</v>
          </cell>
        </row>
        <row r="144">
          <cell r="K144" t="str">
            <v>9106(11056)</v>
          </cell>
          <cell r="M144" t="str">
            <v>Intiqal</v>
          </cell>
          <cell r="N144" t="str">
            <v>Not Available</v>
          </cell>
          <cell r="O144">
            <v>6</v>
          </cell>
          <cell r="P144">
            <v>0</v>
          </cell>
          <cell r="Q144">
            <v>0</v>
          </cell>
          <cell r="R144">
            <v>120000</v>
          </cell>
          <cell r="S144">
            <v>0</v>
          </cell>
          <cell r="T144">
            <v>-6</v>
          </cell>
          <cell r="U144">
            <v>16</v>
          </cell>
          <cell r="V144">
            <v>0</v>
          </cell>
          <cell r="X144" t="str">
            <v>Noor Wahid</v>
          </cell>
        </row>
        <row r="145">
          <cell r="K145" t="str">
            <v>9071(11056)</v>
          </cell>
          <cell r="M145" t="str">
            <v>Intiqal</v>
          </cell>
          <cell r="N145" t="str">
            <v>Not Available</v>
          </cell>
          <cell r="O145">
            <v>2</v>
          </cell>
          <cell r="P145">
            <v>0</v>
          </cell>
          <cell r="Q145">
            <v>0</v>
          </cell>
          <cell r="R145">
            <v>80000</v>
          </cell>
          <cell r="S145">
            <v>0</v>
          </cell>
          <cell r="T145">
            <v>4</v>
          </cell>
          <cell r="U145">
            <v>0</v>
          </cell>
          <cell r="V145">
            <v>0</v>
          </cell>
          <cell r="X145" t="str">
            <v>Noor Wahid</v>
          </cell>
        </row>
        <row r="146">
          <cell r="K146">
            <v>9164</v>
          </cell>
          <cell r="M146" t="str">
            <v>Intiqal</v>
          </cell>
          <cell r="N146" t="str">
            <v>Not Available</v>
          </cell>
          <cell r="O146">
            <v>2</v>
          </cell>
          <cell r="P146">
            <v>16</v>
          </cell>
          <cell r="Q146">
            <v>1</v>
          </cell>
          <cell r="R146">
            <v>74000</v>
          </cell>
          <cell r="S146">
            <v>0</v>
          </cell>
          <cell r="T146">
            <v>0</v>
          </cell>
          <cell r="U146">
            <v>0</v>
          </cell>
          <cell r="V146">
            <v>-1</v>
          </cell>
          <cell r="X146" t="str">
            <v>Noor Wahid</v>
          </cell>
        </row>
        <row r="147">
          <cell r="K147">
            <v>9654</v>
          </cell>
          <cell r="M147" t="str">
            <v>Intiqal</v>
          </cell>
          <cell r="N147" t="str">
            <v>Not Available</v>
          </cell>
          <cell r="O147">
            <v>0</v>
          </cell>
          <cell r="P147">
            <v>6</v>
          </cell>
          <cell r="Q147">
            <v>3</v>
          </cell>
          <cell r="R147">
            <v>215000</v>
          </cell>
          <cell r="S147">
            <v>0</v>
          </cell>
          <cell r="T147">
            <v>30</v>
          </cell>
          <cell r="U147">
            <v>-6</v>
          </cell>
          <cell r="V147">
            <v>-3</v>
          </cell>
          <cell r="X147" t="str">
            <v>Sardar Tanveer Ilyas</v>
          </cell>
        </row>
        <row r="148">
          <cell r="K148">
            <v>9653</v>
          </cell>
          <cell r="M148" t="str">
            <v>Intiqal</v>
          </cell>
          <cell r="N148" t="str">
            <v>Not Available</v>
          </cell>
          <cell r="O148">
            <v>4</v>
          </cell>
          <cell r="P148">
            <v>4</v>
          </cell>
          <cell r="Q148">
            <v>6</v>
          </cell>
          <cell r="R148">
            <v>182300</v>
          </cell>
          <cell r="S148">
            <v>0</v>
          </cell>
          <cell r="T148">
            <v>-4</v>
          </cell>
          <cell r="U148">
            <v>2</v>
          </cell>
          <cell r="V148">
            <v>-3</v>
          </cell>
          <cell r="X148" t="str">
            <v>Sardar Tanveer Ilyas</v>
          </cell>
        </row>
        <row r="149">
          <cell r="K149">
            <v>9652</v>
          </cell>
          <cell r="M149" t="str">
            <v>Intiqal</v>
          </cell>
          <cell r="N149" t="str">
            <v>Not Available</v>
          </cell>
          <cell r="O149">
            <v>25</v>
          </cell>
          <cell r="P149">
            <v>9</v>
          </cell>
          <cell r="Q149">
            <v>0</v>
          </cell>
          <cell r="R149">
            <v>546900</v>
          </cell>
          <cell r="S149">
            <v>0</v>
          </cell>
          <cell r="T149">
            <v>-21</v>
          </cell>
          <cell r="U149">
            <v>-5</v>
          </cell>
          <cell r="V149">
            <v>6</v>
          </cell>
          <cell r="X149" t="str">
            <v>Sardar Tanveer Ilyas</v>
          </cell>
        </row>
        <row r="150">
          <cell r="K150">
            <v>10168</v>
          </cell>
          <cell r="M150" t="str">
            <v>Intiqal</v>
          </cell>
          <cell r="N150" t="str">
            <v>Not Available</v>
          </cell>
          <cell r="O150">
            <v>1</v>
          </cell>
          <cell r="P150">
            <v>7</v>
          </cell>
          <cell r="Q150">
            <v>0</v>
          </cell>
          <cell r="R150">
            <v>117300</v>
          </cell>
          <cell r="S150">
            <v>0</v>
          </cell>
          <cell r="T150">
            <v>4</v>
          </cell>
          <cell r="U150">
            <v>-7</v>
          </cell>
          <cell r="V150">
            <v>0</v>
          </cell>
          <cell r="X150" t="str">
            <v>Sardar Tanveer Ilyas</v>
          </cell>
        </row>
        <row r="151">
          <cell r="K151">
            <v>10167</v>
          </cell>
          <cell r="M151" t="str">
            <v>Intiqal</v>
          </cell>
          <cell r="N151" t="str">
            <v>Not Available</v>
          </cell>
          <cell r="O151">
            <v>2</v>
          </cell>
          <cell r="P151">
            <v>12</v>
          </cell>
          <cell r="Q151">
            <v>7</v>
          </cell>
          <cell r="R151">
            <v>96300</v>
          </cell>
          <cell r="S151">
            <v>0</v>
          </cell>
          <cell r="T151">
            <v>-1</v>
          </cell>
          <cell r="U151">
            <v>-5</v>
          </cell>
          <cell r="V151">
            <v>-7</v>
          </cell>
          <cell r="X151" t="str">
            <v>Sardar Tanveer Ilyas</v>
          </cell>
        </row>
        <row r="152">
          <cell r="K152">
            <v>10098</v>
          </cell>
          <cell r="M152" t="str">
            <v>Intiqal</v>
          </cell>
          <cell r="N152" t="str">
            <v>Not Available</v>
          </cell>
          <cell r="O152">
            <v>1</v>
          </cell>
          <cell r="P152">
            <v>0</v>
          </cell>
          <cell r="Q152">
            <v>2</v>
          </cell>
          <cell r="R152">
            <v>30700</v>
          </cell>
          <cell r="S152">
            <v>0</v>
          </cell>
          <cell r="T152">
            <v>1</v>
          </cell>
          <cell r="U152">
            <v>12</v>
          </cell>
          <cell r="V152">
            <v>5</v>
          </cell>
          <cell r="X152" t="str">
            <v>Sardar Tanveer Ilyas</v>
          </cell>
        </row>
        <row r="153">
          <cell r="K153">
            <v>9514</v>
          </cell>
          <cell r="M153" t="str">
            <v>Intiqal</v>
          </cell>
          <cell r="N153" t="str">
            <v>Not Available</v>
          </cell>
          <cell r="O153">
            <v>2</v>
          </cell>
          <cell r="P153">
            <v>10</v>
          </cell>
          <cell r="Q153">
            <v>0</v>
          </cell>
          <cell r="R153">
            <v>54000</v>
          </cell>
          <cell r="S153">
            <v>25000</v>
          </cell>
          <cell r="T153">
            <v>0</v>
          </cell>
          <cell r="U153">
            <v>0</v>
          </cell>
          <cell r="V153">
            <v>0</v>
          </cell>
          <cell r="X153" t="str">
            <v>Sardar Tanveer Ilyas</v>
          </cell>
        </row>
        <row r="154">
          <cell r="K154">
            <v>10520</v>
          </cell>
          <cell r="M154" t="str">
            <v>Intiqal</v>
          </cell>
          <cell r="N154" t="str">
            <v>Not Available</v>
          </cell>
          <cell r="O154">
            <v>0</v>
          </cell>
          <cell r="P154">
            <v>13</v>
          </cell>
          <cell r="Q154">
            <v>3</v>
          </cell>
          <cell r="R154">
            <v>82800</v>
          </cell>
          <cell r="S154">
            <v>0</v>
          </cell>
          <cell r="T154">
            <v>4</v>
          </cell>
          <cell r="U154">
            <v>2</v>
          </cell>
          <cell r="V154">
            <v>2</v>
          </cell>
          <cell r="X154" t="str">
            <v>Sardar Tanveer Ilyas</v>
          </cell>
        </row>
        <row r="155">
          <cell r="K155">
            <v>10519</v>
          </cell>
          <cell r="M155" t="str">
            <v>Intiqal</v>
          </cell>
          <cell r="N155" t="str">
            <v>Not Available</v>
          </cell>
          <cell r="O155">
            <v>2</v>
          </cell>
          <cell r="P155">
            <v>11</v>
          </cell>
          <cell r="Q155">
            <v>7</v>
          </cell>
          <cell r="R155">
            <v>141300</v>
          </cell>
          <cell r="S155">
            <v>500000</v>
          </cell>
          <cell r="T155">
            <v>-2</v>
          </cell>
          <cell r="U155">
            <v>2</v>
          </cell>
          <cell r="V155">
            <v>-4</v>
          </cell>
          <cell r="X155" t="str">
            <v>Sardar Tanveer Ilyas</v>
          </cell>
        </row>
        <row r="156">
          <cell r="K156">
            <v>10518</v>
          </cell>
          <cell r="M156" t="str">
            <v>Intiqal</v>
          </cell>
          <cell r="N156" t="str">
            <v>Not Available</v>
          </cell>
          <cell r="O156">
            <v>1</v>
          </cell>
          <cell r="P156">
            <v>10</v>
          </cell>
          <cell r="Q156">
            <v>4</v>
          </cell>
          <cell r="R156">
            <v>223800</v>
          </cell>
          <cell r="S156">
            <v>0</v>
          </cell>
          <cell r="T156">
            <v>1</v>
          </cell>
          <cell r="U156">
            <v>1</v>
          </cell>
          <cell r="V156">
            <v>3</v>
          </cell>
          <cell r="X156" t="str">
            <v>Sardar Tanveer Ilyas</v>
          </cell>
        </row>
        <row r="157">
          <cell r="K157">
            <v>10654</v>
          </cell>
          <cell r="M157" t="str">
            <v>Intiqal</v>
          </cell>
          <cell r="N157" t="str">
            <v>Not Available</v>
          </cell>
          <cell r="O157">
            <v>6</v>
          </cell>
          <cell r="P157">
            <v>15</v>
          </cell>
          <cell r="Q157">
            <v>0</v>
          </cell>
          <cell r="R157">
            <v>288500</v>
          </cell>
          <cell r="S157">
            <v>0</v>
          </cell>
          <cell r="T157">
            <v>1</v>
          </cell>
          <cell r="U157">
            <v>-1</v>
          </cell>
          <cell r="V157">
            <v>2</v>
          </cell>
          <cell r="X157" t="str">
            <v>Sardar Tanveer Ilyas</v>
          </cell>
        </row>
        <row r="158">
          <cell r="K158">
            <v>10653</v>
          </cell>
          <cell r="M158" t="str">
            <v>Intiqal</v>
          </cell>
          <cell r="N158" t="str">
            <v>Not Available</v>
          </cell>
          <cell r="O158">
            <v>0</v>
          </cell>
          <cell r="P158">
            <v>19</v>
          </cell>
          <cell r="Q158">
            <v>2</v>
          </cell>
          <cell r="R158">
            <v>0</v>
          </cell>
          <cell r="S158">
            <v>0</v>
          </cell>
          <cell r="T158">
            <v>6</v>
          </cell>
          <cell r="U158">
            <v>-4</v>
          </cell>
          <cell r="V158">
            <v>-2</v>
          </cell>
          <cell r="X158" t="str">
            <v>Sardar Tanveer Ilyas</v>
          </cell>
        </row>
        <row r="159">
          <cell r="K159">
            <v>9853</v>
          </cell>
          <cell r="M159" t="str">
            <v>Intiqal</v>
          </cell>
          <cell r="N159" t="str">
            <v>Not Available</v>
          </cell>
          <cell r="O159">
            <v>13</v>
          </cell>
          <cell r="P159">
            <v>14</v>
          </cell>
          <cell r="Q159">
            <v>0</v>
          </cell>
          <cell r="R159">
            <v>511500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X159" t="str">
            <v>Sardar Tanveer Ilyas</v>
          </cell>
        </row>
        <row r="160">
          <cell r="K160">
            <v>9459</v>
          </cell>
          <cell r="M160" t="str">
            <v>Intiqal</v>
          </cell>
          <cell r="N160" t="str">
            <v>Not Available</v>
          </cell>
          <cell r="O160">
            <v>5</v>
          </cell>
          <cell r="P160">
            <v>10</v>
          </cell>
          <cell r="Q160">
            <v>1.5</v>
          </cell>
          <cell r="R160">
            <v>129000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X160" t="str">
            <v>Sardar Tanveer Ilyas</v>
          </cell>
        </row>
        <row r="161">
          <cell r="K161" t="str">
            <v>9108(11056)</v>
          </cell>
          <cell r="M161" t="str">
            <v>Intiqal</v>
          </cell>
          <cell r="N161" t="str">
            <v>Not Available</v>
          </cell>
          <cell r="O161">
            <v>3</v>
          </cell>
          <cell r="P161">
            <v>8</v>
          </cell>
          <cell r="Q161">
            <v>0</v>
          </cell>
          <cell r="R161">
            <v>91000</v>
          </cell>
          <cell r="S161">
            <v>0</v>
          </cell>
          <cell r="T161">
            <v>1</v>
          </cell>
          <cell r="U161">
            <v>0</v>
          </cell>
          <cell r="V161">
            <v>0</v>
          </cell>
          <cell r="X161" t="str">
            <v>Noor Wahid</v>
          </cell>
        </row>
        <row r="162">
          <cell r="K162">
            <v>9107</v>
          </cell>
          <cell r="M162" t="str">
            <v>Intiqal</v>
          </cell>
          <cell r="N162" t="str">
            <v>Not Available</v>
          </cell>
          <cell r="O162">
            <v>1</v>
          </cell>
          <cell r="P162">
            <v>0</v>
          </cell>
          <cell r="Q162">
            <v>0</v>
          </cell>
          <cell r="R162">
            <v>16000</v>
          </cell>
          <cell r="S162">
            <v>0</v>
          </cell>
          <cell r="T162">
            <v>2</v>
          </cell>
          <cell r="U162">
            <v>8</v>
          </cell>
          <cell r="V162">
            <v>0</v>
          </cell>
          <cell r="X162" t="str">
            <v>Noor Wahid</v>
          </cell>
        </row>
        <row r="163">
          <cell r="K163">
            <v>1252</v>
          </cell>
          <cell r="M163" t="str">
            <v>Intiqal</v>
          </cell>
          <cell r="N163" t="str">
            <v>Not Available</v>
          </cell>
          <cell r="O163">
            <v>0</v>
          </cell>
          <cell r="P163">
            <v>12</v>
          </cell>
          <cell r="Q163">
            <v>5</v>
          </cell>
          <cell r="R163">
            <v>0</v>
          </cell>
          <cell r="S163">
            <v>0</v>
          </cell>
          <cell r="T163">
            <v>1</v>
          </cell>
          <cell r="U163">
            <v>6</v>
          </cell>
          <cell r="V163">
            <v>-5</v>
          </cell>
          <cell r="X163" t="str">
            <v>Sardar Tanveer Ilyas</v>
          </cell>
        </row>
        <row r="164">
          <cell r="K164">
            <v>1222</v>
          </cell>
          <cell r="M164" t="str">
            <v>Intiqal</v>
          </cell>
          <cell r="N164" t="str">
            <v>Not Available</v>
          </cell>
          <cell r="O164">
            <v>0</v>
          </cell>
          <cell r="P164">
            <v>5</v>
          </cell>
          <cell r="Q164">
            <v>4</v>
          </cell>
          <cell r="R164">
            <v>0</v>
          </cell>
          <cell r="S164">
            <v>0</v>
          </cell>
          <cell r="T164">
            <v>0</v>
          </cell>
          <cell r="U164">
            <v>7</v>
          </cell>
          <cell r="V164">
            <v>1</v>
          </cell>
          <cell r="X164" t="str">
            <v>Sardar Tanveer Ilyas</v>
          </cell>
        </row>
        <row r="165">
          <cell r="K165">
            <v>1207</v>
          </cell>
          <cell r="M165" t="str">
            <v>Intiqal</v>
          </cell>
          <cell r="N165" t="str">
            <v>Not Available</v>
          </cell>
          <cell r="O165">
            <v>0</v>
          </cell>
          <cell r="P165">
            <v>4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1</v>
          </cell>
          <cell r="V165">
            <v>4</v>
          </cell>
          <cell r="X165" t="str">
            <v>Sardar Tanveer Ilyas</v>
          </cell>
        </row>
        <row r="166">
          <cell r="K166">
            <v>1196</v>
          </cell>
          <cell r="M166" t="str">
            <v>Intiqal</v>
          </cell>
          <cell r="N166" t="str">
            <v>Not Available</v>
          </cell>
          <cell r="O166">
            <v>0</v>
          </cell>
          <cell r="P166">
            <v>14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-10</v>
          </cell>
          <cell r="V166">
            <v>0</v>
          </cell>
          <cell r="X166" t="str">
            <v>Sardar Tanveer Ilyas</v>
          </cell>
        </row>
        <row r="167">
          <cell r="K167">
            <v>1179</v>
          </cell>
          <cell r="M167" t="str">
            <v>Intiqal</v>
          </cell>
          <cell r="N167" t="str">
            <v>Not Available</v>
          </cell>
          <cell r="O167">
            <v>0</v>
          </cell>
          <cell r="P167">
            <v>2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12</v>
          </cell>
          <cell r="V167">
            <v>0</v>
          </cell>
          <cell r="X167" t="str">
            <v>Sardar Tanveer Ilyas</v>
          </cell>
        </row>
        <row r="168">
          <cell r="K168" t="str">
            <v>Khasra 1742</v>
          </cell>
          <cell r="M168" t="str">
            <v>Not Available</v>
          </cell>
          <cell r="N168" t="str">
            <v>Not Available</v>
          </cell>
          <cell r="O168">
            <v>1</v>
          </cell>
          <cell r="P168">
            <v>16</v>
          </cell>
          <cell r="Q168">
            <v>0</v>
          </cell>
          <cell r="R168">
            <v>0</v>
          </cell>
          <cell r="S168">
            <v>0</v>
          </cell>
          <cell r="T168">
            <v>13</v>
          </cell>
          <cell r="U168">
            <v>-11</v>
          </cell>
          <cell r="V168">
            <v>8</v>
          </cell>
        </row>
        <row r="169">
          <cell r="K169">
            <v>11353</v>
          </cell>
          <cell r="M169" t="str">
            <v>Intiqal</v>
          </cell>
          <cell r="N169" t="str">
            <v>Not Available</v>
          </cell>
          <cell r="O169">
            <v>0</v>
          </cell>
          <cell r="P169">
            <v>19</v>
          </cell>
          <cell r="Q169">
            <v>1</v>
          </cell>
          <cell r="R169">
            <v>0</v>
          </cell>
          <cell r="S169">
            <v>0</v>
          </cell>
          <cell r="T169">
            <v>1</v>
          </cell>
          <cell r="U169">
            <v>-3</v>
          </cell>
          <cell r="V169">
            <v>-1</v>
          </cell>
          <cell r="X169" t="str">
            <v>Sardar Tanveer Ilyas</v>
          </cell>
        </row>
        <row r="170">
          <cell r="K170">
            <v>10441</v>
          </cell>
          <cell r="M170" t="str">
            <v>Intiqal</v>
          </cell>
          <cell r="N170" t="str">
            <v>Not Available</v>
          </cell>
          <cell r="O170">
            <v>1</v>
          </cell>
          <cell r="P170">
            <v>17</v>
          </cell>
          <cell r="Q170">
            <v>0</v>
          </cell>
          <cell r="R170">
            <v>0</v>
          </cell>
          <cell r="S170">
            <v>0</v>
          </cell>
          <cell r="T170">
            <v>-1</v>
          </cell>
          <cell r="U170">
            <v>2</v>
          </cell>
          <cell r="V170">
            <v>1</v>
          </cell>
          <cell r="X170" t="str">
            <v>Sardar Tanveer Ilyas</v>
          </cell>
        </row>
        <row r="171">
          <cell r="K171">
            <v>10391</v>
          </cell>
          <cell r="M171" t="str">
            <v>Intiqal</v>
          </cell>
          <cell r="N171" t="str">
            <v>Not Available</v>
          </cell>
          <cell r="O171">
            <v>0</v>
          </cell>
          <cell r="P171">
            <v>4</v>
          </cell>
          <cell r="Q171">
            <v>0</v>
          </cell>
          <cell r="R171">
            <v>0</v>
          </cell>
          <cell r="S171">
            <v>0</v>
          </cell>
          <cell r="T171">
            <v>1</v>
          </cell>
          <cell r="U171">
            <v>13</v>
          </cell>
          <cell r="V171">
            <v>0</v>
          </cell>
          <cell r="X171" t="str">
            <v>Sardar Tanveer Ilyas</v>
          </cell>
        </row>
        <row r="172">
          <cell r="K172">
            <v>9408</v>
          </cell>
          <cell r="M172" t="str">
            <v>Intiqal</v>
          </cell>
          <cell r="N172" t="str">
            <v>Not Available</v>
          </cell>
          <cell r="O172">
            <v>0</v>
          </cell>
          <cell r="P172">
            <v>14</v>
          </cell>
          <cell r="Q172">
            <v>5</v>
          </cell>
          <cell r="R172">
            <v>0</v>
          </cell>
          <cell r="S172">
            <v>0</v>
          </cell>
          <cell r="T172">
            <v>0</v>
          </cell>
          <cell r="U172">
            <v>-10</v>
          </cell>
          <cell r="V172">
            <v>-5</v>
          </cell>
          <cell r="X172" t="str">
            <v>Sardar Tanveer Ilyas</v>
          </cell>
        </row>
        <row r="173">
          <cell r="K173">
            <v>9409</v>
          </cell>
          <cell r="M173" t="str">
            <v>Intiqal</v>
          </cell>
          <cell r="N173" t="str">
            <v>Not Available</v>
          </cell>
          <cell r="O173">
            <v>0</v>
          </cell>
          <cell r="P173">
            <v>8</v>
          </cell>
          <cell r="Q173">
            <v>6</v>
          </cell>
          <cell r="R173">
            <v>0</v>
          </cell>
          <cell r="S173">
            <v>0</v>
          </cell>
          <cell r="T173">
            <v>0</v>
          </cell>
          <cell r="U173">
            <v>6</v>
          </cell>
          <cell r="V173">
            <v>-1</v>
          </cell>
          <cell r="X173" t="str">
            <v>Sardar Tanveer Ilyas</v>
          </cell>
        </row>
        <row r="174">
          <cell r="K174">
            <v>10225</v>
          </cell>
          <cell r="M174" t="str">
            <v>Intiqal</v>
          </cell>
          <cell r="N174" t="str">
            <v>Not Available</v>
          </cell>
          <cell r="O174">
            <v>0</v>
          </cell>
          <cell r="P174">
            <v>18</v>
          </cell>
          <cell r="Q174">
            <v>8</v>
          </cell>
          <cell r="R174">
            <v>0</v>
          </cell>
          <cell r="S174">
            <v>0</v>
          </cell>
          <cell r="T174">
            <v>0</v>
          </cell>
          <cell r="U174">
            <v>-10</v>
          </cell>
          <cell r="V174">
            <v>-2</v>
          </cell>
          <cell r="X174" t="str">
            <v>Sardar Tanveer Ilyas</v>
          </cell>
        </row>
        <row r="175">
          <cell r="K175">
            <v>10288</v>
          </cell>
          <cell r="M175" t="str">
            <v>Intiqal</v>
          </cell>
          <cell r="N175" t="str">
            <v>Not Available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-1</v>
          </cell>
          <cell r="U175">
            <v>18</v>
          </cell>
          <cell r="V175">
            <v>8</v>
          </cell>
          <cell r="X175" t="str">
            <v>Sardar Tanveer Ilyas</v>
          </cell>
        </row>
        <row r="176">
          <cell r="K176">
            <v>10289</v>
          </cell>
          <cell r="M176" t="str">
            <v>Intiqal</v>
          </cell>
          <cell r="N176" t="str">
            <v>Not Available</v>
          </cell>
          <cell r="O176">
            <v>0</v>
          </cell>
          <cell r="P176">
            <v>12</v>
          </cell>
          <cell r="Q176">
            <v>6</v>
          </cell>
          <cell r="R176">
            <v>0</v>
          </cell>
          <cell r="S176">
            <v>0</v>
          </cell>
          <cell r="T176">
            <v>1</v>
          </cell>
          <cell r="U176">
            <v>-12</v>
          </cell>
          <cell r="V176">
            <v>-6</v>
          </cell>
          <cell r="X176" t="str">
            <v>Sardar Tanveer Ilyas</v>
          </cell>
        </row>
        <row r="177">
          <cell r="K177">
            <v>10291</v>
          </cell>
          <cell r="M177" t="str">
            <v>Intiqal</v>
          </cell>
          <cell r="N177" t="str">
            <v>Not Available</v>
          </cell>
          <cell r="O177">
            <v>0</v>
          </cell>
          <cell r="P177">
            <v>5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7</v>
          </cell>
          <cell r="V177">
            <v>6</v>
          </cell>
          <cell r="X177" t="str">
            <v>Sardar Tanveer Ilyas</v>
          </cell>
        </row>
        <row r="178">
          <cell r="K178">
            <v>10574</v>
          </cell>
          <cell r="M178" t="str">
            <v>Intiqal</v>
          </cell>
          <cell r="N178" t="str">
            <v>Not Available</v>
          </cell>
          <cell r="O178">
            <v>0</v>
          </cell>
          <cell r="P178">
            <v>12</v>
          </cell>
          <cell r="Q178">
            <v>3</v>
          </cell>
          <cell r="R178">
            <v>0</v>
          </cell>
          <cell r="S178">
            <v>0</v>
          </cell>
          <cell r="T178">
            <v>0</v>
          </cell>
          <cell r="U178">
            <v>-7</v>
          </cell>
          <cell r="V178">
            <v>-3</v>
          </cell>
          <cell r="X178" t="str">
            <v>Sardar Tanveer Ilyas</v>
          </cell>
        </row>
        <row r="179">
          <cell r="K179">
            <v>10576</v>
          </cell>
          <cell r="M179" t="str">
            <v>Intiqal</v>
          </cell>
          <cell r="N179" t="str">
            <v>Not Available</v>
          </cell>
          <cell r="O179">
            <v>0</v>
          </cell>
          <cell r="P179">
            <v>4</v>
          </cell>
          <cell r="Q179">
            <v>6</v>
          </cell>
          <cell r="R179">
            <v>0</v>
          </cell>
          <cell r="S179">
            <v>0</v>
          </cell>
          <cell r="T179">
            <v>0</v>
          </cell>
          <cell r="U179">
            <v>8</v>
          </cell>
          <cell r="V179">
            <v>-3</v>
          </cell>
          <cell r="X179" t="str">
            <v>Sardar Tanveer Ilyas</v>
          </cell>
        </row>
        <row r="180">
          <cell r="K180">
            <v>10668</v>
          </cell>
          <cell r="M180" t="str">
            <v>Intiqal</v>
          </cell>
          <cell r="N180" t="str">
            <v>Not Available</v>
          </cell>
          <cell r="O180">
            <v>0</v>
          </cell>
          <cell r="P180">
            <v>10</v>
          </cell>
          <cell r="Q180">
            <v>7</v>
          </cell>
          <cell r="R180">
            <v>0</v>
          </cell>
          <cell r="S180">
            <v>0</v>
          </cell>
          <cell r="T180">
            <v>0</v>
          </cell>
          <cell r="U180">
            <v>-6</v>
          </cell>
          <cell r="V180">
            <v>-1</v>
          </cell>
          <cell r="X180" t="str">
            <v>Sardar Tanveer Ilyas</v>
          </cell>
        </row>
        <row r="181">
          <cell r="K181">
            <v>10800</v>
          </cell>
          <cell r="M181" t="str">
            <v>Intiqal</v>
          </cell>
          <cell r="N181" t="str">
            <v>Not Available</v>
          </cell>
          <cell r="O181">
            <v>1</v>
          </cell>
          <cell r="P181">
            <v>2</v>
          </cell>
          <cell r="Q181">
            <v>0</v>
          </cell>
          <cell r="R181">
            <v>0</v>
          </cell>
          <cell r="S181">
            <v>0</v>
          </cell>
          <cell r="T181">
            <v>-1</v>
          </cell>
          <cell r="U181">
            <v>8</v>
          </cell>
          <cell r="V181">
            <v>7</v>
          </cell>
          <cell r="X181" t="str">
            <v>Sardar Tanveer Ilyas</v>
          </cell>
        </row>
        <row r="182">
          <cell r="K182">
            <v>10682</v>
          </cell>
          <cell r="M182" t="str">
            <v>Intiqal</v>
          </cell>
          <cell r="N182" t="str">
            <v>Not Available</v>
          </cell>
          <cell r="O182">
            <v>0</v>
          </cell>
          <cell r="P182">
            <v>7</v>
          </cell>
          <cell r="Q182">
            <v>0</v>
          </cell>
          <cell r="R182">
            <v>0</v>
          </cell>
          <cell r="S182">
            <v>0</v>
          </cell>
          <cell r="T182">
            <v>1</v>
          </cell>
          <cell r="U182">
            <v>-5</v>
          </cell>
          <cell r="V182">
            <v>0</v>
          </cell>
          <cell r="X182" t="str">
            <v>Sardar Tanveer Ilyas</v>
          </cell>
        </row>
        <row r="183">
          <cell r="K183">
            <v>10831</v>
          </cell>
          <cell r="M183" t="str">
            <v>Intiqal</v>
          </cell>
          <cell r="N183" t="str">
            <v>Not Available</v>
          </cell>
          <cell r="O183">
            <v>0</v>
          </cell>
          <cell r="P183">
            <v>19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-12</v>
          </cell>
          <cell r="V183">
            <v>0</v>
          </cell>
          <cell r="X183" t="str">
            <v>Sardar Tanveer Ilyas</v>
          </cell>
        </row>
        <row r="184">
          <cell r="K184">
            <v>11071</v>
          </cell>
          <cell r="M184" t="str">
            <v>Intiqal</v>
          </cell>
          <cell r="N184" t="str">
            <v>Not Available</v>
          </cell>
          <cell r="O184">
            <v>0</v>
          </cell>
          <cell r="P184">
            <v>4</v>
          </cell>
          <cell r="Q184">
            <v>2</v>
          </cell>
          <cell r="R184">
            <v>0</v>
          </cell>
          <cell r="S184">
            <v>0</v>
          </cell>
          <cell r="T184">
            <v>0</v>
          </cell>
          <cell r="U184">
            <v>15</v>
          </cell>
          <cell r="V184">
            <v>-2</v>
          </cell>
          <cell r="X184" t="str">
            <v>Sardar Tanveer Ilyas</v>
          </cell>
        </row>
        <row r="185">
          <cell r="K185">
            <v>12153</v>
          </cell>
          <cell r="M185" t="str">
            <v>Intiqal</v>
          </cell>
          <cell r="N185" t="str">
            <v>Not Available</v>
          </cell>
          <cell r="O185">
            <v>1</v>
          </cell>
          <cell r="P185">
            <v>10</v>
          </cell>
          <cell r="Q185">
            <v>0</v>
          </cell>
          <cell r="R185">
            <v>866000</v>
          </cell>
          <cell r="S185">
            <v>150000</v>
          </cell>
          <cell r="T185">
            <v>-1</v>
          </cell>
          <cell r="U185">
            <v>-6</v>
          </cell>
          <cell r="V185">
            <v>2</v>
          </cell>
          <cell r="X185" t="str">
            <v>Sardar Tanveer Ilyas</v>
          </cell>
        </row>
        <row r="186">
          <cell r="K186">
            <v>9426</v>
          </cell>
          <cell r="M186" t="str">
            <v>Intiqal</v>
          </cell>
          <cell r="N186" t="str">
            <v>Not Available</v>
          </cell>
          <cell r="O186">
            <v>7</v>
          </cell>
          <cell r="P186">
            <v>4</v>
          </cell>
          <cell r="Q186">
            <v>0</v>
          </cell>
          <cell r="R186">
            <v>38000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X186" t="str">
            <v>Sardar Tanveer Ilyas</v>
          </cell>
        </row>
        <row r="187">
          <cell r="K187">
            <v>9932</v>
          </cell>
          <cell r="M187" t="str">
            <v>Intiqal</v>
          </cell>
          <cell r="N187" t="str">
            <v>Not Available</v>
          </cell>
          <cell r="O187">
            <v>7</v>
          </cell>
          <cell r="P187">
            <v>13</v>
          </cell>
          <cell r="Q187">
            <v>1</v>
          </cell>
          <cell r="R187">
            <v>423000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X187" t="str">
            <v>Sardar Tanveer Ilyas</v>
          </cell>
        </row>
        <row r="188">
          <cell r="K188">
            <v>9971</v>
          </cell>
          <cell r="M188" t="str">
            <v>Intiqal</v>
          </cell>
          <cell r="N188" t="str">
            <v>Not Available</v>
          </cell>
          <cell r="O188">
            <v>24</v>
          </cell>
          <cell r="P188">
            <v>18</v>
          </cell>
          <cell r="Q188">
            <v>1</v>
          </cell>
          <cell r="R188">
            <v>925000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X188" t="str">
            <v>Sardar Rashid Ilyas Khan</v>
          </cell>
        </row>
        <row r="189">
          <cell r="K189">
            <v>9963</v>
          </cell>
          <cell r="M189" t="str">
            <v>Intiqal</v>
          </cell>
          <cell r="N189" t="str">
            <v>Not Available</v>
          </cell>
          <cell r="O189">
            <v>1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5</v>
          </cell>
          <cell r="U189">
            <v>0</v>
          </cell>
          <cell r="V189">
            <v>3</v>
          </cell>
          <cell r="X189" t="str">
            <v>Sardar Tanveer Ilyas</v>
          </cell>
        </row>
        <row r="190">
          <cell r="K190">
            <v>9962</v>
          </cell>
          <cell r="M190" t="str">
            <v>Intiqal</v>
          </cell>
          <cell r="N190" t="str">
            <v>Not Available</v>
          </cell>
          <cell r="O190">
            <v>5</v>
          </cell>
          <cell r="P190">
            <v>0</v>
          </cell>
          <cell r="Q190">
            <v>3</v>
          </cell>
          <cell r="R190">
            <v>366000</v>
          </cell>
          <cell r="S190">
            <v>282000</v>
          </cell>
          <cell r="T190">
            <v>-4</v>
          </cell>
          <cell r="U190">
            <v>0</v>
          </cell>
          <cell r="V190">
            <v>-3</v>
          </cell>
          <cell r="X190" t="str">
            <v>Sardar Tanveer Ilyas</v>
          </cell>
        </row>
        <row r="191">
          <cell r="K191">
            <v>10024</v>
          </cell>
          <cell r="M191" t="str">
            <v>Intiqal</v>
          </cell>
          <cell r="N191" t="str">
            <v>Not Available</v>
          </cell>
          <cell r="O191">
            <v>4</v>
          </cell>
          <cell r="P191">
            <v>0</v>
          </cell>
          <cell r="Q191">
            <v>0</v>
          </cell>
          <cell r="R191">
            <v>172000</v>
          </cell>
          <cell r="S191">
            <v>200000</v>
          </cell>
          <cell r="T191">
            <v>0</v>
          </cell>
          <cell r="U191">
            <v>0</v>
          </cell>
          <cell r="V191">
            <v>0</v>
          </cell>
          <cell r="X191" t="str">
            <v>Sardar Tanveer Ilyas</v>
          </cell>
        </row>
        <row r="192">
          <cell r="K192">
            <v>10003</v>
          </cell>
          <cell r="M192" t="str">
            <v>Intiqal</v>
          </cell>
          <cell r="N192" t="str">
            <v>Not Available</v>
          </cell>
          <cell r="O192">
            <v>4</v>
          </cell>
          <cell r="P192">
            <v>10</v>
          </cell>
          <cell r="Q192">
            <v>5</v>
          </cell>
          <cell r="R192">
            <v>201000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X192" t="str">
            <v>Sardar Tanveer Ilyas</v>
          </cell>
        </row>
        <row r="193">
          <cell r="K193">
            <v>10016</v>
          </cell>
          <cell r="M193" t="str">
            <v>Intiqal</v>
          </cell>
          <cell r="N193" t="str">
            <v>Not Available</v>
          </cell>
          <cell r="O193">
            <v>2</v>
          </cell>
          <cell r="P193">
            <v>2</v>
          </cell>
          <cell r="Q193">
            <v>0</v>
          </cell>
          <cell r="R193">
            <v>96000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X193" t="str">
            <v>Sardar Tanveer Ilyas</v>
          </cell>
        </row>
        <row r="194">
          <cell r="K194">
            <v>10026</v>
          </cell>
          <cell r="M194" t="str">
            <v>Intiqal</v>
          </cell>
          <cell r="N194" t="str">
            <v>Not Available</v>
          </cell>
          <cell r="O194">
            <v>1</v>
          </cell>
          <cell r="P194">
            <v>14</v>
          </cell>
          <cell r="Q194">
            <v>2</v>
          </cell>
          <cell r="R194">
            <v>115000</v>
          </cell>
          <cell r="S194">
            <v>0</v>
          </cell>
          <cell r="T194">
            <v>5</v>
          </cell>
          <cell r="U194">
            <v>-7</v>
          </cell>
          <cell r="V194">
            <v>0</v>
          </cell>
          <cell r="X194" t="str">
            <v>Sardar Tanveer Ilyas</v>
          </cell>
        </row>
        <row r="195">
          <cell r="K195">
            <v>10025</v>
          </cell>
          <cell r="M195" t="str">
            <v>Intiqal</v>
          </cell>
          <cell r="N195" t="str">
            <v>Not Available</v>
          </cell>
          <cell r="O195">
            <v>4</v>
          </cell>
          <cell r="P195">
            <v>13</v>
          </cell>
          <cell r="Q195">
            <v>0</v>
          </cell>
          <cell r="R195">
            <v>171000</v>
          </cell>
          <cell r="S195">
            <v>0</v>
          </cell>
          <cell r="T195">
            <v>-3</v>
          </cell>
          <cell r="U195">
            <v>1</v>
          </cell>
          <cell r="V195">
            <v>2</v>
          </cell>
          <cell r="X195" t="str">
            <v>Sardar Tanveer Ilyas</v>
          </cell>
        </row>
        <row r="196">
          <cell r="K196">
            <v>10069</v>
          </cell>
          <cell r="M196" t="str">
            <v>Intiqal</v>
          </cell>
          <cell r="N196" t="str">
            <v>Not Available</v>
          </cell>
          <cell r="O196">
            <v>3</v>
          </cell>
          <cell r="P196">
            <v>0</v>
          </cell>
          <cell r="Q196">
            <v>0</v>
          </cell>
          <cell r="R196">
            <v>132300</v>
          </cell>
          <cell r="S196">
            <v>150000</v>
          </cell>
          <cell r="T196">
            <v>0</v>
          </cell>
          <cell r="U196">
            <v>0</v>
          </cell>
          <cell r="V196">
            <v>0</v>
          </cell>
          <cell r="X196" t="str">
            <v>Sardar Tanveer Ilyas</v>
          </cell>
        </row>
        <row r="197">
          <cell r="K197">
            <v>10100</v>
          </cell>
          <cell r="M197" t="str">
            <v>Intiqal</v>
          </cell>
          <cell r="N197" t="str">
            <v>Not Available</v>
          </cell>
          <cell r="O197">
            <v>6</v>
          </cell>
          <cell r="P197">
            <v>0</v>
          </cell>
          <cell r="Q197">
            <v>0</v>
          </cell>
          <cell r="R197">
            <v>222300</v>
          </cell>
          <cell r="S197">
            <v>180000</v>
          </cell>
          <cell r="T197">
            <v>0</v>
          </cell>
          <cell r="U197">
            <v>0</v>
          </cell>
          <cell r="V197">
            <v>0</v>
          </cell>
          <cell r="X197" t="str">
            <v>Sardar Tanveer Ilyas</v>
          </cell>
        </row>
        <row r="198">
          <cell r="K198">
            <v>1090</v>
          </cell>
          <cell r="M198" t="str">
            <v>Intiqal</v>
          </cell>
          <cell r="N198" t="str">
            <v>Not Available</v>
          </cell>
          <cell r="O198">
            <v>8</v>
          </cell>
          <cell r="P198">
            <v>19</v>
          </cell>
          <cell r="Q198">
            <v>0</v>
          </cell>
          <cell r="R198">
            <v>239400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X198" t="str">
            <v>Sardar Tanveer Ilyas</v>
          </cell>
        </row>
        <row r="199">
          <cell r="K199">
            <v>11117</v>
          </cell>
          <cell r="M199" t="str">
            <v>Intiqal</v>
          </cell>
          <cell r="N199" t="str">
            <v>Not Available</v>
          </cell>
          <cell r="O199">
            <v>1</v>
          </cell>
          <cell r="P199">
            <v>10</v>
          </cell>
          <cell r="Q199">
            <v>0</v>
          </cell>
          <cell r="R199">
            <v>99000</v>
          </cell>
          <cell r="S199">
            <v>56250</v>
          </cell>
          <cell r="T199">
            <v>0</v>
          </cell>
          <cell r="U199">
            <v>0</v>
          </cell>
          <cell r="V199">
            <v>0</v>
          </cell>
          <cell r="X199" t="str">
            <v>Sardar Tanveer Ilyas</v>
          </cell>
        </row>
        <row r="200">
          <cell r="K200">
            <v>10194</v>
          </cell>
          <cell r="M200" t="str">
            <v>Intiqal</v>
          </cell>
          <cell r="N200" t="str">
            <v>Not Available</v>
          </cell>
          <cell r="O200">
            <v>9</v>
          </cell>
          <cell r="P200">
            <v>0</v>
          </cell>
          <cell r="Q200">
            <v>0</v>
          </cell>
          <cell r="R200">
            <v>297300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X200" t="str">
            <v>Noor Wahid</v>
          </cell>
        </row>
        <row r="201">
          <cell r="K201">
            <v>10466</v>
          </cell>
          <cell r="M201" t="str">
            <v>Intiqal</v>
          </cell>
          <cell r="N201" t="str">
            <v>Not Available</v>
          </cell>
          <cell r="O201">
            <v>3</v>
          </cell>
          <cell r="P201">
            <v>15</v>
          </cell>
          <cell r="Q201">
            <v>3</v>
          </cell>
          <cell r="R201">
            <v>172300</v>
          </cell>
          <cell r="S201">
            <v>0</v>
          </cell>
          <cell r="T201">
            <v>10</v>
          </cell>
          <cell r="U201">
            <v>1</v>
          </cell>
          <cell r="V201">
            <v>5</v>
          </cell>
          <cell r="X201" t="str">
            <v>Sardar Tanveer Ilyas</v>
          </cell>
        </row>
        <row r="202">
          <cell r="K202">
            <v>10387</v>
          </cell>
          <cell r="M202" t="str">
            <v>Intiqal</v>
          </cell>
          <cell r="N202" t="str">
            <v>Not Available</v>
          </cell>
          <cell r="O202">
            <v>1</v>
          </cell>
          <cell r="P202">
            <v>5</v>
          </cell>
          <cell r="Q202">
            <v>0</v>
          </cell>
          <cell r="R202">
            <v>105300</v>
          </cell>
          <cell r="S202">
            <v>0</v>
          </cell>
          <cell r="T202">
            <v>2</v>
          </cell>
          <cell r="U202">
            <v>10</v>
          </cell>
          <cell r="V202">
            <v>3</v>
          </cell>
          <cell r="X202" t="str">
            <v>Sardar Tanveer Ilyas</v>
          </cell>
        </row>
        <row r="203">
          <cell r="K203">
            <v>10292</v>
          </cell>
          <cell r="M203" t="str">
            <v>Intiqal</v>
          </cell>
          <cell r="N203" t="str">
            <v>Not Available</v>
          </cell>
          <cell r="O203">
            <v>3</v>
          </cell>
          <cell r="P203">
            <v>16</v>
          </cell>
          <cell r="Q203">
            <v>0</v>
          </cell>
          <cell r="R203">
            <v>80000</v>
          </cell>
          <cell r="S203">
            <v>0</v>
          </cell>
          <cell r="T203">
            <v>-2</v>
          </cell>
          <cell r="U203">
            <v>-11</v>
          </cell>
          <cell r="V203">
            <v>0</v>
          </cell>
          <cell r="X203" t="str">
            <v>Sardar Tanveer Ilyas</v>
          </cell>
        </row>
        <row r="204">
          <cell r="K204">
            <v>10261</v>
          </cell>
          <cell r="M204" t="str">
            <v>Intiqal</v>
          </cell>
          <cell r="N204" t="str">
            <v>Not Available</v>
          </cell>
          <cell r="O204">
            <v>5</v>
          </cell>
          <cell r="P204">
            <v>0</v>
          </cell>
          <cell r="Q204">
            <v>5</v>
          </cell>
          <cell r="R204">
            <v>144300</v>
          </cell>
          <cell r="S204">
            <v>0</v>
          </cell>
          <cell r="T204">
            <v>-2</v>
          </cell>
          <cell r="U204">
            <v>16</v>
          </cell>
          <cell r="V204">
            <v>-5</v>
          </cell>
          <cell r="X204" t="str">
            <v>Sardar Tanveer Ilyas</v>
          </cell>
        </row>
        <row r="205">
          <cell r="K205">
            <v>1108</v>
          </cell>
          <cell r="M205" t="str">
            <v>Intiqal</v>
          </cell>
          <cell r="N205" t="str">
            <v>Not Available</v>
          </cell>
          <cell r="O205">
            <v>4</v>
          </cell>
          <cell r="P205">
            <v>16</v>
          </cell>
          <cell r="Q205">
            <v>0</v>
          </cell>
          <cell r="R205">
            <v>193300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X205" t="str">
            <v>Sardar Tanveer Ilyas</v>
          </cell>
        </row>
        <row r="206">
          <cell r="K206">
            <v>10443</v>
          </cell>
          <cell r="M206" t="str">
            <v>Intiqal</v>
          </cell>
          <cell r="N206" t="str">
            <v>Not Available</v>
          </cell>
          <cell r="O206">
            <v>2</v>
          </cell>
          <cell r="P206">
            <v>13</v>
          </cell>
          <cell r="Q206">
            <v>1</v>
          </cell>
          <cell r="R206">
            <v>81800</v>
          </cell>
          <cell r="S206">
            <v>0</v>
          </cell>
          <cell r="T206">
            <v>20</v>
          </cell>
          <cell r="U206">
            <v>-2</v>
          </cell>
          <cell r="V206">
            <v>-1</v>
          </cell>
          <cell r="X206" t="str">
            <v>Sardar Rashid Ilyas Khan</v>
          </cell>
        </row>
        <row r="207">
          <cell r="K207">
            <v>994</v>
          </cell>
          <cell r="M207" t="str">
            <v>Intiqal</v>
          </cell>
          <cell r="N207" t="str">
            <v>Not Available</v>
          </cell>
          <cell r="O207">
            <v>0</v>
          </cell>
          <cell r="P207">
            <v>1</v>
          </cell>
          <cell r="Q207">
            <v>2</v>
          </cell>
          <cell r="R207">
            <v>1500</v>
          </cell>
          <cell r="S207">
            <v>0</v>
          </cell>
          <cell r="T207">
            <v>2</v>
          </cell>
          <cell r="U207">
            <v>12</v>
          </cell>
          <cell r="V207">
            <v>-1</v>
          </cell>
          <cell r="X207" t="str">
            <v>Sardar Rashid Ilyas Khan</v>
          </cell>
        </row>
        <row r="208">
          <cell r="K208">
            <v>10273</v>
          </cell>
          <cell r="M208" t="str">
            <v>Intiqal</v>
          </cell>
          <cell r="N208" t="str">
            <v>Not Available</v>
          </cell>
          <cell r="O208">
            <v>19</v>
          </cell>
          <cell r="P208">
            <v>7</v>
          </cell>
          <cell r="Q208">
            <v>5</v>
          </cell>
          <cell r="R208">
            <v>596300</v>
          </cell>
          <cell r="S208">
            <v>0</v>
          </cell>
          <cell r="T208">
            <v>-19</v>
          </cell>
          <cell r="U208">
            <v>-6</v>
          </cell>
          <cell r="V208">
            <v>-3</v>
          </cell>
          <cell r="X208" t="str">
            <v>Sardar Rashid Ilyas Khan</v>
          </cell>
        </row>
        <row r="209">
          <cell r="K209">
            <v>964</v>
          </cell>
          <cell r="M209" t="str">
            <v>Intiqal</v>
          </cell>
          <cell r="N209" t="str">
            <v>Not Available</v>
          </cell>
          <cell r="O209">
            <v>0</v>
          </cell>
          <cell r="P209">
            <v>9</v>
          </cell>
          <cell r="Q209">
            <v>1</v>
          </cell>
          <cell r="R209">
            <v>170300</v>
          </cell>
          <cell r="S209">
            <v>0</v>
          </cell>
          <cell r="T209">
            <v>19</v>
          </cell>
          <cell r="U209">
            <v>-2</v>
          </cell>
          <cell r="V209">
            <v>4</v>
          </cell>
          <cell r="X209" t="str">
            <v>Sardar Rashid Ilyas Khan</v>
          </cell>
        </row>
        <row r="210">
          <cell r="K210">
            <v>10349</v>
          </cell>
          <cell r="M210" t="str">
            <v>Intiqal</v>
          </cell>
          <cell r="N210" t="str">
            <v>Not Available</v>
          </cell>
          <cell r="O210">
            <v>11</v>
          </cell>
          <cell r="P210">
            <v>13</v>
          </cell>
          <cell r="Q210">
            <v>2</v>
          </cell>
          <cell r="R210">
            <v>665300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X210" t="str">
            <v>Sardar Tanveer Ilyas</v>
          </cell>
        </row>
        <row r="211">
          <cell r="K211">
            <v>10318</v>
          </cell>
          <cell r="M211" t="str">
            <v>Intiqal</v>
          </cell>
          <cell r="N211" t="str">
            <v>Not Available</v>
          </cell>
          <cell r="O211">
            <v>5</v>
          </cell>
          <cell r="P211">
            <v>5</v>
          </cell>
          <cell r="Q211">
            <v>2</v>
          </cell>
          <cell r="R211">
            <v>271300</v>
          </cell>
          <cell r="S211">
            <v>184139</v>
          </cell>
          <cell r="T211">
            <v>0</v>
          </cell>
          <cell r="U211">
            <v>0</v>
          </cell>
          <cell r="V211">
            <v>0</v>
          </cell>
          <cell r="X211" t="str">
            <v>Sardar Tanveer Ilyas</v>
          </cell>
        </row>
        <row r="212">
          <cell r="K212">
            <v>10350</v>
          </cell>
          <cell r="M212" t="str">
            <v>Intiqal</v>
          </cell>
          <cell r="N212" t="str">
            <v>Not Available</v>
          </cell>
          <cell r="O212">
            <v>4</v>
          </cell>
          <cell r="P212">
            <v>18</v>
          </cell>
          <cell r="Q212">
            <v>0</v>
          </cell>
          <cell r="R212">
            <v>260800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X212" t="str">
            <v>Sardar Tanveer Ilyas</v>
          </cell>
        </row>
        <row r="213">
          <cell r="K213">
            <v>10405</v>
          </cell>
          <cell r="M213" t="str">
            <v>Intiqal</v>
          </cell>
          <cell r="N213" t="str">
            <v>Not Available</v>
          </cell>
          <cell r="O213">
            <v>2</v>
          </cell>
          <cell r="P213">
            <v>14</v>
          </cell>
          <cell r="Q213">
            <v>0</v>
          </cell>
          <cell r="R213">
            <v>156400</v>
          </cell>
          <cell r="S213">
            <v>108000</v>
          </cell>
          <cell r="T213">
            <v>0</v>
          </cell>
          <cell r="U213">
            <v>0</v>
          </cell>
          <cell r="V213">
            <v>0</v>
          </cell>
          <cell r="X213" t="str">
            <v>Sardar Tanveer Ilyas</v>
          </cell>
        </row>
        <row r="214">
          <cell r="K214">
            <v>10642</v>
          </cell>
          <cell r="M214" t="str">
            <v>Intiqal</v>
          </cell>
          <cell r="N214" t="str">
            <v>Not Available</v>
          </cell>
          <cell r="O214">
            <v>0</v>
          </cell>
          <cell r="P214">
            <v>5</v>
          </cell>
          <cell r="Q214">
            <v>0</v>
          </cell>
          <cell r="R214">
            <v>23800</v>
          </cell>
          <cell r="S214">
            <v>0</v>
          </cell>
          <cell r="T214">
            <v>6</v>
          </cell>
          <cell r="U214">
            <v>11</v>
          </cell>
          <cell r="V214">
            <v>3</v>
          </cell>
          <cell r="X214" t="str">
            <v>Sardar Tanveer Ilyas</v>
          </cell>
        </row>
        <row r="215">
          <cell r="K215">
            <v>10406</v>
          </cell>
          <cell r="M215" t="str">
            <v>Intiqal</v>
          </cell>
          <cell r="N215" t="str">
            <v>Not Available</v>
          </cell>
          <cell r="O215">
            <v>3</v>
          </cell>
          <cell r="P215">
            <v>0</v>
          </cell>
          <cell r="Q215">
            <v>0</v>
          </cell>
          <cell r="R215">
            <v>144300</v>
          </cell>
          <cell r="S215">
            <v>0</v>
          </cell>
          <cell r="T215">
            <v>-3</v>
          </cell>
          <cell r="U215">
            <v>5</v>
          </cell>
          <cell r="V215">
            <v>0</v>
          </cell>
          <cell r="X215" t="str">
            <v>Sardar Tanveer Ilyas</v>
          </cell>
        </row>
        <row r="216">
          <cell r="K216">
            <v>10408</v>
          </cell>
          <cell r="M216" t="str">
            <v>Intiqal</v>
          </cell>
          <cell r="N216" t="str">
            <v>Not Available</v>
          </cell>
          <cell r="O216">
            <v>0</v>
          </cell>
          <cell r="P216">
            <v>1</v>
          </cell>
          <cell r="Q216">
            <v>3</v>
          </cell>
          <cell r="R216">
            <v>2700</v>
          </cell>
          <cell r="S216">
            <v>0</v>
          </cell>
          <cell r="T216">
            <v>3</v>
          </cell>
          <cell r="U216">
            <v>-1</v>
          </cell>
          <cell r="V216">
            <v>-3</v>
          </cell>
          <cell r="X216" t="str">
            <v>Sardar Tanveer Ilyas</v>
          </cell>
        </row>
        <row r="217">
          <cell r="K217">
            <v>10101</v>
          </cell>
          <cell r="M217" t="str">
            <v>Intiqal</v>
          </cell>
          <cell r="N217" t="str">
            <v>Not Available</v>
          </cell>
          <cell r="O217">
            <v>3</v>
          </cell>
          <cell r="P217">
            <v>10</v>
          </cell>
          <cell r="Q217">
            <v>0</v>
          </cell>
          <cell r="R217">
            <v>170800</v>
          </cell>
          <cell r="S217">
            <v>0</v>
          </cell>
          <cell r="T217">
            <v>-3</v>
          </cell>
          <cell r="U217">
            <v>-9</v>
          </cell>
          <cell r="V217">
            <v>3</v>
          </cell>
          <cell r="X217" t="str">
            <v>Sardar Tanveer Ilyas</v>
          </cell>
        </row>
        <row r="218">
          <cell r="K218">
            <v>10609</v>
          </cell>
          <cell r="M218" t="str">
            <v>Intiqal</v>
          </cell>
          <cell r="N218" t="str">
            <v>Not Available</v>
          </cell>
          <cell r="O218">
            <v>3</v>
          </cell>
          <cell r="P218">
            <v>11</v>
          </cell>
          <cell r="Q218">
            <v>2</v>
          </cell>
          <cell r="R218">
            <v>287000</v>
          </cell>
          <cell r="S218">
            <v>278000</v>
          </cell>
          <cell r="T218">
            <v>3</v>
          </cell>
          <cell r="U218">
            <v>8</v>
          </cell>
          <cell r="V218">
            <v>-2</v>
          </cell>
          <cell r="X218" t="str">
            <v>Sardar Tanveer Ilyas</v>
          </cell>
        </row>
        <row r="219">
          <cell r="K219">
            <v>10546</v>
          </cell>
          <cell r="M219" t="str">
            <v>Intiqal</v>
          </cell>
          <cell r="N219" t="str">
            <v>Not Available</v>
          </cell>
          <cell r="O219">
            <v>2</v>
          </cell>
          <cell r="P219">
            <v>0</v>
          </cell>
          <cell r="Q219">
            <v>7</v>
          </cell>
          <cell r="R219">
            <v>52500</v>
          </cell>
          <cell r="S219">
            <v>0</v>
          </cell>
          <cell r="T219">
            <v>1</v>
          </cell>
          <cell r="U219">
            <v>11</v>
          </cell>
          <cell r="V219">
            <v>-5</v>
          </cell>
          <cell r="X219" t="str">
            <v>Sardar Tanveer Ilyas</v>
          </cell>
        </row>
        <row r="220">
          <cell r="K220">
            <v>10469</v>
          </cell>
          <cell r="M220" t="str">
            <v>Intiqal</v>
          </cell>
          <cell r="N220" t="str">
            <v>Not Available</v>
          </cell>
          <cell r="O220">
            <v>1</v>
          </cell>
          <cell r="P220">
            <v>7</v>
          </cell>
          <cell r="Q220">
            <v>0</v>
          </cell>
          <cell r="R220">
            <v>66300</v>
          </cell>
          <cell r="S220">
            <v>0</v>
          </cell>
          <cell r="T220">
            <v>1</v>
          </cell>
          <cell r="U220">
            <v>-7</v>
          </cell>
          <cell r="V220">
            <v>7</v>
          </cell>
          <cell r="X220" t="str">
            <v>Sardar Tanveer Ilyas</v>
          </cell>
        </row>
        <row r="221">
          <cell r="K221">
            <v>10480</v>
          </cell>
          <cell r="M221" t="str">
            <v>Intiqal</v>
          </cell>
          <cell r="N221" t="str">
            <v>Not Available</v>
          </cell>
          <cell r="O221">
            <v>6</v>
          </cell>
          <cell r="P221">
            <v>0</v>
          </cell>
          <cell r="Q221">
            <v>0</v>
          </cell>
          <cell r="R221">
            <v>480300</v>
          </cell>
          <cell r="S221">
            <v>290000</v>
          </cell>
          <cell r="T221">
            <v>0</v>
          </cell>
          <cell r="U221">
            <v>0</v>
          </cell>
          <cell r="V221">
            <v>0</v>
          </cell>
          <cell r="X221" t="str">
            <v>Sardar Tanveer Ilyas</v>
          </cell>
        </row>
        <row r="222">
          <cell r="K222">
            <v>10587</v>
          </cell>
          <cell r="M222" t="str">
            <v>Intiqal</v>
          </cell>
          <cell r="N222" t="str">
            <v>Not Available</v>
          </cell>
          <cell r="O222">
            <v>1</v>
          </cell>
          <cell r="P222">
            <v>5</v>
          </cell>
          <cell r="Q222">
            <v>4</v>
          </cell>
          <cell r="R222">
            <v>110300</v>
          </cell>
          <cell r="S222">
            <v>0</v>
          </cell>
          <cell r="T222">
            <v>5</v>
          </cell>
          <cell r="U222">
            <v>-2</v>
          </cell>
          <cell r="V222">
            <v>1.5</v>
          </cell>
          <cell r="X222" t="str">
            <v>Sardar Tanveer Ilyas</v>
          </cell>
        </row>
        <row r="223">
          <cell r="K223">
            <v>10586</v>
          </cell>
          <cell r="M223" t="str">
            <v>Intiqal</v>
          </cell>
          <cell r="N223" t="str">
            <v>Not Available</v>
          </cell>
          <cell r="O223">
            <v>3</v>
          </cell>
          <cell r="P223">
            <v>8</v>
          </cell>
          <cell r="Q223">
            <v>7</v>
          </cell>
          <cell r="R223">
            <v>222300</v>
          </cell>
          <cell r="S223">
            <v>0</v>
          </cell>
          <cell r="T223">
            <v>-2</v>
          </cell>
          <cell r="U223">
            <v>-3</v>
          </cell>
          <cell r="V223">
            <v>-3</v>
          </cell>
          <cell r="X223" t="str">
            <v>Sardar Tanveer Ilyas</v>
          </cell>
        </row>
        <row r="224">
          <cell r="K224">
            <v>10584</v>
          </cell>
          <cell r="M224" t="str">
            <v>Intiqal</v>
          </cell>
          <cell r="N224" t="str">
            <v>Not Available</v>
          </cell>
          <cell r="O224">
            <v>0</v>
          </cell>
          <cell r="P224">
            <v>14</v>
          </cell>
          <cell r="Q224">
            <v>4.5</v>
          </cell>
          <cell r="R224">
            <v>24300</v>
          </cell>
          <cell r="S224">
            <v>0</v>
          </cell>
          <cell r="T224">
            <v>3</v>
          </cell>
          <cell r="U224">
            <v>-6</v>
          </cell>
          <cell r="V224">
            <v>2.5</v>
          </cell>
          <cell r="X224" t="str">
            <v>Sardar Tanveer Ilyas</v>
          </cell>
        </row>
        <row r="225">
          <cell r="K225">
            <v>10569</v>
          </cell>
          <cell r="M225" t="str">
            <v>Intiqal</v>
          </cell>
          <cell r="N225" t="str">
            <v>Not Available</v>
          </cell>
          <cell r="O225">
            <v>0</v>
          </cell>
          <cell r="P225">
            <v>8</v>
          </cell>
          <cell r="Q225">
            <v>0</v>
          </cell>
          <cell r="R225">
            <v>20800</v>
          </cell>
          <cell r="S225">
            <v>0</v>
          </cell>
          <cell r="T225">
            <v>0</v>
          </cell>
          <cell r="U225">
            <v>6</v>
          </cell>
          <cell r="V225">
            <v>4.5</v>
          </cell>
          <cell r="X225" t="str">
            <v>Sardar Tanveer Ilyas</v>
          </cell>
        </row>
        <row r="226">
          <cell r="K226">
            <v>10481</v>
          </cell>
          <cell r="M226" t="str">
            <v>Intiqal</v>
          </cell>
          <cell r="N226" t="str">
            <v>Not Available</v>
          </cell>
          <cell r="O226">
            <v>0</v>
          </cell>
          <cell r="P226">
            <v>6</v>
          </cell>
          <cell r="Q226">
            <v>8</v>
          </cell>
          <cell r="R226">
            <v>23600</v>
          </cell>
          <cell r="S226">
            <v>0</v>
          </cell>
          <cell r="T226">
            <v>0</v>
          </cell>
          <cell r="U226">
            <v>2</v>
          </cell>
          <cell r="V226">
            <v>-8</v>
          </cell>
          <cell r="X226" t="str">
            <v>Sardar Tanveer Ilyas</v>
          </cell>
        </row>
        <row r="227">
          <cell r="K227">
            <v>10442</v>
          </cell>
          <cell r="M227" t="str">
            <v>Intiqal</v>
          </cell>
          <cell r="N227" t="str">
            <v>Not Available</v>
          </cell>
          <cell r="O227">
            <v>9</v>
          </cell>
          <cell r="P227">
            <v>1</v>
          </cell>
          <cell r="Q227">
            <v>5</v>
          </cell>
          <cell r="R227">
            <v>446300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X227" t="str">
            <v>Sardar Tanveer Ilyas</v>
          </cell>
        </row>
        <row r="228">
          <cell r="K228">
            <v>10422</v>
          </cell>
          <cell r="M228" t="str">
            <v>Intiqal</v>
          </cell>
          <cell r="N228" t="str">
            <v>Not Available</v>
          </cell>
          <cell r="O228">
            <v>0</v>
          </cell>
          <cell r="P228">
            <v>17</v>
          </cell>
          <cell r="Q228">
            <v>0</v>
          </cell>
          <cell r="R228">
            <v>27500</v>
          </cell>
          <cell r="S228">
            <v>24000</v>
          </cell>
          <cell r="T228">
            <v>2</v>
          </cell>
          <cell r="U228">
            <v>0</v>
          </cell>
          <cell r="V228">
            <v>0</v>
          </cell>
          <cell r="X228" t="str">
            <v>Sardar Tanveer Ilyas</v>
          </cell>
        </row>
        <row r="229">
          <cell r="K229">
            <v>10446</v>
          </cell>
          <cell r="M229" t="str">
            <v>Intiqal</v>
          </cell>
          <cell r="N229" t="str">
            <v>Not Available</v>
          </cell>
          <cell r="O229">
            <v>2</v>
          </cell>
          <cell r="P229">
            <v>0</v>
          </cell>
          <cell r="Q229">
            <v>0</v>
          </cell>
          <cell r="R229">
            <v>98300</v>
          </cell>
          <cell r="S229">
            <v>114000</v>
          </cell>
          <cell r="T229">
            <v>-2</v>
          </cell>
          <cell r="U229">
            <v>17</v>
          </cell>
          <cell r="V229">
            <v>0</v>
          </cell>
          <cell r="X229" t="str">
            <v>Sardar Tanveer Ilyas</v>
          </cell>
        </row>
        <row r="230">
          <cell r="K230">
            <v>10877</v>
          </cell>
          <cell r="M230" t="str">
            <v>Intiqal</v>
          </cell>
          <cell r="N230" t="str">
            <v>Not Available</v>
          </cell>
          <cell r="O230">
            <v>7</v>
          </cell>
          <cell r="P230">
            <v>0</v>
          </cell>
          <cell r="Q230">
            <v>0</v>
          </cell>
          <cell r="R230">
            <v>459500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X230" t="str">
            <v>Sardar Tanveer Ilyas</v>
          </cell>
        </row>
        <row r="231">
          <cell r="K231">
            <v>10486</v>
          </cell>
          <cell r="M231" t="str">
            <v>Intiqal</v>
          </cell>
          <cell r="N231" t="str">
            <v>Not Available</v>
          </cell>
          <cell r="O231">
            <v>21</v>
          </cell>
          <cell r="P231">
            <v>14</v>
          </cell>
          <cell r="Q231">
            <v>8</v>
          </cell>
          <cell r="R231">
            <v>1065300</v>
          </cell>
          <cell r="S231">
            <v>761178</v>
          </cell>
          <cell r="T231">
            <v>0</v>
          </cell>
          <cell r="U231">
            <v>0</v>
          </cell>
          <cell r="V231">
            <v>0</v>
          </cell>
          <cell r="X231" t="str">
            <v>Sardar Tanveer Ilyas</v>
          </cell>
        </row>
        <row r="232">
          <cell r="K232">
            <v>10510</v>
          </cell>
          <cell r="M232" t="str">
            <v>Intiqal</v>
          </cell>
          <cell r="N232" t="str">
            <v>Not Available</v>
          </cell>
          <cell r="O232">
            <v>1</v>
          </cell>
          <cell r="P232">
            <v>5</v>
          </cell>
          <cell r="Q232">
            <v>0</v>
          </cell>
          <cell r="R232">
            <v>60300</v>
          </cell>
          <cell r="S232">
            <v>8000</v>
          </cell>
          <cell r="T232">
            <v>0</v>
          </cell>
          <cell r="U232">
            <v>0</v>
          </cell>
          <cell r="V232">
            <v>0</v>
          </cell>
          <cell r="X232" t="str">
            <v>Sardar Tanveer Ilyas</v>
          </cell>
        </row>
        <row r="233">
          <cell r="K233">
            <v>10570</v>
          </cell>
          <cell r="M233" t="str">
            <v>Intiqal</v>
          </cell>
          <cell r="N233" t="str">
            <v>Not Available</v>
          </cell>
          <cell r="O233">
            <v>2</v>
          </cell>
          <cell r="P233">
            <v>4</v>
          </cell>
          <cell r="Q233">
            <v>0</v>
          </cell>
          <cell r="R233">
            <v>83300</v>
          </cell>
          <cell r="S233">
            <v>55000</v>
          </cell>
          <cell r="T233">
            <v>0</v>
          </cell>
          <cell r="U233">
            <v>0</v>
          </cell>
          <cell r="V233">
            <v>0</v>
          </cell>
          <cell r="X233" t="str">
            <v>Sardar Tanveer Ilyas</v>
          </cell>
        </row>
        <row r="234">
          <cell r="K234">
            <v>10575</v>
          </cell>
          <cell r="M234" t="str">
            <v>Intiqal</v>
          </cell>
          <cell r="N234" t="str">
            <v>Not Available</v>
          </cell>
          <cell r="O234">
            <v>0</v>
          </cell>
          <cell r="P234">
            <v>17</v>
          </cell>
          <cell r="Q234">
            <v>0</v>
          </cell>
          <cell r="R234">
            <v>28300</v>
          </cell>
          <cell r="S234">
            <v>42450</v>
          </cell>
          <cell r="T234">
            <v>1</v>
          </cell>
          <cell r="U234">
            <v>-16</v>
          </cell>
          <cell r="V234">
            <v>2</v>
          </cell>
          <cell r="X234" t="str">
            <v>Sardar Tanveer Ilyas</v>
          </cell>
        </row>
        <row r="235">
          <cell r="K235">
            <v>10571</v>
          </cell>
          <cell r="M235" t="str">
            <v>Intiqal</v>
          </cell>
          <cell r="N235" t="str">
            <v>Not Available</v>
          </cell>
          <cell r="O235">
            <v>0</v>
          </cell>
          <cell r="P235">
            <v>4</v>
          </cell>
          <cell r="Q235">
            <v>2</v>
          </cell>
          <cell r="R235">
            <v>21300</v>
          </cell>
          <cell r="S235">
            <v>0</v>
          </cell>
          <cell r="T235">
            <v>0</v>
          </cell>
          <cell r="U235">
            <v>13</v>
          </cell>
          <cell r="V235">
            <v>-2</v>
          </cell>
          <cell r="X235" t="str">
            <v>Sardar Tanveer Ilyas</v>
          </cell>
        </row>
        <row r="236">
          <cell r="K236">
            <v>10568</v>
          </cell>
          <cell r="M236" t="str">
            <v>Intiqal</v>
          </cell>
          <cell r="N236" t="str">
            <v>Not Available</v>
          </cell>
          <cell r="O236">
            <v>1</v>
          </cell>
          <cell r="P236">
            <v>0</v>
          </cell>
          <cell r="Q236">
            <v>0</v>
          </cell>
          <cell r="R236">
            <v>32800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X236" t="str">
            <v>Sardar Tanveer Ilyas</v>
          </cell>
        </row>
        <row r="237">
          <cell r="K237">
            <v>10585</v>
          </cell>
          <cell r="M237" t="str">
            <v>Intiqal</v>
          </cell>
          <cell r="N237" t="str">
            <v>Not Available</v>
          </cell>
          <cell r="O237">
            <v>4</v>
          </cell>
          <cell r="P237">
            <v>0</v>
          </cell>
          <cell r="Q237">
            <v>0</v>
          </cell>
          <cell r="R237">
            <v>158300</v>
          </cell>
          <cell r="S237">
            <v>100000</v>
          </cell>
          <cell r="T237">
            <v>0</v>
          </cell>
          <cell r="U237">
            <v>0</v>
          </cell>
          <cell r="V237">
            <v>0</v>
          </cell>
          <cell r="X237" t="str">
            <v>Sardar Tanveer Ilyas</v>
          </cell>
        </row>
        <row r="238">
          <cell r="K238">
            <v>10598</v>
          </cell>
          <cell r="M238" t="str">
            <v>Intiqal</v>
          </cell>
          <cell r="N238" t="str">
            <v>Not Available</v>
          </cell>
          <cell r="O238">
            <v>1</v>
          </cell>
          <cell r="P238">
            <v>1</v>
          </cell>
          <cell r="Q238">
            <v>0</v>
          </cell>
          <cell r="R238">
            <v>45800</v>
          </cell>
          <cell r="S238">
            <v>0</v>
          </cell>
          <cell r="T238">
            <v>9</v>
          </cell>
          <cell r="U238">
            <v>-1</v>
          </cell>
          <cell r="V238">
            <v>0</v>
          </cell>
          <cell r="X238" t="str">
            <v>Sardar Tanveer Ilyas</v>
          </cell>
        </row>
        <row r="239">
          <cell r="K239">
            <v>10597</v>
          </cell>
          <cell r="M239" t="str">
            <v>Intiqal</v>
          </cell>
          <cell r="N239" t="str">
            <v>Not Available</v>
          </cell>
          <cell r="O239">
            <v>8</v>
          </cell>
          <cell r="P239">
            <v>19</v>
          </cell>
          <cell r="Q239">
            <v>0</v>
          </cell>
          <cell r="R239">
            <v>569800</v>
          </cell>
          <cell r="S239">
            <v>0</v>
          </cell>
          <cell r="T239">
            <v>-7</v>
          </cell>
          <cell r="U239">
            <v>-18</v>
          </cell>
          <cell r="V239">
            <v>0</v>
          </cell>
          <cell r="X239" t="str">
            <v>Sardar Tanveer Ilyas</v>
          </cell>
        </row>
        <row r="240">
          <cell r="K240">
            <v>10596</v>
          </cell>
          <cell r="M240" t="str">
            <v>Intiqal</v>
          </cell>
          <cell r="N240" t="str">
            <v>Not Available</v>
          </cell>
          <cell r="O240">
            <v>10</v>
          </cell>
          <cell r="P240">
            <v>6</v>
          </cell>
          <cell r="Q240">
            <v>4</v>
          </cell>
          <cell r="R240">
            <v>604300</v>
          </cell>
          <cell r="S240">
            <v>412850</v>
          </cell>
          <cell r="T240">
            <v>0</v>
          </cell>
          <cell r="U240">
            <v>0</v>
          </cell>
          <cell r="V240">
            <v>0</v>
          </cell>
          <cell r="X240" t="str">
            <v>Sardar Tanveer Ilyas</v>
          </cell>
        </row>
        <row r="241">
          <cell r="K241">
            <v>1125</v>
          </cell>
          <cell r="M241" t="str">
            <v>Intiqal</v>
          </cell>
          <cell r="N241" t="str">
            <v>Not Available</v>
          </cell>
          <cell r="O241">
            <v>2</v>
          </cell>
          <cell r="P241">
            <v>0</v>
          </cell>
          <cell r="Q241">
            <v>0</v>
          </cell>
          <cell r="R241">
            <v>101800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X241" t="str">
            <v>Sardar Tanveer Ilyas</v>
          </cell>
        </row>
        <row r="242">
          <cell r="K242">
            <v>10714</v>
          </cell>
          <cell r="M242" t="str">
            <v>Intiqal</v>
          </cell>
          <cell r="N242" t="str">
            <v>Not Available</v>
          </cell>
          <cell r="O242">
            <v>3</v>
          </cell>
          <cell r="P242">
            <v>0</v>
          </cell>
          <cell r="Q242">
            <v>0</v>
          </cell>
          <cell r="R242">
            <v>172800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X242" t="str">
            <v>Sardar Tanveer Ilyas</v>
          </cell>
        </row>
        <row r="243">
          <cell r="K243">
            <v>10629</v>
          </cell>
          <cell r="M243" t="str">
            <v>Intiqal</v>
          </cell>
          <cell r="N243" t="str">
            <v>Not Available</v>
          </cell>
          <cell r="O243">
            <v>6</v>
          </cell>
          <cell r="P243">
            <v>7</v>
          </cell>
          <cell r="Q243">
            <v>6</v>
          </cell>
          <cell r="R243">
            <v>529500</v>
          </cell>
          <cell r="S243">
            <v>996650</v>
          </cell>
          <cell r="T243">
            <v>18</v>
          </cell>
          <cell r="U243">
            <v>11</v>
          </cell>
          <cell r="V243">
            <v>-3</v>
          </cell>
          <cell r="X243" t="str">
            <v>Sardar Tanveer Ilyas</v>
          </cell>
        </row>
        <row r="244">
          <cell r="K244">
            <v>10628</v>
          </cell>
          <cell r="M244" t="str">
            <v>Intiqal</v>
          </cell>
          <cell r="N244" t="str">
            <v>Not Available</v>
          </cell>
          <cell r="O244">
            <v>18</v>
          </cell>
          <cell r="P244">
            <v>10</v>
          </cell>
          <cell r="Q244">
            <v>6</v>
          </cell>
          <cell r="R244">
            <v>895000</v>
          </cell>
          <cell r="S244">
            <v>0</v>
          </cell>
          <cell r="T244">
            <v>-12</v>
          </cell>
          <cell r="U244">
            <v>-3</v>
          </cell>
          <cell r="V244">
            <v>0</v>
          </cell>
          <cell r="X244" t="str">
            <v>Sardar Tanveer Ilyas</v>
          </cell>
        </row>
        <row r="245">
          <cell r="K245">
            <v>10657</v>
          </cell>
          <cell r="M245" t="str">
            <v>Intiqal</v>
          </cell>
          <cell r="N245" t="str">
            <v>Not Available</v>
          </cell>
          <cell r="O245">
            <v>8</v>
          </cell>
          <cell r="P245">
            <v>0</v>
          </cell>
          <cell r="Q245">
            <v>5</v>
          </cell>
          <cell r="R245">
            <v>463440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X245" t="str">
            <v>Sardar Tanveer Ilyas</v>
          </cell>
        </row>
        <row r="246">
          <cell r="K246">
            <v>10644</v>
          </cell>
          <cell r="M246" t="str">
            <v>Intiqal</v>
          </cell>
          <cell r="N246" t="str">
            <v>Not Available</v>
          </cell>
          <cell r="O246">
            <v>1</v>
          </cell>
          <cell r="P246">
            <v>5</v>
          </cell>
          <cell r="Q246">
            <v>0</v>
          </cell>
          <cell r="R246">
            <v>26300</v>
          </cell>
          <cell r="S246">
            <v>0</v>
          </cell>
          <cell r="T246">
            <v>0</v>
          </cell>
          <cell r="U246">
            <v>5</v>
          </cell>
          <cell r="V246">
            <v>0</v>
          </cell>
          <cell r="X246" t="str">
            <v>Sardar Tanveer Ilyas</v>
          </cell>
        </row>
        <row r="247">
          <cell r="K247">
            <v>10643</v>
          </cell>
          <cell r="M247" t="str">
            <v>Intiqal</v>
          </cell>
          <cell r="N247" t="str">
            <v>Not Available</v>
          </cell>
          <cell r="O247">
            <v>0</v>
          </cell>
          <cell r="P247">
            <v>5</v>
          </cell>
          <cell r="Q247">
            <v>0</v>
          </cell>
          <cell r="R247">
            <v>16300</v>
          </cell>
          <cell r="S247">
            <v>0</v>
          </cell>
          <cell r="T247">
            <v>1</v>
          </cell>
          <cell r="U247">
            <v>0</v>
          </cell>
          <cell r="V247">
            <v>0</v>
          </cell>
          <cell r="X247" t="str">
            <v>Sardar Tanveer Ilyas</v>
          </cell>
        </row>
        <row r="248">
          <cell r="K248">
            <v>1135</v>
          </cell>
          <cell r="M248" t="str">
            <v>Intiqal</v>
          </cell>
          <cell r="N248" t="str">
            <v>Not Available</v>
          </cell>
          <cell r="O248">
            <v>6</v>
          </cell>
          <cell r="P248">
            <v>14</v>
          </cell>
          <cell r="Q248">
            <v>0</v>
          </cell>
          <cell r="R248">
            <v>135000</v>
          </cell>
          <cell r="S248">
            <v>0</v>
          </cell>
          <cell r="T248">
            <v>20</v>
          </cell>
          <cell r="U248">
            <v>-9</v>
          </cell>
          <cell r="V248">
            <v>0</v>
          </cell>
          <cell r="X248" t="str">
            <v>Sardar Tanveer Ilyas</v>
          </cell>
        </row>
        <row r="249">
          <cell r="K249">
            <v>1134</v>
          </cell>
          <cell r="M249" t="str">
            <v>Intiqal</v>
          </cell>
          <cell r="N249" t="str">
            <v>Not Available</v>
          </cell>
          <cell r="O249">
            <v>4</v>
          </cell>
          <cell r="P249">
            <v>5</v>
          </cell>
          <cell r="Q249">
            <v>0</v>
          </cell>
          <cell r="R249">
            <v>291500</v>
          </cell>
          <cell r="S249">
            <v>0</v>
          </cell>
          <cell r="T249">
            <v>2</v>
          </cell>
          <cell r="U249">
            <v>9</v>
          </cell>
          <cell r="V249">
            <v>0</v>
          </cell>
          <cell r="X249" t="str">
            <v>Sardar Tanveer Ilyas</v>
          </cell>
        </row>
        <row r="250">
          <cell r="K250">
            <v>1133</v>
          </cell>
          <cell r="M250" t="str">
            <v>Intiqal</v>
          </cell>
          <cell r="N250" t="str">
            <v>Not Available</v>
          </cell>
          <cell r="O250">
            <v>15</v>
          </cell>
          <cell r="P250">
            <v>6</v>
          </cell>
          <cell r="Q250">
            <v>0</v>
          </cell>
          <cell r="R250">
            <v>283000</v>
          </cell>
          <cell r="S250">
            <v>603750</v>
          </cell>
          <cell r="T250">
            <v>-11</v>
          </cell>
          <cell r="U250">
            <v>-1</v>
          </cell>
          <cell r="V250">
            <v>0</v>
          </cell>
          <cell r="X250" t="str">
            <v>Sardar Tanveer Ilyas</v>
          </cell>
        </row>
        <row r="251">
          <cell r="K251">
            <v>10845</v>
          </cell>
          <cell r="M251" t="str">
            <v>Intiqal</v>
          </cell>
          <cell r="N251" t="str">
            <v>Not Available</v>
          </cell>
          <cell r="O251">
            <v>34</v>
          </cell>
          <cell r="P251">
            <v>0</v>
          </cell>
          <cell r="Q251">
            <v>3</v>
          </cell>
          <cell r="R251">
            <v>1520000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X251" t="str">
            <v>Sardar Tanveer Ilyas</v>
          </cell>
        </row>
        <row r="252">
          <cell r="K252">
            <v>10784</v>
          </cell>
          <cell r="M252" t="str">
            <v>Intiqal</v>
          </cell>
          <cell r="N252" t="str">
            <v>Not Available</v>
          </cell>
          <cell r="O252">
            <v>1</v>
          </cell>
          <cell r="P252">
            <v>0</v>
          </cell>
          <cell r="Q252">
            <v>0</v>
          </cell>
          <cell r="R252">
            <v>34000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X252" t="str">
            <v>Sardar Tanveer Ilyas</v>
          </cell>
        </row>
        <row r="253">
          <cell r="K253">
            <v>10775</v>
          </cell>
          <cell r="M253" t="str">
            <v>Intiqal</v>
          </cell>
          <cell r="N253" t="str">
            <v>Not Available</v>
          </cell>
          <cell r="O253">
            <v>1</v>
          </cell>
          <cell r="P253">
            <v>0</v>
          </cell>
          <cell r="Q253">
            <v>7</v>
          </cell>
          <cell r="R253">
            <v>46000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X253" t="str">
            <v>Sardar Tanveer Ilyas</v>
          </cell>
        </row>
        <row r="254">
          <cell r="K254">
            <v>10806</v>
          </cell>
          <cell r="M254" t="str">
            <v>Intiqal</v>
          </cell>
          <cell r="N254" t="str">
            <v>Not Available</v>
          </cell>
          <cell r="O254">
            <v>0</v>
          </cell>
          <cell r="P254">
            <v>18</v>
          </cell>
          <cell r="Q254">
            <v>8</v>
          </cell>
          <cell r="R254">
            <v>41500</v>
          </cell>
          <cell r="S254">
            <v>0</v>
          </cell>
          <cell r="T254">
            <v>3</v>
          </cell>
          <cell r="U254">
            <v>-13</v>
          </cell>
          <cell r="V254">
            <v>-2</v>
          </cell>
          <cell r="X254" t="str">
            <v>Sardar Tanveer Ilyas</v>
          </cell>
        </row>
        <row r="255">
          <cell r="K255">
            <v>10805</v>
          </cell>
          <cell r="M255" t="str">
            <v>Intiqal</v>
          </cell>
          <cell r="N255" t="str">
            <v>Not Available</v>
          </cell>
          <cell r="O255">
            <v>1</v>
          </cell>
          <cell r="P255">
            <v>3</v>
          </cell>
          <cell r="Q255">
            <v>7</v>
          </cell>
          <cell r="R255">
            <v>132500</v>
          </cell>
          <cell r="S255">
            <v>0</v>
          </cell>
          <cell r="T255">
            <v>-1</v>
          </cell>
          <cell r="U255">
            <v>15</v>
          </cell>
          <cell r="V255">
            <v>1</v>
          </cell>
          <cell r="X255" t="str">
            <v>Sardar Tanveer Ilyas</v>
          </cell>
        </row>
        <row r="256">
          <cell r="K256">
            <v>10807</v>
          </cell>
          <cell r="M256" t="str">
            <v>Intiqal</v>
          </cell>
          <cell r="N256" t="str">
            <v>Not Available</v>
          </cell>
          <cell r="O256">
            <v>1</v>
          </cell>
          <cell r="P256">
            <v>3</v>
          </cell>
          <cell r="Q256">
            <v>0</v>
          </cell>
          <cell r="R256">
            <v>118500</v>
          </cell>
          <cell r="S256">
            <v>0</v>
          </cell>
          <cell r="T256">
            <v>0</v>
          </cell>
          <cell r="U256">
            <v>0</v>
          </cell>
          <cell r="V256">
            <v>7</v>
          </cell>
          <cell r="X256" t="str">
            <v>Sardar Tanveer Ilyas</v>
          </cell>
        </row>
        <row r="257">
          <cell r="K257">
            <v>10801</v>
          </cell>
          <cell r="M257" t="str">
            <v>Intiqal</v>
          </cell>
          <cell r="N257" t="str">
            <v>Not Available</v>
          </cell>
          <cell r="O257">
            <v>0</v>
          </cell>
          <cell r="P257">
            <v>12</v>
          </cell>
          <cell r="Q257">
            <v>5</v>
          </cell>
          <cell r="R257">
            <v>23500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X257" t="str">
            <v>Sardar Tanveer Ilyas</v>
          </cell>
        </row>
        <row r="258">
          <cell r="K258">
            <v>10829</v>
          </cell>
          <cell r="M258" t="str">
            <v>Intiqal</v>
          </cell>
          <cell r="N258" t="str">
            <v>Not Available</v>
          </cell>
          <cell r="O258">
            <v>2</v>
          </cell>
          <cell r="P258">
            <v>0</v>
          </cell>
          <cell r="Q258">
            <v>6</v>
          </cell>
          <cell r="R258">
            <v>123000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X258" t="str">
            <v>Sardar Tanveer Ilyas</v>
          </cell>
        </row>
        <row r="259">
          <cell r="K259">
            <v>10828</v>
          </cell>
          <cell r="M259" t="str">
            <v>Intiqal</v>
          </cell>
          <cell r="N259" t="str">
            <v>Not Available</v>
          </cell>
          <cell r="O259">
            <v>1</v>
          </cell>
          <cell r="P259">
            <v>11</v>
          </cell>
          <cell r="Q259">
            <v>6</v>
          </cell>
          <cell r="R259">
            <v>52000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X259" t="str">
            <v>Sardar Tanveer Ilyas</v>
          </cell>
        </row>
        <row r="260">
          <cell r="K260">
            <v>10848</v>
          </cell>
          <cell r="M260" t="str">
            <v>Intiqal</v>
          </cell>
          <cell r="N260" t="str">
            <v>Not Available</v>
          </cell>
          <cell r="O260">
            <v>1</v>
          </cell>
          <cell r="P260">
            <v>7</v>
          </cell>
          <cell r="Q260">
            <v>5</v>
          </cell>
          <cell r="R260">
            <v>82500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X260" t="str">
            <v>Sardar Tanveer Ilyas</v>
          </cell>
        </row>
        <row r="261">
          <cell r="K261">
            <v>10846</v>
          </cell>
          <cell r="M261" t="str">
            <v>Intiqal</v>
          </cell>
          <cell r="N261" t="str">
            <v>Not Available</v>
          </cell>
          <cell r="O261">
            <v>7</v>
          </cell>
          <cell r="P261">
            <v>0</v>
          </cell>
          <cell r="Q261">
            <v>0</v>
          </cell>
          <cell r="R261">
            <v>396500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 t="str">
            <v>Sardar Tanveer Ilyas</v>
          </cell>
        </row>
        <row r="262">
          <cell r="K262">
            <v>10866</v>
          </cell>
          <cell r="M262" t="str">
            <v>Intiqal</v>
          </cell>
          <cell r="N262" t="str">
            <v>Not Available</v>
          </cell>
          <cell r="O262">
            <v>4</v>
          </cell>
          <cell r="P262">
            <v>0</v>
          </cell>
          <cell r="Q262">
            <v>0</v>
          </cell>
          <cell r="R262">
            <v>367000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X262" t="str">
            <v>Sardar Tanveer Ilyas</v>
          </cell>
        </row>
        <row r="263">
          <cell r="K263">
            <v>1142</v>
          </cell>
          <cell r="M263" t="str">
            <v>Intiqal</v>
          </cell>
          <cell r="N263" t="str">
            <v>Not Available</v>
          </cell>
          <cell r="O263">
            <v>1</v>
          </cell>
          <cell r="P263">
            <v>0</v>
          </cell>
          <cell r="Q263">
            <v>2</v>
          </cell>
          <cell r="R263">
            <v>16900</v>
          </cell>
          <cell r="S263">
            <v>30000</v>
          </cell>
          <cell r="T263">
            <v>2</v>
          </cell>
          <cell r="U263">
            <v>0</v>
          </cell>
          <cell r="V263">
            <v>-2</v>
          </cell>
          <cell r="X263" t="str">
            <v>Sardar Tanveer Ilyas</v>
          </cell>
        </row>
        <row r="264">
          <cell r="K264">
            <v>1141</v>
          </cell>
          <cell r="M264" t="str">
            <v>Intiqal</v>
          </cell>
          <cell r="N264" t="str">
            <v>Not Available</v>
          </cell>
          <cell r="O264">
            <v>1</v>
          </cell>
          <cell r="P264">
            <v>19</v>
          </cell>
          <cell r="Q264">
            <v>7</v>
          </cell>
          <cell r="R264">
            <v>58700</v>
          </cell>
          <cell r="S264">
            <v>58500</v>
          </cell>
          <cell r="T264">
            <v>0</v>
          </cell>
          <cell r="U264">
            <v>-19</v>
          </cell>
          <cell r="V264">
            <v>-5</v>
          </cell>
          <cell r="X264" t="str">
            <v>Sardar Tanveer Ilyas</v>
          </cell>
        </row>
        <row r="265">
          <cell r="K265">
            <v>10926</v>
          </cell>
          <cell r="M265" t="str">
            <v>Intiqal</v>
          </cell>
          <cell r="N265" t="str">
            <v>Not Available</v>
          </cell>
          <cell r="O265">
            <v>4</v>
          </cell>
          <cell r="P265">
            <v>4</v>
          </cell>
          <cell r="Q265">
            <v>8</v>
          </cell>
          <cell r="R265">
            <v>184000</v>
          </cell>
          <cell r="S265">
            <v>100000</v>
          </cell>
          <cell r="T265">
            <v>0</v>
          </cell>
          <cell r="U265">
            <v>0</v>
          </cell>
          <cell r="V265">
            <v>0</v>
          </cell>
          <cell r="X265" t="str">
            <v>Sardar Tanveer Ilyas</v>
          </cell>
        </row>
        <row r="266">
          <cell r="K266">
            <v>10937</v>
          </cell>
          <cell r="M266" t="str">
            <v>Intiqal</v>
          </cell>
          <cell r="N266" t="str">
            <v>Not Available</v>
          </cell>
          <cell r="O266">
            <v>10</v>
          </cell>
          <cell r="P266">
            <v>5</v>
          </cell>
          <cell r="Q266">
            <v>0</v>
          </cell>
          <cell r="R266">
            <v>606600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X266" t="str">
            <v>Sardar Tanveer Ilyas</v>
          </cell>
        </row>
        <row r="267">
          <cell r="K267">
            <v>11037</v>
          </cell>
          <cell r="M267" t="str">
            <v>Intiqal</v>
          </cell>
          <cell r="N267" t="str">
            <v>Not Available</v>
          </cell>
          <cell r="O267">
            <v>22</v>
          </cell>
          <cell r="P267">
            <v>0</v>
          </cell>
          <cell r="Q267">
            <v>0</v>
          </cell>
          <cell r="R267">
            <v>1028500</v>
          </cell>
          <cell r="S267">
            <v>735000</v>
          </cell>
          <cell r="T267">
            <v>0</v>
          </cell>
          <cell r="U267">
            <v>0</v>
          </cell>
          <cell r="V267">
            <v>0</v>
          </cell>
          <cell r="X267" t="str">
            <v>Sardar Tanveer Ilyas</v>
          </cell>
        </row>
        <row r="268">
          <cell r="K268">
            <v>1162</v>
          </cell>
          <cell r="M268" t="str">
            <v>Intiqal</v>
          </cell>
          <cell r="N268" t="str">
            <v>Not Available</v>
          </cell>
          <cell r="O268">
            <v>1</v>
          </cell>
          <cell r="P268">
            <v>2</v>
          </cell>
          <cell r="Q268">
            <v>0</v>
          </cell>
          <cell r="R268">
            <v>176500</v>
          </cell>
          <cell r="S268">
            <v>0</v>
          </cell>
          <cell r="T268">
            <v>17</v>
          </cell>
          <cell r="U268">
            <v>1</v>
          </cell>
          <cell r="V268">
            <v>0</v>
          </cell>
          <cell r="X268" t="str">
            <v>Sardar Tanveer Ilyas</v>
          </cell>
        </row>
        <row r="269">
          <cell r="K269">
            <v>1161</v>
          </cell>
          <cell r="M269" t="str">
            <v>Intiqal</v>
          </cell>
          <cell r="N269" t="str">
            <v>Not Available</v>
          </cell>
          <cell r="O269">
            <v>3</v>
          </cell>
          <cell r="P269">
            <v>17</v>
          </cell>
          <cell r="Q269">
            <v>0</v>
          </cell>
          <cell r="R269">
            <v>125000</v>
          </cell>
          <cell r="S269">
            <v>0</v>
          </cell>
          <cell r="T269">
            <v>-2</v>
          </cell>
          <cell r="U269">
            <v>-15</v>
          </cell>
          <cell r="V269">
            <v>0</v>
          </cell>
          <cell r="X269" t="str">
            <v>Sardar Tanveer Ilyas</v>
          </cell>
        </row>
        <row r="270">
          <cell r="K270">
            <v>1159</v>
          </cell>
          <cell r="M270" t="str">
            <v>Intiqal</v>
          </cell>
          <cell r="N270" t="str">
            <v>Not Available</v>
          </cell>
          <cell r="O270">
            <v>4</v>
          </cell>
          <cell r="P270">
            <v>6</v>
          </cell>
          <cell r="Q270">
            <v>0</v>
          </cell>
          <cell r="R270">
            <v>69800</v>
          </cell>
          <cell r="S270">
            <v>0</v>
          </cell>
          <cell r="T270">
            <v>-1</v>
          </cell>
          <cell r="U270">
            <v>11</v>
          </cell>
          <cell r="V270">
            <v>0</v>
          </cell>
          <cell r="X270" t="str">
            <v>Sardar Tanveer Ilyas</v>
          </cell>
        </row>
        <row r="271">
          <cell r="K271">
            <v>1158</v>
          </cell>
          <cell r="M271" t="str">
            <v>Intiqal</v>
          </cell>
          <cell r="N271" t="str">
            <v>Not Available</v>
          </cell>
          <cell r="O271">
            <v>8</v>
          </cell>
          <cell r="P271">
            <v>18</v>
          </cell>
          <cell r="Q271">
            <v>0</v>
          </cell>
          <cell r="R271">
            <v>390220</v>
          </cell>
          <cell r="S271">
            <v>450000</v>
          </cell>
          <cell r="T271">
            <v>-4</v>
          </cell>
          <cell r="U271">
            <v>-12</v>
          </cell>
          <cell r="V271">
            <v>0</v>
          </cell>
          <cell r="X271" t="str">
            <v>Sardar Tanveer Ilyas</v>
          </cell>
        </row>
        <row r="272">
          <cell r="K272">
            <v>10938</v>
          </cell>
          <cell r="M272" t="str">
            <v>Intiqal</v>
          </cell>
          <cell r="N272" t="str">
            <v>Not Available</v>
          </cell>
          <cell r="O272">
            <v>7</v>
          </cell>
          <cell r="P272">
            <v>0</v>
          </cell>
          <cell r="Q272">
            <v>0</v>
          </cell>
          <cell r="R272">
            <v>272500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X272" t="str">
            <v>Sardar Tanveer Ilyas</v>
          </cell>
        </row>
        <row r="273">
          <cell r="K273">
            <v>10997</v>
          </cell>
          <cell r="M273" t="str">
            <v>Intiqal</v>
          </cell>
          <cell r="N273" t="str">
            <v>Not Available</v>
          </cell>
          <cell r="O273">
            <v>7</v>
          </cell>
          <cell r="P273">
            <v>0</v>
          </cell>
          <cell r="Q273">
            <v>0</v>
          </cell>
          <cell r="R273">
            <v>313500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X273" t="str">
            <v>Sardar Tanveer Ilyas</v>
          </cell>
        </row>
        <row r="274">
          <cell r="K274">
            <v>10982</v>
          </cell>
          <cell r="M274" t="str">
            <v>Intiqal</v>
          </cell>
          <cell r="N274" t="str">
            <v>Not Available</v>
          </cell>
          <cell r="O274">
            <v>5</v>
          </cell>
          <cell r="P274">
            <v>10</v>
          </cell>
          <cell r="Q274">
            <v>0</v>
          </cell>
          <cell r="R274">
            <v>246500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X274" t="str">
            <v>Sardar Tanveer Ilyas</v>
          </cell>
        </row>
        <row r="275">
          <cell r="K275">
            <v>11055</v>
          </cell>
          <cell r="M275" t="str">
            <v>Intiqal</v>
          </cell>
          <cell r="N275" t="str">
            <v>Not Available</v>
          </cell>
          <cell r="O275">
            <v>3</v>
          </cell>
          <cell r="P275">
            <v>0</v>
          </cell>
          <cell r="Q275">
            <v>0</v>
          </cell>
          <cell r="R275">
            <v>135500</v>
          </cell>
          <cell r="S275">
            <v>0</v>
          </cell>
          <cell r="T275">
            <v>3</v>
          </cell>
          <cell r="U275">
            <v>10</v>
          </cell>
          <cell r="V275">
            <v>0</v>
          </cell>
          <cell r="X275" t="str">
            <v>Sardar Tanveer Ilyas</v>
          </cell>
        </row>
        <row r="276">
          <cell r="K276">
            <v>11054</v>
          </cell>
          <cell r="M276" t="str">
            <v>Intiqal</v>
          </cell>
          <cell r="N276" t="str">
            <v>Not Available</v>
          </cell>
          <cell r="O276">
            <v>1</v>
          </cell>
          <cell r="P276">
            <v>16</v>
          </cell>
          <cell r="Q276">
            <v>0</v>
          </cell>
          <cell r="R276">
            <v>84000</v>
          </cell>
          <cell r="S276">
            <v>0</v>
          </cell>
          <cell r="T276">
            <v>2</v>
          </cell>
          <cell r="U276">
            <v>-16</v>
          </cell>
          <cell r="V276">
            <v>0</v>
          </cell>
          <cell r="X276" t="str">
            <v>Sardar Tanveer Ilyas</v>
          </cell>
        </row>
        <row r="277">
          <cell r="K277">
            <v>10998</v>
          </cell>
          <cell r="M277" t="str">
            <v>Intiqal</v>
          </cell>
          <cell r="N277" t="str">
            <v>Not Available</v>
          </cell>
          <cell r="O277">
            <v>1</v>
          </cell>
          <cell r="P277">
            <v>0</v>
          </cell>
          <cell r="Q277">
            <v>0</v>
          </cell>
          <cell r="R277">
            <v>34500</v>
          </cell>
          <cell r="S277">
            <v>0</v>
          </cell>
          <cell r="T277">
            <v>0</v>
          </cell>
          <cell r="U277">
            <v>16</v>
          </cell>
          <cell r="V277">
            <v>0</v>
          </cell>
          <cell r="X277" t="str">
            <v>Sardar Tanveer Ilyas</v>
          </cell>
        </row>
        <row r="278">
          <cell r="K278">
            <v>10955</v>
          </cell>
          <cell r="M278" t="str">
            <v>Intiqal</v>
          </cell>
          <cell r="N278" t="str">
            <v>Not Available</v>
          </cell>
          <cell r="O278">
            <v>0</v>
          </cell>
          <cell r="P278">
            <v>14</v>
          </cell>
          <cell r="Q278">
            <v>0</v>
          </cell>
          <cell r="R278">
            <v>18000</v>
          </cell>
          <cell r="S278">
            <v>0</v>
          </cell>
          <cell r="T278">
            <v>1</v>
          </cell>
          <cell r="U278">
            <v>-14</v>
          </cell>
          <cell r="V278">
            <v>0</v>
          </cell>
          <cell r="X278" t="str">
            <v>Sardar Tanveer Ilyas</v>
          </cell>
        </row>
        <row r="279">
          <cell r="K279">
            <v>11042</v>
          </cell>
          <cell r="M279" t="str">
            <v>Intiqal</v>
          </cell>
          <cell r="N279" t="str">
            <v>Not Available</v>
          </cell>
          <cell r="O279">
            <v>0</v>
          </cell>
          <cell r="P279">
            <v>14</v>
          </cell>
          <cell r="Q279">
            <v>5</v>
          </cell>
          <cell r="R279">
            <v>29000</v>
          </cell>
          <cell r="S279">
            <v>0</v>
          </cell>
          <cell r="T279">
            <v>6</v>
          </cell>
          <cell r="U279">
            <v>0</v>
          </cell>
          <cell r="V279">
            <v>3</v>
          </cell>
          <cell r="X279" t="str">
            <v>Sardar Tanveer Ilyas</v>
          </cell>
        </row>
        <row r="280">
          <cell r="K280">
            <v>11041</v>
          </cell>
          <cell r="M280" t="str">
            <v>Intiqal</v>
          </cell>
          <cell r="N280" t="str">
            <v>Not Available</v>
          </cell>
          <cell r="O280">
            <v>6</v>
          </cell>
          <cell r="P280">
            <v>0</v>
          </cell>
          <cell r="Q280">
            <v>3</v>
          </cell>
          <cell r="R280">
            <v>383000</v>
          </cell>
          <cell r="S280">
            <v>0</v>
          </cell>
          <cell r="T280">
            <v>-6</v>
          </cell>
          <cell r="U280">
            <v>14</v>
          </cell>
          <cell r="V280">
            <v>2</v>
          </cell>
          <cell r="X280" t="str">
            <v>Sardar Tanveer Ilyas</v>
          </cell>
        </row>
        <row r="281">
          <cell r="K281">
            <v>11038</v>
          </cell>
          <cell r="M281" t="str">
            <v>Intiqal</v>
          </cell>
          <cell r="N281" t="str">
            <v>Not Available</v>
          </cell>
          <cell r="O281">
            <v>2</v>
          </cell>
          <cell r="P281">
            <v>0</v>
          </cell>
          <cell r="Q281">
            <v>0</v>
          </cell>
          <cell r="R281">
            <v>119500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X281" t="str">
            <v>Sardar Tanveer Ilyas</v>
          </cell>
        </row>
        <row r="282">
          <cell r="K282">
            <v>11047</v>
          </cell>
          <cell r="M282" t="str">
            <v>Intiqal</v>
          </cell>
          <cell r="N282" t="str">
            <v>Not Available</v>
          </cell>
          <cell r="O282">
            <v>9</v>
          </cell>
          <cell r="P282">
            <v>0</v>
          </cell>
          <cell r="Q282">
            <v>0</v>
          </cell>
          <cell r="R282">
            <v>401500</v>
          </cell>
          <cell r="S282">
            <v>270000</v>
          </cell>
          <cell r="T282">
            <v>0</v>
          </cell>
          <cell r="U282">
            <v>0</v>
          </cell>
          <cell r="V282">
            <v>0</v>
          </cell>
          <cell r="X282" t="str">
            <v>Sardar Tanveer Ilyas</v>
          </cell>
        </row>
        <row r="283">
          <cell r="K283">
            <v>11057</v>
          </cell>
          <cell r="M283" t="str">
            <v>Intiqal</v>
          </cell>
          <cell r="N283" t="str">
            <v>Not Available</v>
          </cell>
          <cell r="O283">
            <v>1</v>
          </cell>
          <cell r="P283">
            <v>12</v>
          </cell>
          <cell r="Q283">
            <v>2</v>
          </cell>
          <cell r="R283">
            <v>79000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X283" t="str">
            <v>Sardar Tanveer Ilyas</v>
          </cell>
        </row>
        <row r="284">
          <cell r="K284">
            <v>11053</v>
          </cell>
          <cell r="M284" t="str">
            <v>Intiqal</v>
          </cell>
          <cell r="N284" t="str">
            <v>Not Available</v>
          </cell>
          <cell r="O284">
            <v>1</v>
          </cell>
          <cell r="P284">
            <v>0</v>
          </cell>
          <cell r="Q284">
            <v>0</v>
          </cell>
          <cell r="R284">
            <v>43500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X284" t="str">
            <v>Sardar Tanveer Ilyas</v>
          </cell>
        </row>
        <row r="285">
          <cell r="K285">
            <v>11086</v>
          </cell>
          <cell r="M285" t="str">
            <v>Intiqal</v>
          </cell>
          <cell r="N285" t="str">
            <v>Not Available</v>
          </cell>
          <cell r="O285">
            <v>0</v>
          </cell>
          <cell r="P285">
            <v>5</v>
          </cell>
          <cell r="Q285">
            <v>0</v>
          </cell>
          <cell r="R285">
            <v>15500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X285" t="str">
            <v>Sardar Tanveer Ilyas</v>
          </cell>
        </row>
        <row r="286">
          <cell r="K286">
            <v>11088</v>
          </cell>
          <cell r="M286" t="str">
            <v>Intiqal</v>
          </cell>
          <cell r="N286" t="str">
            <v>Not Available</v>
          </cell>
          <cell r="O286">
            <v>2</v>
          </cell>
          <cell r="P286">
            <v>9</v>
          </cell>
          <cell r="Q286">
            <v>2</v>
          </cell>
          <cell r="R286">
            <v>127500</v>
          </cell>
          <cell r="S286">
            <v>0</v>
          </cell>
          <cell r="T286">
            <v>78</v>
          </cell>
          <cell r="U286">
            <v>-3</v>
          </cell>
          <cell r="V286">
            <v>4</v>
          </cell>
          <cell r="X286" t="str">
            <v>Sardar Tanveer Ilyas</v>
          </cell>
        </row>
        <row r="287">
          <cell r="K287">
            <v>11087</v>
          </cell>
          <cell r="M287" t="str">
            <v>Intiqal</v>
          </cell>
          <cell r="N287" t="str">
            <v>Not Available</v>
          </cell>
          <cell r="O287">
            <v>77</v>
          </cell>
          <cell r="P287">
            <v>17</v>
          </cell>
          <cell r="Q287">
            <v>4</v>
          </cell>
          <cell r="R287">
            <v>4884100</v>
          </cell>
          <cell r="S287">
            <v>3000000</v>
          </cell>
          <cell r="T287">
            <v>-75</v>
          </cell>
          <cell r="U287">
            <v>-8</v>
          </cell>
          <cell r="V287">
            <v>-2</v>
          </cell>
          <cell r="X287" t="str">
            <v>Sardar Tanveer Ilyas</v>
          </cell>
        </row>
        <row r="288">
          <cell r="K288">
            <v>11106</v>
          </cell>
          <cell r="M288" t="str">
            <v>Intiqal</v>
          </cell>
          <cell r="N288" t="str">
            <v>Not Available</v>
          </cell>
          <cell r="O288">
            <v>2</v>
          </cell>
          <cell r="P288">
            <v>1</v>
          </cell>
          <cell r="Q288">
            <v>2</v>
          </cell>
          <cell r="R288">
            <v>99000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X288" t="str">
            <v>Sardar Tanveer Ilyas</v>
          </cell>
        </row>
        <row r="289">
          <cell r="K289">
            <v>11107</v>
          </cell>
          <cell r="M289" t="str">
            <v>Intiqal</v>
          </cell>
          <cell r="N289" t="str">
            <v>Not Available</v>
          </cell>
          <cell r="O289">
            <v>4</v>
          </cell>
          <cell r="P289">
            <v>13</v>
          </cell>
          <cell r="Q289">
            <v>6</v>
          </cell>
          <cell r="R289">
            <v>211500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X289" t="str">
            <v>Sardar Tanveer Ilyas</v>
          </cell>
        </row>
        <row r="290">
          <cell r="K290">
            <v>11116</v>
          </cell>
          <cell r="M290" t="str">
            <v>Intiqal</v>
          </cell>
          <cell r="N290" t="str">
            <v>Not Available</v>
          </cell>
          <cell r="O290">
            <v>8</v>
          </cell>
          <cell r="P290">
            <v>9</v>
          </cell>
          <cell r="Q290">
            <v>6</v>
          </cell>
          <cell r="R290">
            <v>553500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X290" t="str">
            <v>Sardar Tanveer Ilyas</v>
          </cell>
        </row>
        <row r="291">
          <cell r="K291">
            <v>11108</v>
          </cell>
          <cell r="M291" t="str">
            <v>Intiqal</v>
          </cell>
          <cell r="N291" t="str">
            <v>Not Available</v>
          </cell>
          <cell r="O291">
            <v>9</v>
          </cell>
          <cell r="P291">
            <v>2</v>
          </cell>
          <cell r="Q291">
            <v>3</v>
          </cell>
          <cell r="R291">
            <v>407500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X291" t="str">
            <v>Sardar Tanveer Ilyas</v>
          </cell>
        </row>
        <row r="292">
          <cell r="K292">
            <v>11112</v>
          </cell>
          <cell r="M292" t="str">
            <v>Intiqal</v>
          </cell>
          <cell r="N292" t="str">
            <v>Not Available</v>
          </cell>
          <cell r="O292">
            <v>0</v>
          </cell>
          <cell r="P292">
            <v>15</v>
          </cell>
          <cell r="Q292">
            <v>4</v>
          </cell>
          <cell r="R292">
            <v>28980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X292" t="str">
            <v>Sardar Tanveer Ilyas</v>
          </cell>
        </row>
        <row r="293">
          <cell r="K293">
            <v>11064</v>
          </cell>
          <cell r="M293" t="str">
            <v>Intiqal</v>
          </cell>
          <cell r="N293" t="str">
            <v>Not Available</v>
          </cell>
          <cell r="O293">
            <v>1</v>
          </cell>
          <cell r="P293">
            <v>16</v>
          </cell>
          <cell r="Q293">
            <v>0</v>
          </cell>
          <cell r="R293">
            <v>99800</v>
          </cell>
          <cell r="S293">
            <v>0</v>
          </cell>
          <cell r="T293">
            <v>11</v>
          </cell>
          <cell r="U293">
            <v>-12</v>
          </cell>
          <cell r="V293">
            <v>5</v>
          </cell>
          <cell r="X293" t="str">
            <v>Sardar Tanveer Ilyas</v>
          </cell>
        </row>
        <row r="294">
          <cell r="K294">
            <v>11072</v>
          </cell>
          <cell r="M294" t="str">
            <v>Intiqal</v>
          </cell>
          <cell r="N294" t="str">
            <v>Not Available</v>
          </cell>
          <cell r="O294">
            <v>5</v>
          </cell>
          <cell r="P294">
            <v>8</v>
          </cell>
          <cell r="Q294">
            <v>0</v>
          </cell>
          <cell r="R294">
            <v>230100</v>
          </cell>
          <cell r="S294">
            <v>370780</v>
          </cell>
          <cell r="T294">
            <v>-4</v>
          </cell>
          <cell r="U294">
            <v>8</v>
          </cell>
          <cell r="V294">
            <v>0</v>
          </cell>
          <cell r="X294" t="str">
            <v>Sardar Tanveer Ilyas</v>
          </cell>
        </row>
        <row r="295">
          <cell r="K295">
            <v>11073</v>
          </cell>
          <cell r="M295" t="str">
            <v>Intiqal</v>
          </cell>
          <cell r="N295" t="str">
            <v>Not Available</v>
          </cell>
          <cell r="O295">
            <v>5</v>
          </cell>
          <cell r="P295">
            <v>0</v>
          </cell>
          <cell r="Q295">
            <v>5</v>
          </cell>
          <cell r="R295">
            <v>216300</v>
          </cell>
          <cell r="S295">
            <v>0</v>
          </cell>
          <cell r="T295">
            <v>0</v>
          </cell>
          <cell r="U295">
            <v>8</v>
          </cell>
          <cell r="V295">
            <v>-5</v>
          </cell>
          <cell r="X295" t="str">
            <v>Sardar Tanveer Ilyas</v>
          </cell>
        </row>
        <row r="296">
          <cell r="K296">
            <v>11059</v>
          </cell>
          <cell r="M296" t="str">
            <v>Intiqal</v>
          </cell>
          <cell r="N296" t="str">
            <v>Not Available</v>
          </cell>
          <cell r="O296">
            <v>0</v>
          </cell>
          <cell r="P296">
            <v>9</v>
          </cell>
          <cell r="Q296">
            <v>5</v>
          </cell>
          <cell r="R296">
            <v>16100</v>
          </cell>
          <cell r="S296">
            <v>0</v>
          </cell>
          <cell r="T296">
            <v>8</v>
          </cell>
          <cell r="U296">
            <v>-1</v>
          </cell>
          <cell r="V296">
            <v>2</v>
          </cell>
          <cell r="X296" t="str">
            <v>Sardar Tanveer Ilyas</v>
          </cell>
        </row>
        <row r="297">
          <cell r="K297">
            <v>11058</v>
          </cell>
          <cell r="M297" t="str">
            <v>Intiqal</v>
          </cell>
          <cell r="N297" t="str">
            <v>Not Available</v>
          </cell>
          <cell r="O297">
            <v>7</v>
          </cell>
          <cell r="P297">
            <v>19</v>
          </cell>
          <cell r="Q297">
            <v>2</v>
          </cell>
          <cell r="R297">
            <v>498840</v>
          </cell>
          <cell r="S297">
            <v>0</v>
          </cell>
          <cell r="T297">
            <v>-7</v>
          </cell>
          <cell r="U297">
            <v>-10</v>
          </cell>
          <cell r="V297">
            <v>3</v>
          </cell>
          <cell r="X297" t="str">
            <v>Sardar Tanveer Ilyas</v>
          </cell>
        </row>
        <row r="298">
          <cell r="K298">
            <v>11122</v>
          </cell>
          <cell r="M298" t="str">
            <v>Intiqal</v>
          </cell>
          <cell r="N298" t="str">
            <v>Not Available</v>
          </cell>
          <cell r="O298">
            <v>0</v>
          </cell>
          <cell r="P298">
            <v>18</v>
          </cell>
          <cell r="Q298">
            <v>5</v>
          </cell>
          <cell r="R298">
            <v>31700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X298" t="str">
            <v>Sardar Tanveer Ilyas</v>
          </cell>
        </row>
        <row r="299">
          <cell r="K299">
            <v>11193</v>
          </cell>
          <cell r="M299" t="str">
            <v>Intiqal</v>
          </cell>
          <cell r="N299" t="str">
            <v>Not Available</v>
          </cell>
          <cell r="O299">
            <v>0</v>
          </cell>
          <cell r="P299">
            <v>13</v>
          </cell>
          <cell r="Q299">
            <v>0</v>
          </cell>
          <cell r="R299">
            <v>25500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X299" t="str">
            <v>Sardar Tanveer Ilyas</v>
          </cell>
        </row>
        <row r="300">
          <cell r="K300">
            <v>1184</v>
          </cell>
          <cell r="M300" t="str">
            <v>Intiqal</v>
          </cell>
          <cell r="N300" t="str">
            <v>Not Available</v>
          </cell>
          <cell r="O300">
            <v>1</v>
          </cell>
          <cell r="P300">
            <v>4</v>
          </cell>
          <cell r="Q300">
            <v>5</v>
          </cell>
          <cell r="R300">
            <v>50000</v>
          </cell>
          <cell r="S300">
            <v>24000</v>
          </cell>
          <cell r="T300">
            <v>0</v>
          </cell>
          <cell r="U300">
            <v>0</v>
          </cell>
          <cell r="V300">
            <v>0</v>
          </cell>
          <cell r="X300" t="str">
            <v>Sardar Tanveer Ilyas</v>
          </cell>
        </row>
        <row r="301">
          <cell r="K301">
            <v>11153</v>
          </cell>
          <cell r="M301" t="str">
            <v>Intiqal</v>
          </cell>
          <cell r="N301" t="str">
            <v>Not Available</v>
          </cell>
          <cell r="O301">
            <v>0</v>
          </cell>
          <cell r="P301">
            <v>13</v>
          </cell>
          <cell r="Q301">
            <v>0</v>
          </cell>
          <cell r="R301">
            <v>29000</v>
          </cell>
          <cell r="S301">
            <v>0</v>
          </cell>
          <cell r="T301">
            <v>2</v>
          </cell>
          <cell r="U301">
            <v>-3</v>
          </cell>
          <cell r="V301">
            <v>0</v>
          </cell>
          <cell r="X301" t="str">
            <v>Sardar Tanveer Ilyas</v>
          </cell>
        </row>
        <row r="302">
          <cell r="K302">
            <v>11152</v>
          </cell>
          <cell r="M302" t="str">
            <v>Intiqal</v>
          </cell>
          <cell r="N302" t="str">
            <v>Not Available</v>
          </cell>
          <cell r="O302">
            <v>1</v>
          </cell>
          <cell r="P302">
            <v>17</v>
          </cell>
          <cell r="Q302">
            <v>0</v>
          </cell>
          <cell r="R302">
            <v>123000</v>
          </cell>
          <cell r="S302">
            <v>0</v>
          </cell>
          <cell r="T302">
            <v>-1</v>
          </cell>
          <cell r="U302">
            <v>-4</v>
          </cell>
          <cell r="V302">
            <v>0</v>
          </cell>
          <cell r="X302" t="str">
            <v>Sardar Tanveer Ilyas</v>
          </cell>
        </row>
        <row r="303">
          <cell r="K303">
            <v>11189</v>
          </cell>
          <cell r="M303" t="str">
            <v>Intiqal</v>
          </cell>
          <cell r="N303" t="str">
            <v>Not Available</v>
          </cell>
          <cell r="O303">
            <v>1</v>
          </cell>
          <cell r="P303">
            <v>0</v>
          </cell>
          <cell r="Q303">
            <v>0</v>
          </cell>
          <cell r="R303">
            <v>34700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X303" t="str">
            <v>Sardar Tanveer Ilyas</v>
          </cell>
        </row>
        <row r="304">
          <cell r="K304">
            <v>11193</v>
          </cell>
          <cell r="M304" t="str">
            <v>Intiqal</v>
          </cell>
          <cell r="N304" t="str">
            <v>Not Available</v>
          </cell>
          <cell r="O304">
            <v>0</v>
          </cell>
          <cell r="P304">
            <v>2</v>
          </cell>
          <cell r="Q304">
            <v>3</v>
          </cell>
          <cell r="R304">
            <v>9500</v>
          </cell>
          <cell r="S304">
            <v>0</v>
          </cell>
          <cell r="T304">
            <v>3</v>
          </cell>
          <cell r="U304">
            <v>13</v>
          </cell>
          <cell r="V304">
            <v>2</v>
          </cell>
          <cell r="X304" t="str">
            <v>Sardar Tanveer Ilyas</v>
          </cell>
        </row>
        <row r="305">
          <cell r="K305">
            <v>11184</v>
          </cell>
          <cell r="M305" t="str">
            <v>Intiqal</v>
          </cell>
          <cell r="N305" t="str">
            <v>Not Available</v>
          </cell>
          <cell r="O305">
            <v>0</v>
          </cell>
          <cell r="P305">
            <v>5</v>
          </cell>
          <cell r="Q305">
            <v>0</v>
          </cell>
          <cell r="R305">
            <v>12020</v>
          </cell>
          <cell r="S305">
            <v>0</v>
          </cell>
          <cell r="T305">
            <v>0</v>
          </cell>
          <cell r="U305">
            <v>-3</v>
          </cell>
          <cell r="V305">
            <v>3</v>
          </cell>
          <cell r="X305" t="str">
            <v>Sardar Tanveer Ilyas</v>
          </cell>
        </row>
        <row r="306">
          <cell r="K306">
            <v>11183</v>
          </cell>
          <cell r="M306" t="str">
            <v>Intiqal</v>
          </cell>
          <cell r="N306" t="str">
            <v>Not Available</v>
          </cell>
          <cell r="O306">
            <v>0</v>
          </cell>
          <cell r="P306">
            <v>5</v>
          </cell>
          <cell r="Q306">
            <v>0</v>
          </cell>
          <cell r="R306">
            <v>11520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X306" t="str">
            <v>Sardar Tanveer Ilyas</v>
          </cell>
        </row>
        <row r="307">
          <cell r="K307">
            <v>11182</v>
          </cell>
          <cell r="M307" t="str">
            <v>Intiqal</v>
          </cell>
          <cell r="N307" t="str">
            <v>Not Available</v>
          </cell>
          <cell r="O307">
            <v>0</v>
          </cell>
          <cell r="P307">
            <v>11</v>
          </cell>
          <cell r="Q307">
            <v>0</v>
          </cell>
          <cell r="R307">
            <v>19400</v>
          </cell>
          <cell r="S307">
            <v>0</v>
          </cell>
          <cell r="T307">
            <v>0</v>
          </cell>
          <cell r="U307">
            <v>-6</v>
          </cell>
          <cell r="V307">
            <v>0</v>
          </cell>
          <cell r="X307" t="str">
            <v>Sardar Tanveer Ilyas</v>
          </cell>
        </row>
        <row r="308">
          <cell r="K308">
            <v>11181</v>
          </cell>
          <cell r="M308" t="str">
            <v>Intiqal</v>
          </cell>
          <cell r="N308" t="str">
            <v>Not Available</v>
          </cell>
          <cell r="O308">
            <v>2</v>
          </cell>
          <cell r="P308">
            <v>12</v>
          </cell>
          <cell r="Q308">
            <v>2</v>
          </cell>
          <cell r="R308">
            <v>128260</v>
          </cell>
          <cell r="S308">
            <v>0</v>
          </cell>
          <cell r="T308">
            <v>-2</v>
          </cell>
          <cell r="U308">
            <v>-1</v>
          </cell>
          <cell r="V308">
            <v>-2</v>
          </cell>
          <cell r="X308" t="str">
            <v>Sardar Tanveer Ilyas</v>
          </cell>
        </row>
        <row r="309">
          <cell r="K309">
            <v>11271</v>
          </cell>
          <cell r="M309" t="str">
            <v>Intiqal</v>
          </cell>
          <cell r="N309" t="str">
            <v>Not Available</v>
          </cell>
          <cell r="O309">
            <v>25</v>
          </cell>
          <cell r="P309">
            <v>5</v>
          </cell>
          <cell r="Q309">
            <v>0</v>
          </cell>
          <cell r="R309">
            <v>1418000</v>
          </cell>
          <cell r="S309">
            <v>1250000</v>
          </cell>
          <cell r="T309">
            <v>0</v>
          </cell>
          <cell r="U309">
            <v>0</v>
          </cell>
          <cell r="V309">
            <v>0</v>
          </cell>
          <cell r="X309" t="str">
            <v>Sardar Tanveer Ilyas</v>
          </cell>
        </row>
        <row r="310">
          <cell r="K310">
            <v>11250</v>
          </cell>
          <cell r="M310" t="str">
            <v>Intiqal</v>
          </cell>
          <cell r="N310" t="str">
            <v>Not Available</v>
          </cell>
          <cell r="O310">
            <v>0</v>
          </cell>
          <cell r="P310">
            <v>11</v>
          </cell>
          <cell r="Q310">
            <v>4</v>
          </cell>
          <cell r="R310">
            <v>19000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X310" t="str">
            <v>Sardar Tanveer Ilyas</v>
          </cell>
        </row>
        <row r="311">
          <cell r="K311">
            <v>11280</v>
          </cell>
          <cell r="M311" t="str">
            <v>Intiqal</v>
          </cell>
          <cell r="N311" t="str">
            <v>Not Available</v>
          </cell>
          <cell r="O311">
            <v>2</v>
          </cell>
          <cell r="P311">
            <v>9</v>
          </cell>
          <cell r="Q311">
            <v>0</v>
          </cell>
          <cell r="R311">
            <v>148500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X311" t="str">
            <v>Sardar Tanveer Ilyas</v>
          </cell>
        </row>
        <row r="312">
          <cell r="K312">
            <v>11267</v>
          </cell>
          <cell r="M312" t="str">
            <v>Intiqal</v>
          </cell>
          <cell r="N312" t="str">
            <v>Not Available</v>
          </cell>
          <cell r="O312">
            <v>1</v>
          </cell>
          <cell r="P312">
            <v>3</v>
          </cell>
          <cell r="Q312">
            <v>3</v>
          </cell>
          <cell r="R312">
            <v>134000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X312" t="str">
            <v>Sardar Tanveer Ilyas</v>
          </cell>
        </row>
        <row r="313">
          <cell r="K313">
            <v>11262</v>
          </cell>
          <cell r="M313" t="str">
            <v>Intiqal</v>
          </cell>
          <cell r="N313" t="str">
            <v>Not Available</v>
          </cell>
          <cell r="O313">
            <v>0</v>
          </cell>
          <cell r="P313">
            <v>10</v>
          </cell>
          <cell r="Q313">
            <v>0</v>
          </cell>
          <cell r="R313">
            <v>39500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X313" t="str">
            <v>Sardar Tanveer Ilyas</v>
          </cell>
        </row>
        <row r="314">
          <cell r="K314">
            <v>11261</v>
          </cell>
          <cell r="M314" t="str">
            <v>Intiqal</v>
          </cell>
          <cell r="N314" t="str">
            <v>Not Available</v>
          </cell>
          <cell r="O314">
            <v>2</v>
          </cell>
          <cell r="P314">
            <v>0</v>
          </cell>
          <cell r="Q314">
            <v>0</v>
          </cell>
          <cell r="R314">
            <v>222000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X314" t="str">
            <v>Sardar Tanveer Ilyas</v>
          </cell>
        </row>
        <row r="315">
          <cell r="K315">
            <v>11177</v>
          </cell>
          <cell r="M315" t="str">
            <v>Intiqal</v>
          </cell>
          <cell r="N315" t="str">
            <v>Not Available</v>
          </cell>
          <cell r="O315">
            <v>0</v>
          </cell>
          <cell r="P315">
            <v>7</v>
          </cell>
          <cell r="Q315">
            <v>0</v>
          </cell>
          <cell r="R315">
            <v>18000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X315" t="str">
            <v>Sardar Tanveer Ilyas</v>
          </cell>
        </row>
        <row r="316">
          <cell r="K316">
            <v>11269</v>
          </cell>
          <cell r="M316" t="str">
            <v>Intiqal</v>
          </cell>
          <cell r="N316" t="str">
            <v>Not Available</v>
          </cell>
          <cell r="O316">
            <v>0</v>
          </cell>
          <cell r="P316">
            <v>15</v>
          </cell>
          <cell r="Q316">
            <v>0</v>
          </cell>
          <cell r="R316">
            <v>165500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X316" t="str">
            <v>Sardar Tanveer Ilyas</v>
          </cell>
        </row>
        <row r="317">
          <cell r="K317">
            <v>1194</v>
          </cell>
          <cell r="M317" t="str">
            <v>Intiqal</v>
          </cell>
          <cell r="N317" t="str">
            <v>Not Available</v>
          </cell>
          <cell r="O317">
            <v>4</v>
          </cell>
          <cell r="P317">
            <v>0</v>
          </cell>
          <cell r="Q317">
            <v>0</v>
          </cell>
          <cell r="R317">
            <v>98000</v>
          </cell>
          <cell r="S317">
            <v>0</v>
          </cell>
          <cell r="T317">
            <v>32</v>
          </cell>
          <cell r="U317">
            <v>11</v>
          </cell>
          <cell r="V317">
            <v>5</v>
          </cell>
          <cell r="X317" t="str">
            <v>Sardar Tanveer Ilyas</v>
          </cell>
        </row>
        <row r="318">
          <cell r="K318">
            <v>1193</v>
          </cell>
          <cell r="M318" t="str">
            <v>Intiqal</v>
          </cell>
          <cell r="N318" t="str">
            <v>Not Available</v>
          </cell>
          <cell r="O318">
            <v>2</v>
          </cell>
          <cell r="P318">
            <v>5</v>
          </cell>
          <cell r="Q318">
            <v>5</v>
          </cell>
          <cell r="R318">
            <v>69500</v>
          </cell>
          <cell r="S318">
            <v>0</v>
          </cell>
          <cell r="T318">
            <v>2</v>
          </cell>
          <cell r="U318">
            <v>-5</v>
          </cell>
          <cell r="V318">
            <v>-5</v>
          </cell>
          <cell r="X318" t="str">
            <v>Sardar Tanveer Ilyas</v>
          </cell>
        </row>
        <row r="319">
          <cell r="K319">
            <v>1192</v>
          </cell>
          <cell r="M319" t="str">
            <v>Intiqal</v>
          </cell>
          <cell r="N319" t="str">
            <v>Not Available</v>
          </cell>
          <cell r="O319">
            <v>30</v>
          </cell>
          <cell r="P319">
            <v>6</v>
          </cell>
          <cell r="Q319">
            <v>0</v>
          </cell>
          <cell r="R319">
            <v>1432430</v>
          </cell>
          <cell r="S319">
            <v>0</v>
          </cell>
          <cell r="T319">
            <v>-28</v>
          </cell>
          <cell r="U319">
            <v>-1</v>
          </cell>
          <cell r="V319">
            <v>5</v>
          </cell>
          <cell r="X319" t="str">
            <v>Sardar Tanveer Ilyas</v>
          </cell>
        </row>
        <row r="320">
          <cell r="K320">
            <v>11364</v>
          </cell>
          <cell r="M320" t="str">
            <v>Intiqal</v>
          </cell>
          <cell r="N320" t="str">
            <v>Not Available</v>
          </cell>
          <cell r="O320">
            <v>16</v>
          </cell>
          <cell r="P320">
            <v>0</v>
          </cell>
          <cell r="Q320">
            <v>0</v>
          </cell>
          <cell r="R320">
            <v>1638000</v>
          </cell>
          <cell r="S320">
            <v>800000</v>
          </cell>
          <cell r="T320">
            <v>0</v>
          </cell>
          <cell r="U320">
            <v>0</v>
          </cell>
          <cell r="V320">
            <v>0</v>
          </cell>
          <cell r="X320" t="str">
            <v>Sardar Tanveer Ilyas</v>
          </cell>
        </row>
        <row r="321">
          <cell r="K321">
            <v>11316</v>
          </cell>
          <cell r="M321" t="str">
            <v>Intiqal</v>
          </cell>
          <cell r="N321" t="str">
            <v>Not Available</v>
          </cell>
          <cell r="O321">
            <v>0</v>
          </cell>
          <cell r="P321">
            <v>14</v>
          </cell>
          <cell r="Q321">
            <v>0</v>
          </cell>
          <cell r="R321">
            <v>235200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X321" t="str">
            <v>Sardar Tanveer Ilyas</v>
          </cell>
        </row>
        <row r="322">
          <cell r="K322">
            <v>11395</v>
          </cell>
          <cell r="M322" t="str">
            <v>Intiqal</v>
          </cell>
          <cell r="N322" t="str">
            <v>Not Available</v>
          </cell>
          <cell r="O322">
            <v>3</v>
          </cell>
          <cell r="P322">
            <v>2</v>
          </cell>
          <cell r="Q322">
            <v>0</v>
          </cell>
          <cell r="R322">
            <v>155500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X322" t="str">
            <v>Sardar Tanveer Ilyas</v>
          </cell>
        </row>
        <row r="323">
          <cell r="K323">
            <v>11396</v>
          </cell>
          <cell r="M323" t="str">
            <v>Intiqal</v>
          </cell>
          <cell r="N323" t="str">
            <v>Not Available</v>
          </cell>
          <cell r="O323">
            <v>2</v>
          </cell>
          <cell r="P323">
            <v>10</v>
          </cell>
          <cell r="Q323">
            <v>0</v>
          </cell>
          <cell r="R323">
            <v>135000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X323" t="str">
            <v>Sardar Tanveer Ilyas</v>
          </cell>
        </row>
        <row r="324">
          <cell r="K324">
            <v>11365</v>
          </cell>
          <cell r="M324" t="str">
            <v>Intiqal</v>
          </cell>
          <cell r="N324" t="str">
            <v>Not Available</v>
          </cell>
          <cell r="O324">
            <v>0</v>
          </cell>
          <cell r="P324">
            <v>6</v>
          </cell>
          <cell r="Q324">
            <v>6</v>
          </cell>
          <cell r="R324">
            <v>14700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X324" t="str">
            <v>Sardar Tanveer Ilyas</v>
          </cell>
        </row>
        <row r="325">
          <cell r="K325">
            <v>11375</v>
          </cell>
          <cell r="M325" t="str">
            <v>Intiqal</v>
          </cell>
          <cell r="N325" t="str">
            <v>Not Available</v>
          </cell>
          <cell r="O325">
            <v>0</v>
          </cell>
          <cell r="P325">
            <v>3</v>
          </cell>
          <cell r="Q325">
            <v>0</v>
          </cell>
          <cell r="R325">
            <v>11100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X325" t="str">
            <v>Sardar Tanveer Ilyas</v>
          </cell>
        </row>
        <row r="326">
          <cell r="K326">
            <v>11363</v>
          </cell>
          <cell r="M326" t="str">
            <v>Intiqal</v>
          </cell>
          <cell r="N326" t="str">
            <v>Not Available</v>
          </cell>
          <cell r="O326">
            <v>0</v>
          </cell>
          <cell r="P326">
            <v>8</v>
          </cell>
          <cell r="Q326">
            <v>0</v>
          </cell>
          <cell r="R326">
            <v>16380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X326" t="str">
            <v>Sardar Tanveer Ilyas</v>
          </cell>
        </row>
        <row r="327">
          <cell r="K327">
            <v>11416</v>
          </cell>
          <cell r="M327" t="str">
            <v>Intiqal</v>
          </cell>
          <cell r="N327" t="str">
            <v>Not Available</v>
          </cell>
          <cell r="O327">
            <v>0</v>
          </cell>
          <cell r="P327">
            <v>10</v>
          </cell>
          <cell r="Q327">
            <v>3</v>
          </cell>
          <cell r="R327">
            <v>19900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X327" t="str">
            <v>Sardar Tanveer Ilyas</v>
          </cell>
        </row>
        <row r="328">
          <cell r="K328">
            <v>11301</v>
          </cell>
          <cell r="M328" t="str">
            <v>Intiqal</v>
          </cell>
          <cell r="N328" t="str">
            <v>Not Available</v>
          </cell>
          <cell r="O328">
            <v>0</v>
          </cell>
          <cell r="P328">
            <v>6</v>
          </cell>
          <cell r="Q328">
            <v>8</v>
          </cell>
          <cell r="R328">
            <v>18100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X328" t="str">
            <v>Sardar Tanveer Ilyas</v>
          </cell>
        </row>
        <row r="329">
          <cell r="K329">
            <v>11361</v>
          </cell>
          <cell r="M329" t="str">
            <v>Intiqal</v>
          </cell>
          <cell r="N329" t="str">
            <v>Not Available</v>
          </cell>
          <cell r="O329">
            <v>0</v>
          </cell>
          <cell r="P329">
            <v>3</v>
          </cell>
          <cell r="Q329">
            <v>6</v>
          </cell>
          <cell r="R329">
            <v>11900</v>
          </cell>
          <cell r="S329">
            <v>0</v>
          </cell>
          <cell r="T329">
            <v>0</v>
          </cell>
          <cell r="U329">
            <v>3</v>
          </cell>
          <cell r="V329">
            <v>0</v>
          </cell>
          <cell r="X329" t="str">
            <v>Sardar Tanveer Ilyas</v>
          </cell>
        </row>
        <row r="330">
          <cell r="K330">
            <v>11297</v>
          </cell>
          <cell r="M330" t="str">
            <v>Not Available</v>
          </cell>
          <cell r="N330" t="str">
            <v>Not Available</v>
          </cell>
          <cell r="O330">
            <v>0</v>
          </cell>
          <cell r="P330">
            <v>3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6</v>
          </cell>
        </row>
        <row r="331">
          <cell r="K331">
            <v>11480</v>
          </cell>
          <cell r="M331" t="str">
            <v>Intiqal</v>
          </cell>
          <cell r="N331" t="str">
            <v>Not Available</v>
          </cell>
          <cell r="O331">
            <v>5</v>
          </cell>
          <cell r="P331">
            <v>18</v>
          </cell>
          <cell r="Q331">
            <v>2</v>
          </cell>
          <cell r="R331">
            <v>323500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X331" t="str">
            <v>Sardar Tanveer Ilyas</v>
          </cell>
        </row>
        <row r="332">
          <cell r="K332">
            <v>11508</v>
          </cell>
          <cell r="M332" t="str">
            <v>Intiqal</v>
          </cell>
          <cell r="N332" t="str">
            <v>Not Available</v>
          </cell>
          <cell r="O332">
            <v>1</v>
          </cell>
          <cell r="P332">
            <v>0</v>
          </cell>
          <cell r="Q332">
            <v>0</v>
          </cell>
          <cell r="R332">
            <v>105500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X332" t="str">
            <v>Sardar Tanveer Ilyas</v>
          </cell>
        </row>
        <row r="333">
          <cell r="K333">
            <v>11435</v>
          </cell>
          <cell r="M333" t="str">
            <v>Intiqal</v>
          </cell>
          <cell r="N333" t="str">
            <v>Not Available</v>
          </cell>
          <cell r="O333">
            <v>0</v>
          </cell>
          <cell r="P333">
            <v>15</v>
          </cell>
          <cell r="Q333">
            <v>5</v>
          </cell>
          <cell r="R333">
            <v>47300</v>
          </cell>
          <cell r="S333">
            <v>0</v>
          </cell>
          <cell r="T333">
            <v>10</v>
          </cell>
          <cell r="U333">
            <v>-14</v>
          </cell>
          <cell r="V333">
            <v>-5</v>
          </cell>
          <cell r="X333" t="str">
            <v>Sardar M Sagheer Khan</v>
          </cell>
        </row>
        <row r="334">
          <cell r="K334">
            <v>11434</v>
          </cell>
          <cell r="M334" t="str">
            <v>Intiqal</v>
          </cell>
          <cell r="N334" t="str">
            <v>Not Available</v>
          </cell>
          <cell r="O334">
            <v>0</v>
          </cell>
          <cell r="P334">
            <v>17</v>
          </cell>
          <cell r="Q334">
            <v>8</v>
          </cell>
          <cell r="R334">
            <v>71900</v>
          </cell>
          <cell r="S334">
            <v>0</v>
          </cell>
          <cell r="T334">
            <v>0</v>
          </cell>
          <cell r="U334">
            <v>-2</v>
          </cell>
          <cell r="V334">
            <v>-3</v>
          </cell>
          <cell r="X334" t="str">
            <v>Sardar M Sagheer Khan</v>
          </cell>
        </row>
        <row r="335">
          <cell r="K335">
            <v>11433</v>
          </cell>
          <cell r="M335" t="str">
            <v>Intiqal</v>
          </cell>
          <cell r="N335" t="str">
            <v>Not Available</v>
          </cell>
          <cell r="O335">
            <v>1</v>
          </cell>
          <cell r="P335">
            <v>15</v>
          </cell>
          <cell r="Q335">
            <v>7</v>
          </cell>
          <cell r="R335">
            <v>142200</v>
          </cell>
          <cell r="S335">
            <v>0</v>
          </cell>
          <cell r="T335">
            <v>-1</v>
          </cell>
          <cell r="U335">
            <v>2</v>
          </cell>
          <cell r="V335">
            <v>1</v>
          </cell>
          <cell r="X335" t="str">
            <v>Sardar M Sagheer Khan</v>
          </cell>
        </row>
        <row r="336">
          <cell r="K336">
            <v>11432</v>
          </cell>
          <cell r="M336" t="str">
            <v>Intiqal</v>
          </cell>
          <cell r="N336" t="str">
            <v>Not Available</v>
          </cell>
          <cell r="O336">
            <v>1</v>
          </cell>
          <cell r="P336">
            <v>7</v>
          </cell>
          <cell r="Q336">
            <v>0</v>
          </cell>
          <cell r="R336">
            <v>107000</v>
          </cell>
          <cell r="S336">
            <v>0</v>
          </cell>
          <cell r="T336">
            <v>0</v>
          </cell>
          <cell r="U336">
            <v>8</v>
          </cell>
          <cell r="V336">
            <v>7</v>
          </cell>
          <cell r="X336" t="str">
            <v>Sardar M Sagheer Khan</v>
          </cell>
        </row>
        <row r="337">
          <cell r="K337">
            <v>11431</v>
          </cell>
          <cell r="M337" t="str">
            <v>Intiqal</v>
          </cell>
          <cell r="N337" t="str">
            <v>Not Available</v>
          </cell>
          <cell r="O337">
            <v>5</v>
          </cell>
          <cell r="P337">
            <v>4</v>
          </cell>
          <cell r="Q337">
            <v>7</v>
          </cell>
          <cell r="R337">
            <v>405900</v>
          </cell>
          <cell r="S337">
            <v>0</v>
          </cell>
          <cell r="T337">
            <v>-4</v>
          </cell>
          <cell r="U337">
            <v>3</v>
          </cell>
          <cell r="V337">
            <v>-7</v>
          </cell>
          <cell r="X337" t="str">
            <v>Sardar M Sagheer Khan</v>
          </cell>
        </row>
        <row r="338">
          <cell r="K338">
            <v>11421</v>
          </cell>
          <cell r="M338" t="str">
            <v>Intiqal</v>
          </cell>
          <cell r="N338" t="str">
            <v>Not Available</v>
          </cell>
          <cell r="O338">
            <v>5</v>
          </cell>
          <cell r="P338">
            <v>12</v>
          </cell>
          <cell r="Q338">
            <v>6</v>
          </cell>
          <cell r="R338">
            <v>285000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X338" t="str">
            <v>Sardar Tanveer Ilyas</v>
          </cell>
        </row>
        <row r="339">
          <cell r="K339">
            <v>11422</v>
          </cell>
          <cell r="M339" t="str">
            <v>Intiqal</v>
          </cell>
          <cell r="N339" t="str">
            <v>Not Available</v>
          </cell>
          <cell r="O339">
            <v>0</v>
          </cell>
          <cell r="P339">
            <v>12</v>
          </cell>
          <cell r="Q339">
            <v>4</v>
          </cell>
          <cell r="R339">
            <v>27900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X339" t="str">
            <v>Sardar Tanveer Ilyas</v>
          </cell>
        </row>
        <row r="340">
          <cell r="K340">
            <v>11423</v>
          </cell>
          <cell r="M340" t="str">
            <v>Intiqal</v>
          </cell>
          <cell r="N340" t="str">
            <v>Not Available</v>
          </cell>
          <cell r="O340">
            <v>5</v>
          </cell>
          <cell r="P340">
            <v>19</v>
          </cell>
          <cell r="Q340">
            <v>0</v>
          </cell>
          <cell r="R340">
            <v>302200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X340" t="str">
            <v>Sardar Tanveer Ilyas</v>
          </cell>
        </row>
        <row r="341">
          <cell r="K341">
            <v>11424</v>
          </cell>
          <cell r="M341" t="str">
            <v>Intiqal</v>
          </cell>
          <cell r="N341" t="str">
            <v>Not Available</v>
          </cell>
          <cell r="O341">
            <v>0</v>
          </cell>
          <cell r="P341">
            <v>15</v>
          </cell>
          <cell r="Q341">
            <v>2</v>
          </cell>
          <cell r="R341">
            <v>37500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X341" t="str">
            <v>Sardar Tanveer Ilyas</v>
          </cell>
        </row>
        <row r="342">
          <cell r="K342">
            <v>11417</v>
          </cell>
          <cell r="M342" t="str">
            <v>Intiqal</v>
          </cell>
          <cell r="N342" t="str">
            <v>Not Available</v>
          </cell>
          <cell r="O342">
            <v>3</v>
          </cell>
          <cell r="P342">
            <v>12</v>
          </cell>
          <cell r="Q342">
            <v>0</v>
          </cell>
          <cell r="R342">
            <v>182200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X342" t="str">
            <v>Sardar Tanveer Ilyas</v>
          </cell>
        </row>
        <row r="343">
          <cell r="K343">
            <v>11420</v>
          </cell>
          <cell r="M343" t="str">
            <v>Intiqal</v>
          </cell>
          <cell r="N343" t="str">
            <v>Not Available</v>
          </cell>
          <cell r="O343">
            <v>5</v>
          </cell>
          <cell r="P343">
            <v>5</v>
          </cell>
          <cell r="Q343">
            <v>3</v>
          </cell>
          <cell r="R343">
            <v>301200</v>
          </cell>
          <cell r="S343">
            <v>262500</v>
          </cell>
          <cell r="T343">
            <v>0</v>
          </cell>
          <cell r="U343">
            <v>0</v>
          </cell>
          <cell r="V343">
            <v>0</v>
          </cell>
          <cell r="X343" t="str">
            <v>Sardar Tanveer Ilyas</v>
          </cell>
        </row>
        <row r="344">
          <cell r="K344">
            <v>11444</v>
          </cell>
          <cell r="M344" t="str">
            <v>Intiqal</v>
          </cell>
          <cell r="N344" t="str">
            <v>Not Available</v>
          </cell>
          <cell r="O344">
            <v>8</v>
          </cell>
          <cell r="P344">
            <v>6</v>
          </cell>
          <cell r="Q344">
            <v>4</v>
          </cell>
          <cell r="R344">
            <v>441000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X344" t="str">
            <v>Sardar Tanveer Ilyas</v>
          </cell>
        </row>
        <row r="345">
          <cell r="K345">
            <v>11463</v>
          </cell>
          <cell r="M345" t="str">
            <v>Intiqal</v>
          </cell>
          <cell r="N345" t="str">
            <v>Not Available</v>
          </cell>
          <cell r="O345">
            <v>3</v>
          </cell>
          <cell r="P345">
            <v>6</v>
          </cell>
          <cell r="Q345">
            <v>6</v>
          </cell>
          <cell r="R345">
            <v>185200</v>
          </cell>
          <cell r="S345">
            <v>0</v>
          </cell>
          <cell r="T345">
            <v>2</v>
          </cell>
          <cell r="U345">
            <v>-2</v>
          </cell>
          <cell r="V345">
            <v>-1</v>
          </cell>
          <cell r="X345" t="str">
            <v>Sardar Tanveer Ilyas</v>
          </cell>
        </row>
        <row r="346">
          <cell r="K346">
            <v>11458</v>
          </cell>
          <cell r="M346" t="str">
            <v>Intiqal</v>
          </cell>
          <cell r="N346" t="str">
            <v>Not Available</v>
          </cell>
          <cell r="O346">
            <v>1</v>
          </cell>
          <cell r="P346">
            <v>17</v>
          </cell>
          <cell r="Q346">
            <v>8</v>
          </cell>
          <cell r="R346">
            <v>112000</v>
          </cell>
          <cell r="S346">
            <v>0</v>
          </cell>
          <cell r="T346">
            <v>2</v>
          </cell>
          <cell r="U346">
            <v>-11</v>
          </cell>
          <cell r="V346">
            <v>-2</v>
          </cell>
          <cell r="X346" t="str">
            <v>Sardar Tanveer Ilyas</v>
          </cell>
        </row>
        <row r="347">
          <cell r="K347">
            <v>11457</v>
          </cell>
          <cell r="M347" t="str">
            <v>Intiqal</v>
          </cell>
          <cell r="N347" t="str">
            <v>Not Available</v>
          </cell>
          <cell r="O347">
            <v>10</v>
          </cell>
          <cell r="P347">
            <v>0</v>
          </cell>
          <cell r="Q347">
            <v>6</v>
          </cell>
          <cell r="R347">
            <v>657500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X347" t="str">
            <v>Sardar Tanveer Ilyas</v>
          </cell>
        </row>
        <row r="348">
          <cell r="K348">
            <v>11465</v>
          </cell>
          <cell r="M348" t="str">
            <v>Intiqal</v>
          </cell>
          <cell r="N348" t="str">
            <v>Not Available</v>
          </cell>
          <cell r="O348">
            <v>6</v>
          </cell>
          <cell r="P348">
            <v>1</v>
          </cell>
          <cell r="Q348">
            <v>7</v>
          </cell>
          <cell r="R348">
            <v>445000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X348" t="str">
            <v>Sardar Tanveer Ilyas</v>
          </cell>
        </row>
        <row r="349">
          <cell r="K349">
            <v>11455</v>
          </cell>
          <cell r="M349" t="str">
            <v>Intiqal</v>
          </cell>
          <cell r="N349" t="str">
            <v>Not Available</v>
          </cell>
          <cell r="O349">
            <v>11</v>
          </cell>
          <cell r="P349">
            <v>5</v>
          </cell>
          <cell r="Q349">
            <v>3</v>
          </cell>
          <cell r="R349">
            <v>774900</v>
          </cell>
          <cell r="S349">
            <v>0</v>
          </cell>
          <cell r="T349">
            <v>20</v>
          </cell>
          <cell r="U349">
            <v>8</v>
          </cell>
          <cell r="V349">
            <v>1</v>
          </cell>
          <cell r="X349" t="str">
            <v>Sardar Tanveer Ilyas</v>
          </cell>
        </row>
        <row r="350">
          <cell r="K350">
            <v>11456</v>
          </cell>
          <cell r="M350" t="str">
            <v>Intiqal</v>
          </cell>
          <cell r="N350" t="str">
            <v>Not Available</v>
          </cell>
          <cell r="O350">
            <v>20</v>
          </cell>
          <cell r="P350">
            <v>8</v>
          </cell>
          <cell r="Q350">
            <v>1</v>
          </cell>
          <cell r="R350">
            <v>1399500</v>
          </cell>
          <cell r="S350">
            <v>0</v>
          </cell>
          <cell r="T350">
            <v>-9</v>
          </cell>
          <cell r="U350">
            <v>-3</v>
          </cell>
          <cell r="V350">
            <v>2</v>
          </cell>
          <cell r="X350" t="str">
            <v>Sardar Tanveer Ilyas</v>
          </cell>
        </row>
        <row r="351">
          <cell r="K351">
            <v>11426</v>
          </cell>
          <cell r="M351" t="str">
            <v>Intiqal</v>
          </cell>
          <cell r="N351" t="str">
            <v>Not Available</v>
          </cell>
          <cell r="O351">
            <v>0</v>
          </cell>
          <cell r="P351">
            <v>12</v>
          </cell>
          <cell r="Q351">
            <v>0</v>
          </cell>
          <cell r="R351">
            <v>34500</v>
          </cell>
          <cell r="S351">
            <v>0</v>
          </cell>
          <cell r="T351">
            <v>1</v>
          </cell>
          <cell r="U351">
            <v>-3</v>
          </cell>
          <cell r="V351">
            <v>0</v>
          </cell>
          <cell r="X351" t="str">
            <v>Sardar Tanveer Ilyas</v>
          </cell>
        </row>
        <row r="352">
          <cell r="K352">
            <v>11466</v>
          </cell>
          <cell r="M352" t="str">
            <v>Intiqal</v>
          </cell>
          <cell r="N352" t="str">
            <v>Not Available</v>
          </cell>
          <cell r="O352">
            <v>0</v>
          </cell>
          <cell r="P352">
            <v>17</v>
          </cell>
          <cell r="Q352">
            <v>0</v>
          </cell>
          <cell r="R352">
            <v>43500</v>
          </cell>
          <cell r="S352">
            <v>0</v>
          </cell>
          <cell r="T352">
            <v>0</v>
          </cell>
          <cell r="U352">
            <v>-5</v>
          </cell>
          <cell r="V352">
            <v>0</v>
          </cell>
          <cell r="X352" t="str">
            <v>Sardar Tanveer Ilyas</v>
          </cell>
        </row>
        <row r="353">
          <cell r="K353">
            <v>743</v>
          </cell>
          <cell r="L353">
            <v>16096</v>
          </cell>
          <cell r="M353" t="str">
            <v>Intiqal</v>
          </cell>
          <cell r="N353" t="str">
            <v>Registry</v>
          </cell>
          <cell r="O353">
            <v>0</v>
          </cell>
          <cell r="P353">
            <v>13</v>
          </cell>
          <cell r="Q353">
            <v>1</v>
          </cell>
          <cell r="R353">
            <v>100100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 t="str">
            <v>Tuba Maryam</v>
          </cell>
          <cell r="X353" t="str">
            <v>Sardar Tanveer Ilyas</v>
          </cell>
          <cell r="Y353">
            <v>45085</v>
          </cell>
        </row>
        <row r="354">
          <cell r="K354">
            <v>1201</v>
          </cell>
          <cell r="M354" t="str">
            <v>Intiqal</v>
          </cell>
          <cell r="N354" t="str">
            <v>Not Available</v>
          </cell>
          <cell r="O354">
            <v>13</v>
          </cell>
          <cell r="P354">
            <v>9</v>
          </cell>
          <cell r="Q354">
            <v>0</v>
          </cell>
          <cell r="R354">
            <v>376500</v>
          </cell>
          <cell r="S354">
            <v>390000</v>
          </cell>
          <cell r="T354">
            <v>0</v>
          </cell>
          <cell r="U354">
            <v>0</v>
          </cell>
          <cell r="V354">
            <v>0</v>
          </cell>
          <cell r="X354" t="str">
            <v>Sardar Tanveer Ilyas</v>
          </cell>
        </row>
        <row r="355">
          <cell r="K355">
            <v>11514</v>
          </cell>
          <cell r="M355" t="str">
            <v>Intiqal</v>
          </cell>
          <cell r="N355" t="str">
            <v>Not Available</v>
          </cell>
          <cell r="O355">
            <v>1</v>
          </cell>
          <cell r="P355">
            <v>4</v>
          </cell>
          <cell r="Q355">
            <v>0</v>
          </cell>
          <cell r="R355">
            <v>51000</v>
          </cell>
          <cell r="S355">
            <v>30000</v>
          </cell>
          <cell r="T355">
            <v>0</v>
          </cell>
          <cell r="U355">
            <v>0</v>
          </cell>
          <cell r="V355">
            <v>0</v>
          </cell>
          <cell r="X355" t="str">
            <v>Sardar Tanveer Ilyas</v>
          </cell>
        </row>
        <row r="356">
          <cell r="K356">
            <v>11507</v>
          </cell>
          <cell r="M356" t="str">
            <v>Intiqal</v>
          </cell>
          <cell r="N356" t="str">
            <v>Not Available</v>
          </cell>
          <cell r="O356">
            <v>0</v>
          </cell>
          <cell r="P356">
            <v>15</v>
          </cell>
          <cell r="Q356">
            <v>5</v>
          </cell>
          <cell r="R356">
            <v>84500</v>
          </cell>
          <cell r="S356">
            <v>0</v>
          </cell>
          <cell r="T356">
            <v>1</v>
          </cell>
          <cell r="U356">
            <v>-15</v>
          </cell>
          <cell r="V356">
            <v>-5</v>
          </cell>
          <cell r="X356" t="str">
            <v>Sardar Tanveer Ilyas</v>
          </cell>
        </row>
        <row r="357">
          <cell r="K357">
            <v>11506</v>
          </cell>
          <cell r="M357" t="str">
            <v>Intiqal</v>
          </cell>
          <cell r="N357" t="str">
            <v>Not Available</v>
          </cell>
          <cell r="O357">
            <v>0</v>
          </cell>
          <cell r="P357">
            <v>4</v>
          </cell>
          <cell r="Q357">
            <v>4</v>
          </cell>
          <cell r="R357">
            <v>19000</v>
          </cell>
          <cell r="S357">
            <v>0</v>
          </cell>
          <cell r="T357">
            <v>0</v>
          </cell>
          <cell r="U357">
            <v>11</v>
          </cell>
          <cell r="V357">
            <v>1</v>
          </cell>
          <cell r="X357" t="str">
            <v>Sardar Tanveer Ilyas</v>
          </cell>
        </row>
        <row r="358">
          <cell r="K358">
            <v>11509</v>
          </cell>
          <cell r="M358" t="str">
            <v>Intiqal</v>
          </cell>
          <cell r="N358" t="str">
            <v>Not Available</v>
          </cell>
          <cell r="O358">
            <v>3</v>
          </cell>
          <cell r="P358">
            <v>0</v>
          </cell>
          <cell r="Q358">
            <v>0</v>
          </cell>
          <cell r="R358">
            <v>242500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X358" t="str">
            <v>Sardar Tanveer Ilyas</v>
          </cell>
        </row>
        <row r="359">
          <cell r="K359">
            <v>11510</v>
          </cell>
          <cell r="M359" t="str">
            <v>Intiqal</v>
          </cell>
          <cell r="N359" t="str">
            <v>Not Available</v>
          </cell>
          <cell r="O359">
            <v>7</v>
          </cell>
          <cell r="P359">
            <v>11</v>
          </cell>
          <cell r="Q359">
            <v>2</v>
          </cell>
          <cell r="R359">
            <v>523100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X359" t="str">
            <v>Sardar Tanveer Ilyas</v>
          </cell>
        </row>
        <row r="360">
          <cell r="K360">
            <v>11493</v>
          </cell>
          <cell r="M360" t="str">
            <v>Intiqal</v>
          </cell>
          <cell r="N360" t="str">
            <v>Not Available</v>
          </cell>
          <cell r="O360">
            <v>1</v>
          </cell>
          <cell r="P360">
            <v>6</v>
          </cell>
          <cell r="Q360">
            <v>5</v>
          </cell>
          <cell r="R360">
            <v>104100</v>
          </cell>
          <cell r="S360">
            <v>0</v>
          </cell>
          <cell r="T360">
            <v>2</v>
          </cell>
          <cell r="U360">
            <v>0</v>
          </cell>
          <cell r="V360">
            <v>-3</v>
          </cell>
          <cell r="X360" t="str">
            <v>Sardar Tanveer Ilyas</v>
          </cell>
        </row>
        <row r="361">
          <cell r="K361">
            <v>11492</v>
          </cell>
          <cell r="M361" t="str">
            <v>Intiqal</v>
          </cell>
          <cell r="N361" t="str">
            <v>Not Available</v>
          </cell>
          <cell r="O361">
            <v>1</v>
          </cell>
          <cell r="P361">
            <v>19</v>
          </cell>
          <cell r="Q361">
            <v>6</v>
          </cell>
          <cell r="R361">
            <v>157000</v>
          </cell>
          <cell r="S361">
            <v>0</v>
          </cell>
          <cell r="T361">
            <v>0</v>
          </cell>
          <cell r="U361">
            <v>-13</v>
          </cell>
          <cell r="V361">
            <v>-1</v>
          </cell>
          <cell r="X361" t="str">
            <v>Sardar Tanveer Ilyas</v>
          </cell>
        </row>
        <row r="362">
          <cell r="K362">
            <v>11494</v>
          </cell>
          <cell r="M362" t="str">
            <v>Intiqal</v>
          </cell>
          <cell r="N362" t="str">
            <v>Not Available</v>
          </cell>
          <cell r="O362">
            <v>2</v>
          </cell>
          <cell r="P362">
            <v>0</v>
          </cell>
          <cell r="Q362">
            <v>0</v>
          </cell>
          <cell r="R362">
            <v>174000</v>
          </cell>
          <cell r="S362">
            <v>2293974</v>
          </cell>
          <cell r="T362">
            <v>26</v>
          </cell>
          <cell r="U362">
            <v>10</v>
          </cell>
          <cell r="V362">
            <v>5</v>
          </cell>
          <cell r="X362" t="str">
            <v>Sardar Tanveer Ilyas</v>
          </cell>
        </row>
        <row r="363">
          <cell r="K363">
            <v>11485</v>
          </cell>
          <cell r="M363" t="str">
            <v>Intiqal</v>
          </cell>
          <cell r="N363" t="str">
            <v>Not Available</v>
          </cell>
          <cell r="O363">
            <v>2</v>
          </cell>
          <cell r="P363">
            <v>0</v>
          </cell>
          <cell r="Q363">
            <v>0</v>
          </cell>
          <cell r="R363">
            <v>174000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X363" t="str">
            <v>Sardar Tanveer Ilyas</v>
          </cell>
        </row>
        <row r="364">
          <cell r="K364">
            <v>11484</v>
          </cell>
          <cell r="M364" t="str">
            <v>Intiqal</v>
          </cell>
          <cell r="N364" t="str">
            <v>Not Available</v>
          </cell>
          <cell r="O364">
            <v>2</v>
          </cell>
          <cell r="P364">
            <v>0</v>
          </cell>
          <cell r="Q364">
            <v>0</v>
          </cell>
          <cell r="R364">
            <v>174000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X364" t="str">
            <v>Sardar Tanveer Ilyas</v>
          </cell>
        </row>
        <row r="365">
          <cell r="K365">
            <v>11575</v>
          </cell>
          <cell r="M365" t="str">
            <v>Intiqal</v>
          </cell>
          <cell r="N365" t="str">
            <v>Not Available</v>
          </cell>
          <cell r="O365">
            <v>2</v>
          </cell>
          <cell r="P365">
            <v>0</v>
          </cell>
          <cell r="Q365">
            <v>0</v>
          </cell>
          <cell r="R365">
            <v>174500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X365" t="str">
            <v>Sardar Tanveer Ilyas</v>
          </cell>
        </row>
        <row r="366">
          <cell r="K366">
            <v>11474</v>
          </cell>
          <cell r="M366" t="str">
            <v>Intiqal</v>
          </cell>
          <cell r="N366" t="str">
            <v>Not Available</v>
          </cell>
          <cell r="O366">
            <v>0</v>
          </cell>
          <cell r="P366">
            <v>10</v>
          </cell>
          <cell r="Q366">
            <v>0</v>
          </cell>
          <cell r="R366">
            <v>31500</v>
          </cell>
          <cell r="S366">
            <v>0</v>
          </cell>
          <cell r="T366">
            <v>2</v>
          </cell>
          <cell r="U366">
            <v>-10</v>
          </cell>
          <cell r="V366">
            <v>0</v>
          </cell>
          <cell r="X366" t="str">
            <v>Sardar Tanveer Ilyas</v>
          </cell>
        </row>
        <row r="367">
          <cell r="K367">
            <v>11473</v>
          </cell>
          <cell r="M367" t="str">
            <v>Intiqal</v>
          </cell>
          <cell r="N367" t="str">
            <v>Not Available</v>
          </cell>
          <cell r="O367">
            <v>0</v>
          </cell>
          <cell r="P367">
            <v>6</v>
          </cell>
          <cell r="Q367">
            <v>0</v>
          </cell>
          <cell r="R367">
            <v>21500</v>
          </cell>
          <cell r="S367">
            <v>0</v>
          </cell>
          <cell r="T367">
            <v>0</v>
          </cell>
          <cell r="U367">
            <v>4</v>
          </cell>
          <cell r="V367">
            <v>0</v>
          </cell>
          <cell r="X367" t="str">
            <v>Sardar Tanveer Ilyas</v>
          </cell>
        </row>
        <row r="368">
          <cell r="K368">
            <v>11471</v>
          </cell>
          <cell r="M368" t="str">
            <v>Intiqal</v>
          </cell>
          <cell r="N368" t="str">
            <v>Not Available</v>
          </cell>
          <cell r="O368">
            <v>0</v>
          </cell>
          <cell r="P368">
            <v>14</v>
          </cell>
          <cell r="Q368">
            <v>0</v>
          </cell>
          <cell r="R368">
            <v>46900</v>
          </cell>
          <cell r="S368">
            <v>0</v>
          </cell>
          <cell r="T368">
            <v>0</v>
          </cell>
          <cell r="U368">
            <v>-8</v>
          </cell>
          <cell r="V368">
            <v>0</v>
          </cell>
          <cell r="X368" t="str">
            <v>Sardar Tanveer Ilyas</v>
          </cell>
        </row>
        <row r="369">
          <cell r="K369">
            <v>11470</v>
          </cell>
          <cell r="M369" t="str">
            <v>Intiqal</v>
          </cell>
          <cell r="N369" t="str">
            <v>Not Available</v>
          </cell>
          <cell r="O369">
            <v>0</v>
          </cell>
          <cell r="P369">
            <v>4</v>
          </cell>
          <cell r="Q369">
            <v>0</v>
          </cell>
          <cell r="R369">
            <v>15900</v>
          </cell>
          <cell r="S369">
            <v>0</v>
          </cell>
          <cell r="T369">
            <v>0</v>
          </cell>
          <cell r="U369">
            <v>10</v>
          </cell>
          <cell r="V369">
            <v>0</v>
          </cell>
          <cell r="X369" t="str">
            <v>Sardar Tanveer Ilyas</v>
          </cell>
        </row>
        <row r="370">
          <cell r="K370">
            <v>11469</v>
          </cell>
          <cell r="M370" t="str">
            <v>Intiqal</v>
          </cell>
          <cell r="N370" t="str">
            <v>Not Available</v>
          </cell>
          <cell r="O370">
            <v>1</v>
          </cell>
          <cell r="P370">
            <v>6</v>
          </cell>
          <cell r="Q370">
            <v>0</v>
          </cell>
          <cell r="R370">
            <v>116000</v>
          </cell>
          <cell r="S370">
            <v>0</v>
          </cell>
          <cell r="T370">
            <v>-1</v>
          </cell>
          <cell r="U370">
            <v>-2</v>
          </cell>
          <cell r="V370">
            <v>0</v>
          </cell>
          <cell r="X370" t="str">
            <v>Sardar Tanveer Ilyas</v>
          </cell>
        </row>
        <row r="371">
          <cell r="K371">
            <v>11454</v>
          </cell>
          <cell r="M371" t="str">
            <v>Intiqal</v>
          </cell>
          <cell r="N371" t="str">
            <v>Not Available</v>
          </cell>
          <cell r="O371">
            <v>2</v>
          </cell>
          <cell r="P371">
            <v>10</v>
          </cell>
          <cell r="Q371">
            <v>0</v>
          </cell>
          <cell r="R371">
            <v>217500</v>
          </cell>
          <cell r="S371">
            <v>0</v>
          </cell>
          <cell r="T371">
            <v>-1</v>
          </cell>
          <cell r="U371">
            <v>-4</v>
          </cell>
          <cell r="V371">
            <v>0</v>
          </cell>
          <cell r="X371" t="str">
            <v>Sardar Tanveer Ilyas</v>
          </cell>
        </row>
        <row r="372">
          <cell r="K372">
            <v>11453</v>
          </cell>
          <cell r="M372" t="str">
            <v>Intiqal</v>
          </cell>
          <cell r="N372" t="str">
            <v>Not Available</v>
          </cell>
          <cell r="O372">
            <v>2</v>
          </cell>
          <cell r="P372">
            <v>0</v>
          </cell>
          <cell r="Q372">
            <v>0</v>
          </cell>
          <cell r="R372">
            <v>174000</v>
          </cell>
          <cell r="S372">
            <v>0</v>
          </cell>
          <cell r="T372">
            <v>0</v>
          </cell>
          <cell r="U372">
            <v>10</v>
          </cell>
          <cell r="V372">
            <v>0</v>
          </cell>
          <cell r="X372" t="str">
            <v>Sardar Tanveer Ilyas</v>
          </cell>
        </row>
        <row r="373">
          <cell r="K373">
            <v>11452</v>
          </cell>
          <cell r="M373" t="str">
            <v>Intiqal</v>
          </cell>
          <cell r="N373" t="str">
            <v>Not Available</v>
          </cell>
          <cell r="O373">
            <v>2</v>
          </cell>
          <cell r="P373">
            <v>0</v>
          </cell>
          <cell r="Q373">
            <v>0</v>
          </cell>
          <cell r="R373">
            <v>174000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X373" t="str">
            <v>Sardar Tanveer Ilyas</v>
          </cell>
        </row>
        <row r="374">
          <cell r="K374">
            <v>11450</v>
          </cell>
          <cell r="M374" t="str">
            <v>Intiqal</v>
          </cell>
          <cell r="N374" t="str">
            <v>Not Available</v>
          </cell>
          <cell r="O374">
            <v>11</v>
          </cell>
          <cell r="P374">
            <v>0</v>
          </cell>
          <cell r="Q374">
            <v>5</v>
          </cell>
          <cell r="R374">
            <v>952500</v>
          </cell>
          <cell r="S374">
            <v>0</v>
          </cell>
          <cell r="T374">
            <v>-9</v>
          </cell>
          <cell r="U374">
            <v>0</v>
          </cell>
          <cell r="V374">
            <v>-5</v>
          </cell>
          <cell r="X374" t="str">
            <v>Sardar Tanveer Ilyas</v>
          </cell>
        </row>
        <row r="375">
          <cell r="K375">
            <v>11606</v>
          </cell>
          <cell r="M375" t="str">
            <v>Intiqal</v>
          </cell>
          <cell r="N375" t="str">
            <v>Not Available</v>
          </cell>
          <cell r="O375">
            <v>1</v>
          </cell>
          <cell r="P375">
            <v>1</v>
          </cell>
          <cell r="Q375">
            <v>2</v>
          </cell>
          <cell r="R375">
            <v>96260</v>
          </cell>
          <cell r="S375">
            <v>0</v>
          </cell>
          <cell r="T375">
            <v>3</v>
          </cell>
          <cell r="U375">
            <v>-1</v>
          </cell>
          <cell r="V375">
            <v>-2</v>
          </cell>
          <cell r="X375" t="str">
            <v>Sardar Tanveer Ilyas</v>
          </cell>
        </row>
        <row r="376">
          <cell r="K376">
            <v>11605</v>
          </cell>
          <cell r="M376" t="str">
            <v>Intiqal</v>
          </cell>
          <cell r="N376" t="str">
            <v>Not Available</v>
          </cell>
          <cell r="O376">
            <v>2</v>
          </cell>
          <cell r="P376">
            <v>9</v>
          </cell>
          <cell r="Q376">
            <v>0</v>
          </cell>
          <cell r="R376">
            <v>220500</v>
          </cell>
          <cell r="S376">
            <v>0</v>
          </cell>
          <cell r="T376">
            <v>-1</v>
          </cell>
          <cell r="U376">
            <v>-8</v>
          </cell>
          <cell r="V376">
            <v>2</v>
          </cell>
          <cell r="X376" t="str">
            <v>Sardar Tanveer Ilyas</v>
          </cell>
        </row>
        <row r="377">
          <cell r="K377">
            <v>11604</v>
          </cell>
          <cell r="M377" t="str">
            <v>Intiqal</v>
          </cell>
          <cell r="N377" t="str">
            <v>Not Available</v>
          </cell>
          <cell r="O377">
            <v>0</v>
          </cell>
          <cell r="P377">
            <v>9</v>
          </cell>
          <cell r="Q377">
            <v>7</v>
          </cell>
          <cell r="R377">
            <v>31660</v>
          </cell>
          <cell r="S377">
            <v>0</v>
          </cell>
          <cell r="T377">
            <v>2</v>
          </cell>
          <cell r="U377">
            <v>0</v>
          </cell>
          <cell r="V377">
            <v>-7</v>
          </cell>
          <cell r="X377" t="str">
            <v>Sardar Tanveer Ilyas</v>
          </cell>
        </row>
        <row r="378">
          <cell r="K378">
            <v>11536</v>
          </cell>
          <cell r="M378" t="str">
            <v>Intiqal</v>
          </cell>
          <cell r="N378" t="str">
            <v>Not Available</v>
          </cell>
          <cell r="O378">
            <v>0</v>
          </cell>
          <cell r="P378">
            <v>12</v>
          </cell>
          <cell r="Q378">
            <v>7</v>
          </cell>
          <cell r="R378">
            <v>28700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X378" t="str">
            <v>Sardar Tanveer Ilyas</v>
          </cell>
        </row>
        <row r="379">
          <cell r="K379">
            <v>11759</v>
          </cell>
          <cell r="M379" t="str">
            <v>Intiqal</v>
          </cell>
          <cell r="N379" t="str">
            <v>Not Available</v>
          </cell>
          <cell r="O379">
            <v>1</v>
          </cell>
          <cell r="P379">
            <v>0</v>
          </cell>
          <cell r="Q379">
            <v>0</v>
          </cell>
          <cell r="R379">
            <v>38900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X379" t="str">
            <v>Sardar Tanveer Ilyas</v>
          </cell>
        </row>
        <row r="380">
          <cell r="K380">
            <v>11693</v>
          </cell>
          <cell r="M380" t="str">
            <v>Intiqal</v>
          </cell>
          <cell r="N380" t="str">
            <v>Not Available</v>
          </cell>
          <cell r="O380">
            <v>0</v>
          </cell>
          <cell r="P380">
            <v>5</v>
          </cell>
          <cell r="Q380">
            <v>0</v>
          </cell>
          <cell r="R380">
            <v>23000</v>
          </cell>
          <cell r="S380">
            <v>0</v>
          </cell>
          <cell r="T380">
            <v>1</v>
          </cell>
          <cell r="U380">
            <v>1</v>
          </cell>
          <cell r="V380">
            <v>0</v>
          </cell>
          <cell r="X380" t="str">
            <v>Sardar Tanveer Ilyas</v>
          </cell>
        </row>
        <row r="381">
          <cell r="K381">
            <v>11692</v>
          </cell>
          <cell r="M381" t="str">
            <v>Intiqal</v>
          </cell>
          <cell r="N381" t="str">
            <v>Not Available</v>
          </cell>
          <cell r="O381">
            <v>0</v>
          </cell>
          <cell r="P381">
            <v>5</v>
          </cell>
          <cell r="Q381">
            <v>0</v>
          </cell>
          <cell r="R381">
            <v>23000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X381" t="str">
            <v>Sardar Tanveer Ilyas</v>
          </cell>
        </row>
        <row r="382">
          <cell r="K382">
            <v>11691</v>
          </cell>
          <cell r="M382" t="str">
            <v>Intiqal</v>
          </cell>
          <cell r="N382" t="str">
            <v>Not Available</v>
          </cell>
          <cell r="O382">
            <v>0</v>
          </cell>
          <cell r="P382">
            <v>5</v>
          </cell>
          <cell r="Q382">
            <v>0</v>
          </cell>
          <cell r="R382">
            <v>22000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X382" t="str">
            <v>Sardar Tanveer Ilyas</v>
          </cell>
        </row>
        <row r="383">
          <cell r="K383">
            <v>11690</v>
          </cell>
          <cell r="M383" t="str">
            <v>Intiqal</v>
          </cell>
          <cell r="N383" t="str">
            <v>Not Available</v>
          </cell>
          <cell r="O383">
            <v>0</v>
          </cell>
          <cell r="P383">
            <v>11</v>
          </cell>
          <cell r="Q383">
            <v>0</v>
          </cell>
          <cell r="R383">
            <v>42400</v>
          </cell>
          <cell r="S383">
            <v>0</v>
          </cell>
          <cell r="T383">
            <v>0</v>
          </cell>
          <cell r="U383">
            <v>-6</v>
          </cell>
          <cell r="V383">
            <v>0</v>
          </cell>
          <cell r="X383" t="str">
            <v>Sardar Tanveer Ilyas</v>
          </cell>
        </row>
        <row r="384">
          <cell r="K384">
            <v>11700</v>
          </cell>
          <cell r="M384" t="str">
            <v>Intiqal</v>
          </cell>
          <cell r="N384" t="str">
            <v>Not Available</v>
          </cell>
          <cell r="O384">
            <v>1</v>
          </cell>
          <cell r="P384">
            <v>10</v>
          </cell>
          <cell r="Q384">
            <v>0</v>
          </cell>
          <cell r="R384">
            <v>130500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X384" t="str">
            <v>Sardar Tanveer Ilyas</v>
          </cell>
        </row>
        <row r="385">
          <cell r="K385">
            <v>11703</v>
          </cell>
          <cell r="M385" t="str">
            <v>Intiqal</v>
          </cell>
          <cell r="N385" t="str">
            <v>Registry</v>
          </cell>
          <cell r="O385">
            <v>0</v>
          </cell>
          <cell r="P385">
            <v>5</v>
          </cell>
          <cell r="Q385">
            <v>0</v>
          </cell>
          <cell r="R385">
            <v>100000</v>
          </cell>
          <cell r="S385">
            <v>0</v>
          </cell>
          <cell r="T385">
            <v>0</v>
          </cell>
          <cell r="U385">
            <v>10</v>
          </cell>
          <cell r="V385">
            <v>0</v>
          </cell>
          <cell r="X385" t="str">
            <v>Sardar Tanveer Ilyas</v>
          </cell>
          <cell r="Y385">
            <v>44996</v>
          </cell>
        </row>
        <row r="386">
          <cell r="K386">
            <v>11704</v>
          </cell>
          <cell r="M386" t="str">
            <v>Intiqal</v>
          </cell>
          <cell r="N386" t="str">
            <v>Not Available</v>
          </cell>
          <cell r="O386">
            <v>0</v>
          </cell>
          <cell r="P386">
            <v>10</v>
          </cell>
          <cell r="Q386">
            <v>0</v>
          </cell>
          <cell r="R386">
            <v>58500</v>
          </cell>
          <cell r="S386">
            <v>0</v>
          </cell>
          <cell r="T386">
            <v>0</v>
          </cell>
          <cell r="U386">
            <v>-5</v>
          </cell>
          <cell r="V386">
            <v>0</v>
          </cell>
          <cell r="X386" t="str">
            <v>Sardar Tanveer Ilyas</v>
          </cell>
        </row>
        <row r="387">
          <cell r="K387">
            <v>11702</v>
          </cell>
          <cell r="M387" t="str">
            <v>Intiqal</v>
          </cell>
          <cell r="N387" t="str">
            <v>Not Available</v>
          </cell>
          <cell r="O387">
            <v>0</v>
          </cell>
          <cell r="P387">
            <v>5</v>
          </cell>
          <cell r="Q387">
            <v>0</v>
          </cell>
          <cell r="R387">
            <v>21000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X387" t="str">
            <v>Sardar Tanveer Ilyas</v>
          </cell>
        </row>
        <row r="388">
          <cell r="K388">
            <v>1212</v>
          </cell>
          <cell r="M388" t="str">
            <v>Intiqal</v>
          </cell>
          <cell r="N388" t="str">
            <v>Not Available</v>
          </cell>
          <cell r="O388">
            <v>0</v>
          </cell>
          <cell r="P388">
            <v>6</v>
          </cell>
          <cell r="Q388">
            <v>0</v>
          </cell>
          <cell r="R388">
            <v>9300</v>
          </cell>
          <cell r="S388">
            <v>0</v>
          </cell>
          <cell r="T388">
            <v>2</v>
          </cell>
          <cell r="U388">
            <v>0</v>
          </cell>
          <cell r="V388">
            <v>0</v>
          </cell>
          <cell r="X388" t="str">
            <v>Sardar Tanveer Ilyas</v>
          </cell>
        </row>
        <row r="389">
          <cell r="K389">
            <v>1211</v>
          </cell>
          <cell r="M389" t="str">
            <v>Intiqal</v>
          </cell>
          <cell r="N389" t="str">
            <v>Not Available</v>
          </cell>
          <cell r="O389">
            <v>2</v>
          </cell>
          <cell r="P389">
            <v>0</v>
          </cell>
          <cell r="Q389">
            <v>0</v>
          </cell>
          <cell r="R389">
            <v>50000</v>
          </cell>
          <cell r="S389">
            <v>54600</v>
          </cell>
          <cell r="T389">
            <v>-2</v>
          </cell>
          <cell r="U389">
            <v>6</v>
          </cell>
          <cell r="V389">
            <v>0</v>
          </cell>
          <cell r="X389" t="str">
            <v>Sardar Tanveer Ilyas</v>
          </cell>
        </row>
        <row r="390">
          <cell r="K390">
            <v>11649</v>
          </cell>
          <cell r="M390" t="str">
            <v>Intiqal</v>
          </cell>
          <cell r="N390" t="str">
            <v>Not Available</v>
          </cell>
          <cell r="O390">
            <v>20</v>
          </cell>
          <cell r="P390">
            <v>5</v>
          </cell>
          <cell r="Q390">
            <v>0</v>
          </cell>
          <cell r="R390">
            <v>1027000</v>
          </cell>
          <cell r="S390">
            <v>700000</v>
          </cell>
          <cell r="T390">
            <v>0</v>
          </cell>
          <cell r="U390">
            <v>0</v>
          </cell>
          <cell r="V390">
            <v>0</v>
          </cell>
          <cell r="X390" t="str">
            <v>Sardar Tanveer Ilyas</v>
          </cell>
        </row>
        <row r="391">
          <cell r="K391">
            <v>11659</v>
          </cell>
          <cell r="M391" t="str">
            <v>Intiqal</v>
          </cell>
          <cell r="N391" t="str">
            <v>Not Available</v>
          </cell>
          <cell r="O391">
            <v>0</v>
          </cell>
          <cell r="P391">
            <v>10</v>
          </cell>
          <cell r="Q391">
            <v>0</v>
          </cell>
          <cell r="R391">
            <v>31500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X391" t="str">
            <v>Sardar Tanveer Ilyas</v>
          </cell>
        </row>
        <row r="392">
          <cell r="K392">
            <v>11638</v>
          </cell>
          <cell r="M392" t="str">
            <v>Intiqal</v>
          </cell>
          <cell r="N392" t="str">
            <v>Not Available</v>
          </cell>
          <cell r="O392">
            <v>0</v>
          </cell>
          <cell r="P392">
            <v>14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X392" t="str">
            <v>Sardar Tanveer Ilyas</v>
          </cell>
        </row>
        <row r="393">
          <cell r="K393">
            <v>11680</v>
          </cell>
          <cell r="M393" t="str">
            <v>Intiqal</v>
          </cell>
          <cell r="N393" t="str">
            <v>Not Available</v>
          </cell>
          <cell r="O393">
            <v>2</v>
          </cell>
          <cell r="P393">
            <v>0</v>
          </cell>
          <cell r="Q393">
            <v>0</v>
          </cell>
          <cell r="R393">
            <v>108000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X393" t="str">
            <v>Sardar Tanveer Ilyas</v>
          </cell>
        </row>
        <row r="394">
          <cell r="K394">
            <v>11655</v>
          </cell>
          <cell r="M394" t="str">
            <v>Intiqal</v>
          </cell>
          <cell r="N394" t="str">
            <v>Not Available</v>
          </cell>
          <cell r="O394">
            <v>0</v>
          </cell>
          <cell r="P394">
            <v>10</v>
          </cell>
          <cell r="Q394">
            <v>0</v>
          </cell>
          <cell r="R394">
            <v>39500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X394" t="str">
            <v>Sardar Tanveer Ilyas</v>
          </cell>
        </row>
        <row r="395">
          <cell r="K395">
            <v>11656</v>
          </cell>
          <cell r="M395" t="str">
            <v>Intiqal</v>
          </cell>
          <cell r="N395" t="str">
            <v>Not Available</v>
          </cell>
          <cell r="O395">
            <v>0</v>
          </cell>
          <cell r="P395">
            <v>5</v>
          </cell>
          <cell r="Q395">
            <v>0</v>
          </cell>
          <cell r="R395">
            <v>15500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X395" t="str">
            <v>Sardar Tanveer Ilyas</v>
          </cell>
        </row>
        <row r="396">
          <cell r="K396">
            <v>11658</v>
          </cell>
          <cell r="M396" t="str">
            <v>Intiqal</v>
          </cell>
          <cell r="N396" t="str">
            <v>Not Available</v>
          </cell>
          <cell r="O396">
            <v>0</v>
          </cell>
          <cell r="P396">
            <v>6</v>
          </cell>
          <cell r="Q396">
            <v>0</v>
          </cell>
          <cell r="R396">
            <v>17000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X396" t="str">
            <v>Sardar Tanveer Ilyas</v>
          </cell>
        </row>
        <row r="397">
          <cell r="K397">
            <v>11657</v>
          </cell>
          <cell r="M397" t="str">
            <v>Intiqal</v>
          </cell>
          <cell r="N397" t="str">
            <v>Not Available</v>
          </cell>
          <cell r="O397">
            <v>0</v>
          </cell>
          <cell r="P397">
            <v>10</v>
          </cell>
          <cell r="Q397">
            <v>0</v>
          </cell>
          <cell r="R397">
            <v>31500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X397" t="str">
            <v>Sardar Tanveer Ilyas</v>
          </cell>
        </row>
        <row r="398">
          <cell r="K398">
            <v>1213</v>
          </cell>
          <cell r="M398" t="str">
            <v>Intiqal</v>
          </cell>
          <cell r="N398" t="str">
            <v>Not Available</v>
          </cell>
          <cell r="O398">
            <v>1</v>
          </cell>
          <cell r="P398">
            <v>0</v>
          </cell>
          <cell r="Q398">
            <v>0</v>
          </cell>
          <cell r="R398">
            <v>26000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X398" t="str">
            <v>Sardar Tanveer Ilyas</v>
          </cell>
        </row>
        <row r="399">
          <cell r="K399">
            <v>11686</v>
          </cell>
          <cell r="M399" t="str">
            <v>Intiqal</v>
          </cell>
          <cell r="N399" t="str">
            <v>Not Available</v>
          </cell>
          <cell r="O399">
            <v>1</v>
          </cell>
          <cell r="P399">
            <v>3</v>
          </cell>
          <cell r="Q399">
            <v>5</v>
          </cell>
          <cell r="R399">
            <v>0</v>
          </cell>
          <cell r="S399">
            <v>369550</v>
          </cell>
          <cell r="T399">
            <v>9</v>
          </cell>
          <cell r="U399">
            <v>0</v>
          </cell>
          <cell r="V399">
            <v>3</v>
          </cell>
          <cell r="X399" t="str">
            <v>Sardar Tanveer Ilyas</v>
          </cell>
        </row>
        <row r="400">
          <cell r="K400">
            <v>11684</v>
          </cell>
          <cell r="M400" t="str">
            <v>Intiqal</v>
          </cell>
          <cell r="N400" t="str">
            <v>Not Available</v>
          </cell>
          <cell r="O400">
            <v>0</v>
          </cell>
          <cell r="P400">
            <v>13</v>
          </cell>
          <cell r="Q400">
            <v>2</v>
          </cell>
          <cell r="R400">
            <v>25500</v>
          </cell>
          <cell r="S400">
            <v>0</v>
          </cell>
          <cell r="T400">
            <v>1</v>
          </cell>
          <cell r="U400">
            <v>-10</v>
          </cell>
          <cell r="V400">
            <v>3</v>
          </cell>
          <cell r="X400" t="str">
            <v>Sardar Tanveer Ilyas</v>
          </cell>
        </row>
        <row r="401">
          <cell r="K401">
            <v>11683</v>
          </cell>
          <cell r="M401" t="str">
            <v>Intiqal</v>
          </cell>
          <cell r="N401" t="str">
            <v>Not Available</v>
          </cell>
          <cell r="O401">
            <v>0</v>
          </cell>
          <cell r="P401">
            <v>4</v>
          </cell>
          <cell r="Q401">
            <v>0</v>
          </cell>
          <cell r="R401">
            <v>12000</v>
          </cell>
          <cell r="S401">
            <v>0</v>
          </cell>
          <cell r="T401">
            <v>0</v>
          </cell>
          <cell r="U401">
            <v>9</v>
          </cell>
          <cell r="V401">
            <v>2</v>
          </cell>
          <cell r="X401" t="str">
            <v>Sardar Tanveer Ilyas</v>
          </cell>
        </row>
        <row r="402">
          <cell r="K402">
            <v>11682</v>
          </cell>
          <cell r="M402" t="str">
            <v>Intiqal</v>
          </cell>
          <cell r="N402" t="str">
            <v>Not Available</v>
          </cell>
          <cell r="O402">
            <v>6</v>
          </cell>
          <cell r="P402">
            <v>12</v>
          </cell>
          <cell r="Q402">
            <v>3</v>
          </cell>
          <cell r="R402">
            <v>347000</v>
          </cell>
          <cell r="S402">
            <v>0</v>
          </cell>
          <cell r="T402">
            <v>-6</v>
          </cell>
          <cell r="U402">
            <v>-8</v>
          </cell>
          <cell r="V402">
            <v>-3</v>
          </cell>
          <cell r="X402" t="str">
            <v>Sardar Tanveer Ilyas</v>
          </cell>
        </row>
        <row r="403">
          <cell r="K403">
            <v>11650</v>
          </cell>
          <cell r="M403" t="str">
            <v>Intiqal</v>
          </cell>
          <cell r="N403" t="str">
            <v>Not Available</v>
          </cell>
          <cell r="O403">
            <v>1</v>
          </cell>
          <cell r="P403">
            <v>10</v>
          </cell>
          <cell r="Q403">
            <v>7</v>
          </cell>
          <cell r="R403">
            <v>77000</v>
          </cell>
          <cell r="S403">
            <v>0</v>
          </cell>
          <cell r="T403">
            <v>5</v>
          </cell>
          <cell r="U403">
            <v>2</v>
          </cell>
          <cell r="V403">
            <v>-4</v>
          </cell>
          <cell r="X403" t="str">
            <v>Sardar Tanveer Ilyas</v>
          </cell>
        </row>
        <row r="404">
          <cell r="K404">
            <v>11607</v>
          </cell>
          <cell r="M404" t="str">
            <v>Intiqal</v>
          </cell>
          <cell r="N404" t="str">
            <v>Not Available</v>
          </cell>
          <cell r="O404">
            <v>1</v>
          </cell>
          <cell r="P404">
            <v>10</v>
          </cell>
          <cell r="Q404">
            <v>0</v>
          </cell>
          <cell r="R404">
            <v>103500</v>
          </cell>
          <cell r="S404">
            <v>0</v>
          </cell>
          <cell r="T404">
            <v>3</v>
          </cell>
          <cell r="U404">
            <v>-9</v>
          </cell>
          <cell r="V404">
            <v>5</v>
          </cell>
          <cell r="X404" t="str">
            <v>Sardar Tanveer Ilyas</v>
          </cell>
        </row>
        <row r="405">
          <cell r="K405">
            <v>11593</v>
          </cell>
          <cell r="M405" t="str">
            <v>Intiqal</v>
          </cell>
          <cell r="N405" t="str">
            <v>Not Available</v>
          </cell>
          <cell r="O405">
            <v>2</v>
          </cell>
          <cell r="P405">
            <v>11</v>
          </cell>
          <cell r="Q405">
            <v>5</v>
          </cell>
          <cell r="R405">
            <v>181500</v>
          </cell>
          <cell r="S405">
            <v>0</v>
          </cell>
          <cell r="T405">
            <v>-1</v>
          </cell>
          <cell r="U405">
            <v>-1</v>
          </cell>
          <cell r="V405">
            <v>-5</v>
          </cell>
          <cell r="X405" t="str">
            <v>Sardar Tanveer Ilyas</v>
          </cell>
        </row>
        <row r="406">
          <cell r="K406">
            <v>11769</v>
          </cell>
          <cell r="M406" t="str">
            <v>Intiqal</v>
          </cell>
          <cell r="N406" t="str">
            <v>Not Available</v>
          </cell>
          <cell r="O406">
            <v>2</v>
          </cell>
          <cell r="P406">
            <v>0</v>
          </cell>
          <cell r="Q406">
            <v>0</v>
          </cell>
          <cell r="R406">
            <v>174000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X406" t="str">
            <v>Sardar Tanveer Ilyas</v>
          </cell>
        </row>
        <row r="407">
          <cell r="K407">
            <v>11764</v>
          </cell>
          <cell r="M407" t="str">
            <v>Intiqal</v>
          </cell>
          <cell r="N407" t="str">
            <v>Not Available</v>
          </cell>
          <cell r="O407">
            <v>0</v>
          </cell>
          <cell r="P407">
            <v>4</v>
          </cell>
          <cell r="Q407">
            <v>3</v>
          </cell>
          <cell r="R407">
            <v>11000</v>
          </cell>
          <cell r="S407">
            <v>0</v>
          </cell>
          <cell r="T407">
            <v>0</v>
          </cell>
          <cell r="U407">
            <v>13</v>
          </cell>
          <cell r="V407">
            <v>0</v>
          </cell>
          <cell r="X407" t="str">
            <v>Sardar Tanveer Ilyas</v>
          </cell>
        </row>
        <row r="408">
          <cell r="K408">
            <v>11763</v>
          </cell>
          <cell r="M408" t="str">
            <v>Intiqal</v>
          </cell>
          <cell r="N408" t="str">
            <v>Not Available</v>
          </cell>
          <cell r="O408">
            <v>0</v>
          </cell>
          <cell r="P408">
            <v>13</v>
          </cell>
          <cell r="Q408">
            <v>0</v>
          </cell>
          <cell r="R408">
            <v>21000</v>
          </cell>
          <cell r="S408">
            <v>0</v>
          </cell>
          <cell r="T408">
            <v>0</v>
          </cell>
          <cell r="U408">
            <v>-9</v>
          </cell>
          <cell r="V408">
            <v>3</v>
          </cell>
          <cell r="X408" t="str">
            <v>Sardar Tanveer Ilyas</v>
          </cell>
        </row>
        <row r="409">
          <cell r="K409">
            <v>11775</v>
          </cell>
          <cell r="M409" t="str">
            <v>Intiqal</v>
          </cell>
          <cell r="N409" t="str">
            <v>Not Available</v>
          </cell>
          <cell r="O409">
            <v>1</v>
          </cell>
          <cell r="P409">
            <v>0</v>
          </cell>
          <cell r="Q409">
            <v>8</v>
          </cell>
          <cell r="R409">
            <v>40300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X409" t="str">
            <v>Sardar Tanveer Ilyas</v>
          </cell>
        </row>
        <row r="410">
          <cell r="K410">
            <v>11774</v>
          </cell>
          <cell r="M410" t="str">
            <v>Intiqal</v>
          </cell>
          <cell r="N410" t="str">
            <v>Not Available</v>
          </cell>
          <cell r="O410">
            <v>0</v>
          </cell>
          <cell r="P410">
            <v>10</v>
          </cell>
          <cell r="Q410">
            <v>0</v>
          </cell>
          <cell r="R410">
            <v>41000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X410" t="str">
            <v>Sardar Tanveer Ilyas</v>
          </cell>
        </row>
        <row r="411">
          <cell r="K411">
            <v>12378</v>
          </cell>
          <cell r="M411" t="str">
            <v>Intiqal</v>
          </cell>
          <cell r="N411" t="str">
            <v>Not Available</v>
          </cell>
          <cell r="O411">
            <v>1</v>
          </cell>
          <cell r="P411">
            <v>19</v>
          </cell>
          <cell r="Q411">
            <v>0</v>
          </cell>
          <cell r="R411">
            <v>0</v>
          </cell>
          <cell r="S411">
            <v>0</v>
          </cell>
          <cell r="T411">
            <v>3</v>
          </cell>
          <cell r="U411">
            <v>-6</v>
          </cell>
          <cell r="V411">
            <v>1</v>
          </cell>
          <cell r="X411" t="str">
            <v>Sardar Tanveer Ilyas</v>
          </cell>
        </row>
        <row r="412">
          <cell r="K412">
            <v>12162</v>
          </cell>
          <cell r="M412" t="str">
            <v>Intiqal</v>
          </cell>
          <cell r="N412" t="str">
            <v>Not Available</v>
          </cell>
          <cell r="O412">
            <v>0</v>
          </cell>
          <cell r="P412">
            <v>1</v>
          </cell>
          <cell r="Q412">
            <v>0</v>
          </cell>
          <cell r="R412">
            <v>0</v>
          </cell>
          <cell r="S412">
            <v>0</v>
          </cell>
          <cell r="T412">
            <v>1</v>
          </cell>
          <cell r="U412">
            <v>18</v>
          </cell>
          <cell r="V412">
            <v>0</v>
          </cell>
          <cell r="X412" t="str">
            <v>Sardar Tanveer Ilyas</v>
          </cell>
        </row>
        <row r="413">
          <cell r="K413">
            <v>12161</v>
          </cell>
          <cell r="M413" t="str">
            <v>Intiqal</v>
          </cell>
          <cell r="N413" t="str">
            <v>Not Available</v>
          </cell>
          <cell r="O413">
            <v>0</v>
          </cell>
          <cell r="P413">
            <v>17</v>
          </cell>
          <cell r="Q413">
            <v>1</v>
          </cell>
          <cell r="R413">
            <v>0</v>
          </cell>
          <cell r="S413">
            <v>0</v>
          </cell>
          <cell r="T413">
            <v>0</v>
          </cell>
          <cell r="U413">
            <v>-16</v>
          </cell>
          <cell r="V413">
            <v>-1</v>
          </cell>
          <cell r="X413" t="str">
            <v>Sardar Tanveer Ilyas</v>
          </cell>
        </row>
        <row r="414">
          <cell r="K414">
            <v>12160</v>
          </cell>
          <cell r="M414" t="str">
            <v>Intiqal</v>
          </cell>
          <cell r="N414" t="str">
            <v>Not Available</v>
          </cell>
          <cell r="O414">
            <v>1</v>
          </cell>
          <cell r="P414">
            <v>16</v>
          </cell>
          <cell r="Q414">
            <v>0</v>
          </cell>
          <cell r="R414">
            <v>0</v>
          </cell>
          <cell r="S414">
            <v>0</v>
          </cell>
          <cell r="T414">
            <v>-1</v>
          </cell>
          <cell r="U414">
            <v>1</v>
          </cell>
          <cell r="V414">
            <v>1</v>
          </cell>
          <cell r="X414" t="str">
            <v>Sardar Tanveer Ilyas</v>
          </cell>
        </row>
        <row r="415">
          <cell r="K415">
            <v>11897</v>
          </cell>
          <cell r="M415" t="str">
            <v>Intiqal</v>
          </cell>
          <cell r="N415" t="str">
            <v>Not Available</v>
          </cell>
          <cell r="O415">
            <v>1</v>
          </cell>
          <cell r="P415">
            <v>10</v>
          </cell>
          <cell r="Q415">
            <v>0</v>
          </cell>
          <cell r="R415">
            <v>0</v>
          </cell>
          <cell r="S415">
            <v>0</v>
          </cell>
          <cell r="T415">
            <v>11</v>
          </cell>
          <cell r="U415">
            <v>-4</v>
          </cell>
          <cell r="V415">
            <v>6</v>
          </cell>
          <cell r="X415" t="str">
            <v>Sardar Tanveer Ilyas</v>
          </cell>
        </row>
        <row r="416">
          <cell r="K416">
            <v>11834</v>
          </cell>
          <cell r="M416" t="str">
            <v>Intiqal</v>
          </cell>
          <cell r="N416" t="str">
            <v>Not Available</v>
          </cell>
          <cell r="O416">
            <v>2</v>
          </cell>
          <cell r="P416">
            <v>1</v>
          </cell>
          <cell r="Q416">
            <v>0</v>
          </cell>
          <cell r="R416">
            <v>0</v>
          </cell>
          <cell r="S416">
            <v>0</v>
          </cell>
          <cell r="T416">
            <v>-1</v>
          </cell>
          <cell r="U416">
            <v>9</v>
          </cell>
          <cell r="V416">
            <v>0</v>
          </cell>
          <cell r="X416" t="str">
            <v>Sardar Tanveer Ilyas</v>
          </cell>
        </row>
        <row r="417">
          <cell r="K417">
            <v>11827</v>
          </cell>
          <cell r="M417" t="str">
            <v>Intiqal</v>
          </cell>
          <cell r="N417" t="str">
            <v>Not Available</v>
          </cell>
          <cell r="O417">
            <v>0</v>
          </cell>
          <cell r="P417">
            <v>14</v>
          </cell>
          <cell r="Q417">
            <v>0</v>
          </cell>
          <cell r="R417">
            <v>0</v>
          </cell>
          <cell r="S417">
            <v>0</v>
          </cell>
          <cell r="T417">
            <v>2</v>
          </cell>
          <cell r="U417">
            <v>-13</v>
          </cell>
          <cell r="V417">
            <v>0</v>
          </cell>
          <cell r="X417" t="str">
            <v>Sardar Tanveer Ilyas</v>
          </cell>
        </row>
        <row r="418">
          <cell r="K418">
            <v>11947</v>
          </cell>
          <cell r="M418" t="str">
            <v>Intiqal</v>
          </cell>
          <cell r="N418" t="str">
            <v>Not Available</v>
          </cell>
          <cell r="O418">
            <v>1</v>
          </cell>
          <cell r="P418">
            <v>19</v>
          </cell>
          <cell r="Q418">
            <v>6</v>
          </cell>
          <cell r="R418">
            <v>0</v>
          </cell>
          <cell r="S418">
            <v>0</v>
          </cell>
          <cell r="T418">
            <v>-1</v>
          </cell>
          <cell r="U418">
            <v>-5</v>
          </cell>
          <cell r="V418">
            <v>-6</v>
          </cell>
          <cell r="X418" t="str">
            <v>Sardar Tanveer Ilyas</v>
          </cell>
        </row>
        <row r="419">
          <cell r="K419">
            <v>12118</v>
          </cell>
          <cell r="M419" t="str">
            <v>Intiqal</v>
          </cell>
          <cell r="N419" t="str">
            <v>Not Available</v>
          </cell>
          <cell r="O419">
            <v>6</v>
          </cell>
          <cell r="P419">
            <v>2</v>
          </cell>
          <cell r="Q419">
            <v>0</v>
          </cell>
          <cell r="R419">
            <v>382000</v>
          </cell>
          <cell r="S419">
            <v>0</v>
          </cell>
          <cell r="T419">
            <v>-5</v>
          </cell>
          <cell r="U419">
            <v>17</v>
          </cell>
          <cell r="V419">
            <v>6</v>
          </cell>
          <cell r="X419" t="str">
            <v>Sardar Tanveer Ilyas</v>
          </cell>
        </row>
        <row r="420">
          <cell r="K420">
            <v>1356</v>
          </cell>
          <cell r="M420" t="str">
            <v>Intiqal</v>
          </cell>
          <cell r="N420" t="str">
            <v>Not Available</v>
          </cell>
          <cell r="O420">
            <v>0</v>
          </cell>
          <cell r="P420">
            <v>3</v>
          </cell>
          <cell r="Q420">
            <v>5</v>
          </cell>
          <cell r="R420">
            <v>0</v>
          </cell>
          <cell r="S420">
            <v>0</v>
          </cell>
          <cell r="T420">
            <v>1</v>
          </cell>
          <cell r="U420">
            <v>14</v>
          </cell>
          <cell r="V420">
            <v>-3</v>
          </cell>
          <cell r="X420" t="str">
            <v>Sardar Tanveer Ilyas</v>
          </cell>
        </row>
        <row r="421">
          <cell r="K421">
            <v>1355</v>
          </cell>
          <cell r="M421" t="str">
            <v>Intiqal</v>
          </cell>
          <cell r="N421" t="str">
            <v>Not Available</v>
          </cell>
          <cell r="O421">
            <v>1</v>
          </cell>
          <cell r="P421">
            <v>13</v>
          </cell>
          <cell r="Q421">
            <v>6</v>
          </cell>
          <cell r="R421">
            <v>0</v>
          </cell>
          <cell r="S421">
            <v>0</v>
          </cell>
          <cell r="T421">
            <v>-1</v>
          </cell>
          <cell r="U421">
            <v>-10</v>
          </cell>
          <cell r="V421">
            <v>-1</v>
          </cell>
          <cell r="X421" t="str">
            <v>Sardar Tanveer Ilyas</v>
          </cell>
        </row>
        <row r="422">
          <cell r="K422">
            <v>11848</v>
          </cell>
          <cell r="M422" t="str">
            <v>Intiqal</v>
          </cell>
          <cell r="N422" t="str">
            <v>Not Available</v>
          </cell>
          <cell r="O422">
            <v>0</v>
          </cell>
          <cell r="P422">
            <v>5</v>
          </cell>
          <cell r="Q422">
            <v>4.5</v>
          </cell>
          <cell r="R422">
            <v>0</v>
          </cell>
          <cell r="S422">
            <v>0</v>
          </cell>
          <cell r="T422">
            <v>0</v>
          </cell>
          <cell r="U422">
            <v>6</v>
          </cell>
          <cell r="V422">
            <v>-4.5</v>
          </cell>
          <cell r="X422" t="str">
            <v>Sardar Tanveer Ilyas</v>
          </cell>
        </row>
        <row r="423">
          <cell r="K423">
            <v>11840</v>
          </cell>
          <cell r="M423" t="str">
            <v>Intiqal</v>
          </cell>
          <cell r="N423" t="str">
            <v>Not Available</v>
          </cell>
          <cell r="O423">
            <v>0</v>
          </cell>
          <cell r="P423">
            <v>5</v>
          </cell>
          <cell r="Q423">
            <v>4.5</v>
          </cell>
          <cell r="R423">
            <v>22600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X423" t="str">
            <v>Sardar Tanveer Ilyas</v>
          </cell>
        </row>
        <row r="424">
          <cell r="K424">
            <v>11822</v>
          </cell>
          <cell r="M424" t="str">
            <v>Intiqal</v>
          </cell>
          <cell r="N424" t="str">
            <v>Not Available</v>
          </cell>
          <cell r="O424">
            <v>1</v>
          </cell>
          <cell r="P424">
            <v>0</v>
          </cell>
          <cell r="Q424">
            <v>0</v>
          </cell>
          <cell r="R424">
            <v>70000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X424" t="str">
            <v>Sardar Tanveer Ilyas</v>
          </cell>
        </row>
        <row r="425">
          <cell r="K425">
            <v>11831</v>
          </cell>
          <cell r="M425" t="str">
            <v>Intiqal</v>
          </cell>
          <cell r="N425" t="str">
            <v>Not Available</v>
          </cell>
          <cell r="O425">
            <v>1</v>
          </cell>
          <cell r="P425">
            <v>10</v>
          </cell>
          <cell r="Q425">
            <v>0</v>
          </cell>
          <cell r="R425">
            <v>121500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X425" t="str">
            <v>Sardar Tanveer Ilyas</v>
          </cell>
        </row>
        <row r="426">
          <cell r="K426">
            <v>11944</v>
          </cell>
          <cell r="M426" t="str">
            <v>Intiqal</v>
          </cell>
          <cell r="N426" t="str">
            <v>Not Available</v>
          </cell>
          <cell r="O426">
            <v>4</v>
          </cell>
          <cell r="P426">
            <v>11</v>
          </cell>
          <cell r="Q426">
            <v>7</v>
          </cell>
          <cell r="R426">
            <v>246500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X426" t="str">
            <v>Sardar Tanveer Ilyas</v>
          </cell>
        </row>
        <row r="427">
          <cell r="K427">
            <v>11871</v>
          </cell>
          <cell r="M427" t="str">
            <v>Intiqal</v>
          </cell>
          <cell r="N427" t="str">
            <v>Not Available</v>
          </cell>
          <cell r="O427">
            <v>0</v>
          </cell>
          <cell r="P427">
            <v>4</v>
          </cell>
          <cell r="Q427">
            <v>7</v>
          </cell>
          <cell r="R427">
            <v>13200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X427" t="str">
            <v>Sardar Tanveer Ilyas</v>
          </cell>
        </row>
        <row r="428">
          <cell r="K428">
            <v>11923</v>
          </cell>
          <cell r="M428" t="str">
            <v>Intiqal</v>
          </cell>
          <cell r="N428" t="str">
            <v>Not Available</v>
          </cell>
          <cell r="O428">
            <v>0</v>
          </cell>
          <cell r="P428">
            <v>5</v>
          </cell>
          <cell r="Q428">
            <v>0</v>
          </cell>
          <cell r="R428">
            <v>18900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X428" t="str">
            <v>Sardar Tanveer Ilyas</v>
          </cell>
        </row>
        <row r="429">
          <cell r="K429">
            <v>1234</v>
          </cell>
          <cell r="M429" t="str">
            <v>Intiqal</v>
          </cell>
          <cell r="N429" t="str">
            <v>Not Available</v>
          </cell>
          <cell r="O429">
            <v>8</v>
          </cell>
          <cell r="P429">
            <v>19</v>
          </cell>
          <cell r="Q429">
            <v>8</v>
          </cell>
          <cell r="R429">
            <v>337500</v>
          </cell>
          <cell r="S429">
            <v>450000</v>
          </cell>
          <cell r="T429">
            <v>10</v>
          </cell>
          <cell r="U429">
            <v>-19</v>
          </cell>
          <cell r="V429">
            <v>-1</v>
          </cell>
          <cell r="X429" t="str">
            <v>Sardar Tanveer Ilyas</v>
          </cell>
        </row>
        <row r="430">
          <cell r="K430">
            <v>1233</v>
          </cell>
          <cell r="M430" t="str">
            <v>Intiqal</v>
          </cell>
          <cell r="N430" t="str">
            <v>Not Available</v>
          </cell>
          <cell r="O430">
            <v>9</v>
          </cell>
          <cell r="P430">
            <v>0</v>
          </cell>
          <cell r="Q430">
            <v>8</v>
          </cell>
          <cell r="R430">
            <v>337500</v>
          </cell>
          <cell r="S430">
            <v>0</v>
          </cell>
          <cell r="T430">
            <v>-1</v>
          </cell>
          <cell r="U430">
            <v>19</v>
          </cell>
          <cell r="V430">
            <v>0</v>
          </cell>
          <cell r="X430" t="str">
            <v>Sardar Tanveer Ilyas</v>
          </cell>
        </row>
        <row r="431">
          <cell r="K431">
            <v>11289</v>
          </cell>
          <cell r="M431" t="str">
            <v>Intiqal</v>
          </cell>
          <cell r="N431" t="str">
            <v>Not Available</v>
          </cell>
          <cell r="O431">
            <v>0</v>
          </cell>
          <cell r="P431">
            <v>11</v>
          </cell>
          <cell r="Q431">
            <v>0</v>
          </cell>
          <cell r="R431">
            <v>27500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X431" t="str">
            <v>Sardar Tanveer Ilyas</v>
          </cell>
        </row>
        <row r="432">
          <cell r="K432">
            <v>11120</v>
          </cell>
          <cell r="M432" t="str">
            <v>Intiqal</v>
          </cell>
          <cell r="N432" t="str">
            <v>Not Available</v>
          </cell>
          <cell r="O432">
            <v>2</v>
          </cell>
          <cell r="P432">
            <v>0</v>
          </cell>
          <cell r="Q432">
            <v>0</v>
          </cell>
          <cell r="R432">
            <v>133000</v>
          </cell>
          <cell r="S432">
            <v>6000</v>
          </cell>
          <cell r="T432">
            <v>4</v>
          </cell>
          <cell r="U432">
            <v>0</v>
          </cell>
          <cell r="V432">
            <v>0</v>
          </cell>
          <cell r="X432" t="str">
            <v>Sardar Tanveer Ilyas</v>
          </cell>
        </row>
        <row r="433">
          <cell r="K433">
            <v>11119</v>
          </cell>
          <cell r="M433" t="str">
            <v>Intiqal</v>
          </cell>
          <cell r="N433" t="str">
            <v>Not Available</v>
          </cell>
          <cell r="O433">
            <v>2</v>
          </cell>
          <cell r="P433">
            <v>0</v>
          </cell>
          <cell r="Q433">
            <v>0</v>
          </cell>
          <cell r="R433">
            <v>132000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X433" t="str">
            <v>Sardar Tanveer Ilyas</v>
          </cell>
        </row>
        <row r="434">
          <cell r="K434">
            <v>11118</v>
          </cell>
          <cell r="M434" t="str">
            <v>Intiqal</v>
          </cell>
          <cell r="N434" t="str">
            <v>Not Available</v>
          </cell>
          <cell r="O434">
            <v>2</v>
          </cell>
          <cell r="P434">
            <v>0</v>
          </cell>
          <cell r="Q434">
            <v>0</v>
          </cell>
          <cell r="R434">
            <v>132000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X434" t="str">
            <v>Sardar Tanveer Ilyas</v>
          </cell>
        </row>
        <row r="435">
          <cell r="K435">
            <v>11687</v>
          </cell>
          <cell r="M435" t="str">
            <v>Intiqal</v>
          </cell>
          <cell r="N435" t="str">
            <v>Not Available</v>
          </cell>
          <cell r="O435">
            <v>3</v>
          </cell>
          <cell r="P435">
            <v>19</v>
          </cell>
          <cell r="Q435">
            <v>0</v>
          </cell>
          <cell r="R435">
            <v>309900</v>
          </cell>
          <cell r="S435">
            <v>200000</v>
          </cell>
          <cell r="T435">
            <v>0</v>
          </cell>
          <cell r="U435">
            <v>0</v>
          </cell>
          <cell r="V435">
            <v>0</v>
          </cell>
          <cell r="X435" t="str">
            <v>Sardar Tanveer Ilyas</v>
          </cell>
        </row>
        <row r="436">
          <cell r="K436">
            <v>11791</v>
          </cell>
          <cell r="M436" t="str">
            <v>Intiqal</v>
          </cell>
          <cell r="N436" t="str">
            <v>Not Available</v>
          </cell>
          <cell r="O436">
            <v>1</v>
          </cell>
          <cell r="P436">
            <v>0</v>
          </cell>
          <cell r="Q436">
            <v>0</v>
          </cell>
          <cell r="R436">
            <v>69500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X436" t="str">
            <v>Sardar Tanveer Ilyas</v>
          </cell>
        </row>
        <row r="437">
          <cell r="K437">
            <v>11997</v>
          </cell>
          <cell r="M437" t="str">
            <v>Intiqal</v>
          </cell>
          <cell r="N437" t="str">
            <v>Not Available</v>
          </cell>
          <cell r="O437">
            <v>5</v>
          </cell>
          <cell r="P437">
            <v>0</v>
          </cell>
          <cell r="Q437">
            <v>0</v>
          </cell>
          <cell r="R437">
            <v>268500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X437" t="str">
            <v>Sardar Tanveer Ilyas</v>
          </cell>
        </row>
        <row r="438">
          <cell r="K438">
            <v>12028</v>
          </cell>
          <cell r="M438" t="str">
            <v>Intiqal</v>
          </cell>
          <cell r="N438" t="str">
            <v>Not Available</v>
          </cell>
          <cell r="O438">
            <v>5</v>
          </cell>
          <cell r="P438">
            <v>5</v>
          </cell>
          <cell r="Q438">
            <v>1</v>
          </cell>
          <cell r="R438">
            <v>315000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X438" t="str">
            <v>Sardar Tanveer Ilyas</v>
          </cell>
        </row>
        <row r="439">
          <cell r="K439">
            <v>12007</v>
          </cell>
          <cell r="M439" t="str">
            <v>Intiqal</v>
          </cell>
          <cell r="N439" t="str">
            <v>Not Available</v>
          </cell>
          <cell r="O439">
            <v>0</v>
          </cell>
          <cell r="P439">
            <v>6</v>
          </cell>
          <cell r="Q439">
            <v>6</v>
          </cell>
          <cell r="R439">
            <v>29500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X439" t="str">
            <v>Sardar Tanveer Ilyas</v>
          </cell>
        </row>
        <row r="440">
          <cell r="K440">
            <v>11287</v>
          </cell>
          <cell r="M440" t="str">
            <v>Intiqal</v>
          </cell>
          <cell r="N440" t="str">
            <v>Not Available</v>
          </cell>
          <cell r="O440">
            <v>15</v>
          </cell>
          <cell r="P440">
            <v>5</v>
          </cell>
          <cell r="Q440">
            <v>0</v>
          </cell>
          <cell r="R440">
            <v>1179500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X440" t="str">
            <v>Sardar Tanveer Ilyas</v>
          </cell>
        </row>
        <row r="441">
          <cell r="K441">
            <v>12270</v>
          </cell>
          <cell r="M441" t="str">
            <v>Intiqal</v>
          </cell>
          <cell r="N441" t="str">
            <v>Not Available</v>
          </cell>
          <cell r="O441">
            <v>29</v>
          </cell>
          <cell r="P441">
            <v>1</v>
          </cell>
          <cell r="Q441">
            <v>0</v>
          </cell>
          <cell r="R441">
            <v>3473000</v>
          </cell>
          <cell r="S441">
            <v>1450000</v>
          </cell>
          <cell r="T441">
            <v>0</v>
          </cell>
          <cell r="U441">
            <v>0</v>
          </cell>
          <cell r="V441">
            <v>0</v>
          </cell>
          <cell r="X441" t="str">
            <v>Sardar Tanveer Ilyas</v>
          </cell>
        </row>
        <row r="442">
          <cell r="K442">
            <v>12049</v>
          </cell>
          <cell r="M442" t="str">
            <v>Intiqal</v>
          </cell>
          <cell r="N442" t="str">
            <v>Not Available</v>
          </cell>
          <cell r="O442">
            <v>0</v>
          </cell>
          <cell r="P442">
            <v>9</v>
          </cell>
          <cell r="Q442">
            <v>0</v>
          </cell>
          <cell r="R442">
            <v>32500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X442" t="str">
            <v>Sardar Tanveer Ilyas</v>
          </cell>
        </row>
        <row r="443">
          <cell r="K443">
            <v>12121</v>
          </cell>
          <cell r="M443" t="str">
            <v>Intiqal</v>
          </cell>
          <cell r="N443" t="str">
            <v>Not Available</v>
          </cell>
          <cell r="O443">
            <v>0</v>
          </cell>
          <cell r="P443">
            <v>18</v>
          </cell>
          <cell r="Q443">
            <v>3</v>
          </cell>
          <cell r="R443">
            <v>93000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X443" t="str">
            <v>Sardar Tanveer Ilyas</v>
          </cell>
        </row>
        <row r="444">
          <cell r="K444">
            <v>12259</v>
          </cell>
          <cell r="M444" t="str">
            <v>Intiqal</v>
          </cell>
          <cell r="N444" t="str">
            <v>Not Available</v>
          </cell>
          <cell r="O444">
            <v>31</v>
          </cell>
          <cell r="P444">
            <v>14</v>
          </cell>
          <cell r="Q444">
            <v>0</v>
          </cell>
          <cell r="R444">
            <v>1990000</v>
          </cell>
          <cell r="S444">
            <v>1585000</v>
          </cell>
          <cell r="T444">
            <v>0</v>
          </cell>
          <cell r="U444">
            <v>0</v>
          </cell>
          <cell r="V444">
            <v>0</v>
          </cell>
          <cell r="X444" t="str">
            <v>Sardar Tanveer Ilyas</v>
          </cell>
        </row>
        <row r="445">
          <cell r="K445">
            <v>12166</v>
          </cell>
          <cell r="M445" t="str">
            <v>Intiqal</v>
          </cell>
          <cell r="N445" t="str">
            <v>Not Available</v>
          </cell>
          <cell r="O445">
            <v>0</v>
          </cell>
          <cell r="P445">
            <v>5</v>
          </cell>
          <cell r="Q445">
            <v>0</v>
          </cell>
          <cell r="R445">
            <v>939000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X445" t="str">
            <v>Sardar Tanveer Ilyas</v>
          </cell>
        </row>
        <row r="446">
          <cell r="K446">
            <v>12154</v>
          </cell>
          <cell r="M446" t="str">
            <v>Intiqal</v>
          </cell>
          <cell r="N446" t="str">
            <v>Not Available</v>
          </cell>
          <cell r="O446">
            <v>0</v>
          </cell>
          <cell r="P446">
            <v>4</v>
          </cell>
          <cell r="Q446">
            <v>0</v>
          </cell>
          <cell r="R446">
            <v>17000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X446" t="str">
            <v>Sardar Tanveer Ilyas</v>
          </cell>
        </row>
        <row r="447">
          <cell r="K447">
            <v>1251</v>
          </cell>
          <cell r="M447" t="str">
            <v>Intiqal</v>
          </cell>
          <cell r="N447" t="str">
            <v>Not Available</v>
          </cell>
          <cell r="O447">
            <v>0</v>
          </cell>
          <cell r="P447">
            <v>14</v>
          </cell>
          <cell r="Q447">
            <v>0</v>
          </cell>
          <cell r="R447">
            <v>21000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X447" t="str">
            <v>Sardar Tanveer Ilyas</v>
          </cell>
        </row>
        <row r="448">
          <cell r="M448" t="str">
            <v>Not Available</v>
          </cell>
          <cell r="N448" t="str">
            <v>Not Available</v>
          </cell>
          <cell r="O448">
            <v>0</v>
          </cell>
          <cell r="P448">
            <v>10</v>
          </cell>
          <cell r="Q448">
            <v>0</v>
          </cell>
          <cell r="R448">
            <v>40500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K449">
            <v>12137</v>
          </cell>
          <cell r="M449" t="str">
            <v>Intiqal</v>
          </cell>
          <cell r="N449" t="str">
            <v>Not Available</v>
          </cell>
          <cell r="O449">
            <v>0</v>
          </cell>
          <cell r="P449">
            <v>1</v>
          </cell>
          <cell r="Q449">
            <v>7</v>
          </cell>
          <cell r="R449">
            <v>3400</v>
          </cell>
          <cell r="S449">
            <v>0</v>
          </cell>
          <cell r="T449">
            <v>0</v>
          </cell>
          <cell r="U449">
            <v>7</v>
          </cell>
          <cell r="V449">
            <v>-1</v>
          </cell>
          <cell r="X449" t="str">
            <v>Sardar Tanveer Ilyas</v>
          </cell>
        </row>
        <row r="450">
          <cell r="K450">
            <v>12129</v>
          </cell>
          <cell r="M450" t="str">
            <v>Intiqal</v>
          </cell>
          <cell r="N450" t="str">
            <v>Not Available</v>
          </cell>
          <cell r="O450">
            <v>0</v>
          </cell>
          <cell r="P450">
            <v>6</v>
          </cell>
          <cell r="Q450">
            <v>8</v>
          </cell>
          <cell r="R450">
            <v>21500</v>
          </cell>
          <cell r="S450">
            <v>0</v>
          </cell>
          <cell r="T450">
            <v>0</v>
          </cell>
          <cell r="U450">
            <v>-5</v>
          </cell>
          <cell r="V450">
            <v>-1</v>
          </cell>
          <cell r="X450" t="str">
            <v>Sardar Tanveer Ilyas</v>
          </cell>
        </row>
        <row r="451">
          <cell r="K451">
            <v>12234</v>
          </cell>
          <cell r="M451" t="str">
            <v>Intiqal</v>
          </cell>
          <cell r="N451" t="str">
            <v>Not Available</v>
          </cell>
          <cell r="O451">
            <v>0</v>
          </cell>
          <cell r="P451">
            <v>11</v>
          </cell>
          <cell r="Q451">
            <v>3</v>
          </cell>
          <cell r="R451">
            <v>0</v>
          </cell>
          <cell r="S451">
            <v>0</v>
          </cell>
          <cell r="T451">
            <v>15</v>
          </cell>
          <cell r="U451">
            <v>6</v>
          </cell>
          <cell r="V451">
            <v>5</v>
          </cell>
          <cell r="X451" t="str">
            <v>Sardar Tanveer Ilyas</v>
          </cell>
        </row>
        <row r="452">
          <cell r="K452">
            <v>11892</v>
          </cell>
          <cell r="M452" t="str">
            <v>Intiqal</v>
          </cell>
          <cell r="N452" t="str">
            <v>Not Available</v>
          </cell>
          <cell r="O452">
            <v>15</v>
          </cell>
          <cell r="P452">
            <v>6</v>
          </cell>
          <cell r="Q452">
            <v>5</v>
          </cell>
          <cell r="R452">
            <v>536286</v>
          </cell>
          <cell r="S452">
            <v>0</v>
          </cell>
          <cell r="T452">
            <v>-15</v>
          </cell>
          <cell r="U452">
            <v>5</v>
          </cell>
          <cell r="V452">
            <v>-2</v>
          </cell>
          <cell r="X452" t="str">
            <v>Sardar Tanveer Ilyas</v>
          </cell>
        </row>
        <row r="453">
          <cell r="K453">
            <v>12236</v>
          </cell>
          <cell r="M453" t="str">
            <v>Intiqal</v>
          </cell>
          <cell r="N453" t="str">
            <v>Not Available</v>
          </cell>
          <cell r="O453">
            <v>4</v>
          </cell>
          <cell r="P453">
            <v>0</v>
          </cell>
          <cell r="Q453">
            <v>0</v>
          </cell>
          <cell r="R453">
            <v>443000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X453" t="str">
            <v>Sardar Tanveer Ilyas</v>
          </cell>
        </row>
        <row r="454">
          <cell r="K454">
            <v>12267</v>
          </cell>
          <cell r="M454" t="str">
            <v>Intiqal</v>
          </cell>
          <cell r="N454" t="str">
            <v>Not Available</v>
          </cell>
          <cell r="O454">
            <v>5</v>
          </cell>
          <cell r="P454">
            <v>10</v>
          </cell>
          <cell r="Q454">
            <v>0</v>
          </cell>
          <cell r="R454">
            <v>345500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X454" t="str">
            <v>Sardar Tanveer Ilyas</v>
          </cell>
        </row>
        <row r="455">
          <cell r="K455">
            <v>12271</v>
          </cell>
          <cell r="M455" t="str">
            <v>Intiqal</v>
          </cell>
          <cell r="N455" t="str">
            <v>Not Available</v>
          </cell>
          <cell r="O455">
            <v>0</v>
          </cell>
          <cell r="P455">
            <v>17</v>
          </cell>
          <cell r="Q455">
            <v>4.5</v>
          </cell>
          <cell r="R455">
            <v>167000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X455" t="str">
            <v>Sardar Tanveer Ilyas</v>
          </cell>
        </row>
        <row r="456">
          <cell r="K456">
            <v>12208</v>
          </cell>
          <cell r="M456" t="str">
            <v>Intiqal</v>
          </cell>
          <cell r="N456" t="str">
            <v>Not Available</v>
          </cell>
          <cell r="O456">
            <v>0</v>
          </cell>
          <cell r="P456">
            <v>4</v>
          </cell>
          <cell r="Q456">
            <v>8</v>
          </cell>
          <cell r="R456">
            <v>14500</v>
          </cell>
          <cell r="S456">
            <v>0</v>
          </cell>
          <cell r="T456">
            <v>1</v>
          </cell>
          <cell r="U456">
            <v>2</v>
          </cell>
          <cell r="V456">
            <v>-8</v>
          </cell>
          <cell r="X456" t="str">
            <v>Sardar Tanveer Ilyas</v>
          </cell>
        </row>
        <row r="457">
          <cell r="K457">
            <v>11943</v>
          </cell>
          <cell r="M457" t="str">
            <v>Intiqal</v>
          </cell>
          <cell r="N457" t="str">
            <v>Not Available</v>
          </cell>
          <cell r="O457">
            <v>0</v>
          </cell>
          <cell r="P457">
            <v>4</v>
          </cell>
          <cell r="Q457">
            <v>1</v>
          </cell>
          <cell r="R457">
            <v>12200</v>
          </cell>
          <cell r="S457">
            <v>0</v>
          </cell>
          <cell r="T457">
            <v>0</v>
          </cell>
          <cell r="U457">
            <v>0</v>
          </cell>
          <cell r="V457">
            <v>7</v>
          </cell>
          <cell r="X457" t="str">
            <v>Sardar Tanveer Ilyas</v>
          </cell>
        </row>
        <row r="458">
          <cell r="K458">
            <v>11942</v>
          </cell>
          <cell r="M458" t="str">
            <v>Intiqal</v>
          </cell>
          <cell r="N458" t="str">
            <v>Not Available</v>
          </cell>
          <cell r="O458">
            <v>0</v>
          </cell>
          <cell r="P458">
            <v>17</v>
          </cell>
          <cell r="Q458">
            <v>0</v>
          </cell>
          <cell r="R458">
            <v>32000</v>
          </cell>
          <cell r="S458">
            <v>0</v>
          </cell>
          <cell r="T458">
            <v>0</v>
          </cell>
          <cell r="U458">
            <v>-13</v>
          </cell>
          <cell r="V458">
            <v>1</v>
          </cell>
          <cell r="X458" t="str">
            <v>Sardar Tanveer Ilyas</v>
          </cell>
        </row>
        <row r="459">
          <cell r="K459">
            <v>12312</v>
          </cell>
          <cell r="M459" t="str">
            <v>Intiqal</v>
          </cell>
          <cell r="N459" t="str">
            <v>Not Available</v>
          </cell>
          <cell r="O459">
            <v>0</v>
          </cell>
          <cell r="P459">
            <v>10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X459" t="str">
            <v>Sardar Tanveer Ilyas</v>
          </cell>
        </row>
        <row r="460">
          <cell r="K460">
            <v>12324</v>
          </cell>
          <cell r="M460" t="str">
            <v>Intiqal</v>
          </cell>
          <cell r="N460" t="str">
            <v>Not Available</v>
          </cell>
          <cell r="O460">
            <v>33</v>
          </cell>
          <cell r="P460">
            <v>10</v>
          </cell>
          <cell r="Q460">
            <v>6</v>
          </cell>
          <cell r="R460">
            <v>2281000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X460" t="str">
            <v>Sardar Tanveer Ilyas</v>
          </cell>
        </row>
        <row r="461">
          <cell r="K461">
            <v>12311</v>
          </cell>
          <cell r="M461" t="str">
            <v>Intiqal</v>
          </cell>
          <cell r="N461" t="str">
            <v>Not Available</v>
          </cell>
          <cell r="O461">
            <v>1</v>
          </cell>
          <cell r="P461">
            <v>5</v>
          </cell>
          <cell r="Q461">
            <v>2</v>
          </cell>
          <cell r="R461">
            <v>81500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X461" t="str">
            <v>Sardar Tanveer Ilyas</v>
          </cell>
        </row>
        <row r="462">
          <cell r="K462">
            <v>12256</v>
          </cell>
          <cell r="M462" t="str">
            <v>Intiqal</v>
          </cell>
          <cell r="N462" t="str">
            <v>Not Available</v>
          </cell>
          <cell r="O462">
            <v>2</v>
          </cell>
          <cell r="P462">
            <v>11</v>
          </cell>
          <cell r="Q462">
            <v>0</v>
          </cell>
          <cell r="R462">
            <v>160500</v>
          </cell>
          <cell r="S462">
            <v>0</v>
          </cell>
          <cell r="T462">
            <v>1</v>
          </cell>
          <cell r="U462">
            <v>-9</v>
          </cell>
          <cell r="V462">
            <v>2</v>
          </cell>
          <cell r="X462" t="str">
            <v>Sardar Tanveer Ilyas</v>
          </cell>
        </row>
        <row r="463">
          <cell r="K463">
            <v>12337</v>
          </cell>
          <cell r="M463" t="str">
            <v>Intiqal</v>
          </cell>
          <cell r="N463" t="str">
            <v>Not Available</v>
          </cell>
          <cell r="O463">
            <v>0</v>
          </cell>
          <cell r="P463">
            <v>11</v>
          </cell>
          <cell r="Q463">
            <v>2</v>
          </cell>
          <cell r="R463">
            <v>27500</v>
          </cell>
          <cell r="S463">
            <v>0</v>
          </cell>
          <cell r="T463">
            <v>2</v>
          </cell>
          <cell r="U463">
            <v>0</v>
          </cell>
          <cell r="V463">
            <v>-2</v>
          </cell>
          <cell r="X463" t="str">
            <v>Sardar Tanveer Ilyas</v>
          </cell>
        </row>
        <row r="464">
          <cell r="K464">
            <v>12322</v>
          </cell>
          <cell r="M464" t="str">
            <v>Intiqal</v>
          </cell>
          <cell r="N464" t="str">
            <v>Not Available</v>
          </cell>
          <cell r="O464">
            <v>5</v>
          </cell>
          <cell r="P464">
            <v>18</v>
          </cell>
          <cell r="Q464">
            <v>2</v>
          </cell>
          <cell r="R464">
            <v>368200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X464" t="str">
            <v>Sardar Tanveer Ilyas</v>
          </cell>
        </row>
        <row r="465">
          <cell r="K465">
            <v>12349</v>
          </cell>
          <cell r="M465" t="str">
            <v>Intiqal</v>
          </cell>
          <cell r="N465" t="str">
            <v>Not Available</v>
          </cell>
          <cell r="O465">
            <v>0</v>
          </cell>
          <cell r="P465">
            <v>7</v>
          </cell>
          <cell r="Q465">
            <v>0</v>
          </cell>
          <cell r="R465">
            <v>29000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X465" t="str">
            <v>Sardar Tanveer Ilyas</v>
          </cell>
        </row>
        <row r="466">
          <cell r="K466">
            <v>12342</v>
          </cell>
          <cell r="M466" t="str">
            <v>Intiqal</v>
          </cell>
          <cell r="N466" t="str">
            <v>Not Available</v>
          </cell>
          <cell r="O466">
            <v>0</v>
          </cell>
          <cell r="P466">
            <v>10</v>
          </cell>
          <cell r="Q466">
            <v>0</v>
          </cell>
          <cell r="R466">
            <v>41500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X466" t="str">
            <v>Sardar Tanveer Ilyas</v>
          </cell>
        </row>
        <row r="467">
          <cell r="K467">
            <v>12382</v>
          </cell>
          <cell r="M467" t="str">
            <v>Intiqal</v>
          </cell>
          <cell r="N467" t="str">
            <v>Not Available</v>
          </cell>
          <cell r="O467">
            <v>5</v>
          </cell>
          <cell r="P467">
            <v>5</v>
          </cell>
          <cell r="Q467">
            <v>0</v>
          </cell>
          <cell r="R467">
            <v>519000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X467" t="str">
            <v>Sardar Tanveer Ilyas</v>
          </cell>
        </row>
        <row r="468">
          <cell r="K468">
            <v>12367</v>
          </cell>
          <cell r="M468" t="str">
            <v>Intiqal</v>
          </cell>
          <cell r="N468" t="str">
            <v>Not Available</v>
          </cell>
          <cell r="O468">
            <v>0</v>
          </cell>
          <cell r="P468">
            <v>11</v>
          </cell>
          <cell r="Q468">
            <v>5.5</v>
          </cell>
          <cell r="R468">
            <v>26500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X468" t="str">
            <v>Sardar Tanveer Ilyas</v>
          </cell>
        </row>
        <row r="469">
          <cell r="K469">
            <v>12350</v>
          </cell>
          <cell r="M469" t="str">
            <v>Intiqal</v>
          </cell>
          <cell r="N469" t="str">
            <v>Not Available</v>
          </cell>
          <cell r="O469">
            <v>7</v>
          </cell>
          <cell r="P469">
            <v>0</v>
          </cell>
          <cell r="Q469">
            <v>0</v>
          </cell>
          <cell r="R469">
            <v>0</v>
          </cell>
          <cell r="S469">
            <v>450000</v>
          </cell>
          <cell r="T469">
            <v>0</v>
          </cell>
          <cell r="U469">
            <v>0</v>
          </cell>
          <cell r="V469">
            <v>0</v>
          </cell>
          <cell r="X469" t="str">
            <v>Sardar Tanveer Ilyas</v>
          </cell>
        </row>
        <row r="470">
          <cell r="K470">
            <v>12413</v>
          </cell>
          <cell r="M470" t="str">
            <v>Intiqal</v>
          </cell>
          <cell r="N470" t="str">
            <v>Not Available</v>
          </cell>
          <cell r="O470">
            <v>8</v>
          </cell>
          <cell r="P470">
            <v>7</v>
          </cell>
          <cell r="Q470">
            <v>5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X470" t="str">
            <v>Sardar Tanveer Ilyas</v>
          </cell>
        </row>
        <row r="471">
          <cell r="K471">
            <v>12414</v>
          </cell>
          <cell r="M471" t="str">
            <v>Intiqal</v>
          </cell>
          <cell r="N471" t="str">
            <v>Not Available</v>
          </cell>
          <cell r="O471">
            <v>6</v>
          </cell>
          <cell r="P471">
            <v>9</v>
          </cell>
          <cell r="Q471">
            <v>6</v>
          </cell>
          <cell r="R471">
            <v>416000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X471" t="str">
            <v>Sardar Tanveer Ilyas</v>
          </cell>
        </row>
        <row r="472">
          <cell r="K472">
            <v>12407</v>
          </cell>
          <cell r="M472" t="str">
            <v>Intiqal</v>
          </cell>
          <cell r="N472" t="str">
            <v>Not Available</v>
          </cell>
          <cell r="O472">
            <v>0</v>
          </cell>
          <cell r="P472">
            <v>15</v>
          </cell>
          <cell r="Q472">
            <v>2</v>
          </cell>
          <cell r="R472">
            <v>37000</v>
          </cell>
          <cell r="S472">
            <v>22000</v>
          </cell>
          <cell r="T472">
            <v>0</v>
          </cell>
          <cell r="U472">
            <v>0</v>
          </cell>
          <cell r="V472">
            <v>0</v>
          </cell>
          <cell r="X472" t="str">
            <v>Sardar Tanveer Ilyas</v>
          </cell>
        </row>
        <row r="473">
          <cell r="K473">
            <v>3765</v>
          </cell>
          <cell r="M473" t="str">
            <v>Not Available</v>
          </cell>
          <cell r="N473" t="str">
            <v>Not Available</v>
          </cell>
          <cell r="O473">
            <v>0</v>
          </cell>
          <cell r="P473">
            <v>11</v>
          </cell>
          <cell r="Q473">
            <v>4.5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K474">
            <v>91</v>
          </cell>
          <cell r="M474" t="str">
            <v>Intiqal</v>
          </cell>
          <cell r="N474" t="str">
            <v>Not Available</v>
          </cell>
          <cell r="O474">
            <v>2</v>
          </cell>
          <cell r="P474">
            <v>3</v>
          </cell>
          <cell r="Q474">
            <v>1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X474" t="str">
            <v>Sardar Tanveer Ilyas</v>
          </cell>
        </row>
        <row r="475">
          <cell r="K475">
            <v>137</v>
          </cell>
          <cell r="M475" t="str">
            <v>Intiqal</v>
          </cell>
          <cell r="N475" t="str">
            <v>Not Available</v>
          </cell>
          <cell r="O475">
            <v>7</v>
          </cell>
          <cell r="P475">
            <v>19</v>
          </cell>
          <cell r="Q475">
            <v>8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X475" t="str">
            <v>Sardar Tanveer Ilyas</v>
          </cell>
        </row>
        <row r="476">
          <cell r="K476">
            <v>3111</v>
          </cell>
          <cell r="M476" t="str">
            <v>Intiqal</v>
          </cell>
          <cell r="N476" t="str">
            <v>Not Available</v>
          </cell>
          <cell r="O476">
            <v>10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X476" t="str">
            <v>Sardar Tanveer Ilyas</v>
          </cell>
        </row>
        <row r="477">
          <cell r="K477">
            <v>12422</v>
          </cell>
          <cell r="M477" t="str">
            <v>Intiqal</v>
          </cell>
          <cell r="N477" t="str">
            <v>Not Available</v>
          </cell>
          <cell r="O477">
            <v>0</v>
          </cell>
          <cell r="P477">
            <v>5</v>
          </cell>
          <cell r="Q477">
            <v>0</v>
          </cell>
          <cell r="R477">
            <v>33125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X477" t="str">
            <v>Sardar Tanveer Ilyas</v>
          </cell>
        </row>
        <row r="478">
          <cell r="K478">
            <v>12514</v>
          </cell>
          <cell r="M478" t="str">
            <v>Intiqal</v>
          </cell>
          <cell r="N478" t="str">
            <v>Not Available</v>
          </cell>
          <cell r="O478">
            <v>1</v>
          </cell>
          <cell r="P478">
            <v>5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X478" t="str">
            <v>Sardar Tanveer Ilyas</v>
          </cell>
        </row>
        <row r="479">
          <cell r="K479">
            <v>1814</v>
          </cell>
          <cell r="M479" t="str">
            <v>Intiqal</v>
          </cell>
          <cell r="N479" t="str">
            <v>Not Available</v>
          </cell>
          <cell r="O479">
            <v>6</v>
          </cell>
          <cell r="P479">
            <v>15</v>
          </cell>
          <cell r="Q479">
            <v>0</v>
          </cell>
          <cell r="R479">
            <v>0</v>
          </cell>
          <cell r="S479">
            <v>0</v>
          </cell>
          <cell r="T479">
            <v>376</v>
          </cell>
          <cell r="U479">
            <v>-2</v>
          </cell>
          <cell r="V479">
            <v>2.5</v>
          </cell>
          <cell r="X479" t="str">
            <v>Sardar Tanveer Ilyas</v>
          </cell>
        </row>
        <row r="480">
          <cell r="K480">
            <v>635</v>
          </cell>
          <cell r="M480" t="str">
            <v>Intiqal</v>
          </cell>
          <cell r="N480" t="str">
            <v>Not Available</v>
          </cell>
          <cell r="O480">
            <v>0</v>
          </cell>
          <cell r="P480">
            <v>8</v>
          </cell>
          <cell r="Q480">
            <v>2</v>
          </cell>
          <cell r="R480">
            <v>0</v>
          </cell>
          <cell r="S480">
            <v>0</v>
          </cell>
          <cell r="T480">
            <v>6</v>
          </cell>
          <cell r="U480">
            <v>7</v>
          </cell>
          <cell r="V480">
            <v>-2</v>
          </cell>
          <cell r="X480" t="str">
            <v>Sardar Tanveer Ilyas</v>
          </cell>
        </row>
        <row r="481">
          <cell r="K481">
            <v>549</v>
          </cell>
          <cell r="M481" t="str">
            <v>Intiqal</v>
          </cell>
          <cell r="N481" t="str">
            <v>Not Available</v>
          </cell>
          <cell r="O481">
            <v>25</v>
          </cell>
          <cell r="P481">
            <v>2</v>
          </cell>
          <cell r="Q481">
            <v>0</v>
          </cell>
          <cell r="R481">
            <v>0</v>
          </cell>
          <cell r="S481">
            <v>0</v>
          </cell>
          <cell r="T481">
            <v>-25</v>
          </cell>
          <cell r="U481">
            <v>6</v>
          </cell>
          <cell r="V481">
            <v>2</v>
          </cell>
          <cell r="X481" t="str">
            <v>Sardar Tanveer Ilyas</v>
          </cell>
        </row>
        <row r="482">
          <cell r="K482">
            <v>436</v>
          </cell>
          <cell r="M482" t="str">
            <v>Intiqal</v>
          </cell>
          <cell r="N482" t="str">
            <v>Not Available</v>
          </cell>
          <cell r="O482">
            <v>11</v>
          </cell>
          <cell r="P482">
            <v>17</v>
          </cell>
          <cell r="Q482">
            <v>5</v>
          </cell>
          <cell r="R482">
            <v>0</v>
          </cell>
          <cell r="S482">
            <v>0</v>
          </cell>
          <cell r="T482">
            <v>14</v>
          </cell>
          <cell r="U482">
            <v>-15</v>
          </cell>
          <cell r="V482">
            <v>-5</v>
          </cell>
          <cell r="X482" t="str">
            <v>Sardar Tanveer Ilyas</v>
          </cell>
        </row>
        <row r="483">
          <cell r="K483">
            <v>432</v>
          </cell>
          <cell r="M483" t="str">
            <v>Intiqal</v>
          </cell>
          <cell r="N483" t="str">
            <v>Not Available</v>
          </cell>
          <cell r="O483">
            <v>15</v>
          </cell>
          <cell r="P483">
            <v>14</v>
          </cell>
          <cell r="Q483">
            <v>0</v>
          </cell>
          <cell r="R483">
            <v>0</v>
          </cell>
          <cell r="S483">
            <v>0</v>
          </cell>
          <cell r="T483">
            <v>-4</v>
          </cell>
          <cell r="U483">
            <v>3</v>
          </cell>
          <cell r="V483">
            <v>5</v>
          </cell>
          <cell r="X483" t="str">
            <v>Sardar Tanveer Ilyas</v>
          </cell>
        </row>
        <row r="484">
          <cell r="K484">
            <v>237</v>
          </cell>
          <cell r="M484" t="str">
            <v>Intiqal</v>
          </cell>
          <cell r="N484" t="str">
            <v>Not Available</v>
          </cell>
          <cell r="O484">
            <v>33</v>
          </cell>
          <cell r="P484">
            <v>6</v>
          </cell>
          <cell r="Q484">
            <v>0</v>
          </cell>
          <cell r="R484">
            <v>0</v>
          </cell>
          <cell r="S484">
            <v>0</v>
          </cell>
          <cell r="T484">
            <v>-18</v>
          </cell>
          <cell r="U484">
            <v>8</v>
          </cell>
          <cell r="V484">
            <v>0</v>
          </cell>
          <cell r="X484" t="str">
            <v>Sardar Tanveer Ilyas</v>
          </cell>
        </row>
        <row r="485">
          <cell r="K485">
            <v>233</v>
          </cell>
          <cell r="M485" t="str">
            <v>Intiqal</v>
          </cell>
          <cell r="N485" t="str">
            <v>Not Available</v>
          </cell>
          <cell r="O485">
            <v>12</v>
          </cell>
          <cell r="P485">
            <v>2</v>
          </cell>
          <cell r="Q485">
            <v>4.5</v>
          </cell>
          <cell r="R485">
            <v>0</v>
          </cell>
          <cell r="S485">
            <v>0</v>
          </cell>
          <cell r="T485">
            <v>21</v>
          </cell>
          <cell r="U485">
            <v>4</v>
          </cell>
          <cell r="V485">
            <v>-4.5</v>
          </cell>
          <cell r="X485" t="str">
            <v>Sardar Tanveer Ilyas</v>
          </cell>
        </row>
        <row r="486">
          <cell r="K486">
            <v>66</v>
          </cell>
          <cell r="M486" t="str">
            <v>Intiqal</v>
          </cell>
          <cell r="N486" t="str">
            <v>Not Available</v>
          </cell>
          <cell r="O486">
            <v>11</v>
          </cell>
          <cell r="P486">
            <v>8</v>
          </cell>
          <cell r="Q486">
            <v>2</v>
          </cell>
          <cell r="R486">
            <v>0</v>
          </cell>
          <cell r="S486">
            <v>0</v>
          </cell>
          <cell r="T486">
            <v>1</v>
          </cell>
          <cell r="U486">
            <v>-6</v>
          </cell>
          <cell r="V486">
            <v>2.5</v>
          </cell>
          <cell r="X486" t="str">
            <v>Sardar Tanveer Ilyas</v>
          </cell>
        </row>
        <row r="487">
          <cell r="K487">
            <v>65</v>
          </cell>
          <cell r="M487" t="str">
            <v>Intiqal</v>
          </cell>
          <cell r="N487" t="str">
            <v>Not Available</v>
          </cell>
          <cell r="O487">
            <v>18</v>
          </cell>
          <cell r="P487">
            <v>10</v>
          </cell>
          <cell r="Q487">
            <v>0</v>
          </cell>
          <cell r="R487">
            <v>0</v>
          </cell>
          <cell r="S487">
            <v>0</v>
          </cell>
          <cell r="T487">
            <v>-7</v>
          </cell>
          <cell r="U487">
            <v>-2</v>
          </cell>
          <cell r="V487">
            <v>2</v>
          </cell>
          <cell r="X487" t="str">
            <v>Sardar Tanveer Ilyas</v>
          </cell>
        </row>
        <row r="488">
          <cell r="K488">
            <v>56</v>
          </cell>
          <cell r="M488" t="str">
            <v>Intiqal</v>
          </cell>
          <cell r="N488" t="str">
            <v>Not Available</v>
          </cell>
          <cell r="O488">
            <v>10</v>
          </cell>
          <cell r="P488">
            <v>16</v>
          </cell>
          <cell r="Q488">
            <v>4</v>
          </cell>
          <cell r="R488">
            <v>0</v>
          </cell>
          <cell r="S488">
            <v>0</v>
          </cell>
          <cell r="T488">
            <v>8</v>
          </cell>
          <cell r="U488">
            <v>-6</v>
          </cell>
          <cell r="V488">
            <v>-4</v>
          </cell>
          <cell r="X488" t="str">
            <v>Sardar Tanveer Ilyas</v>
          </cell>
        </row>
        <row r="489">
          <cell r="K489">
            <v>55</v>
          </cell>
          <cell r="M489" t="str">
            <v>Intiqal</v>
          </cell>
          <cell r="N489" t="str">
            <v>Not Available</v>
          </cell>
          <cell r="O489">
            <v>16</v>
          </cell>
          <cell r="P489">
            <v>0</v>
          </cell>
          <cell r="Q489">
            <v>5</v>
          </cell>
          <cell r="R489">
            <v>0</v>
          </cell>
          <cell r="S489">
            <v>0</v>
          </cell>
          <cell r="T489">
            <v>-6</v>
          </cell>
          <cell r="U489">
            <v>16</v>
          </cell>
          <cell r="V489">
            <v>-1</v>
          </cell>
          <cell r="X489" t="str">
            <v>Sardar Tanveer Ilyas</v>
          </cell>
        </row>
        <row r="490">
          <cell r="K490">
            <v>54</v>
          </cell>
          <cell r="M490" t="str">
            <v>Intiqal</v>
          </cell>
          <cell r="N490" t="str">
            <v>Not Available</v>
          </cell>
          <cell r="O490">
            <v>6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10</v>
          </cell>
          <cell r="U490">
            <v>0</v>
          </cell>
          <cell r="V490">
            <v>5</v>
          </cell>
          <cell r="X490" t="str">
            <v>Sardar Tanveer Ilyas</v>
          </cell>
        </row>
        <row r="491">
          <cell r="K491">
            <v>1816</v>
          </cell>
          <cell r="M491" t="str">
            <v>Intiqal</v>
          </cell>
          <cell r="N491" t="str">
            <v>Not Available</v>
          </cell>
          <cell r="O491">
            <v>0</v>
          </cell>
          <cell r="P491">
            <v>16</v>
          </cell>
          <cell r="Q491">
            <v>0</v>
          </cell>
          <cell r="R491">
            <v>0</v>
          </cell>
          <cell r="S491">
            <v>0</v>
          </cell>
          <cell r="T491">
            <v>6</v>
          </cell>
          <cell r="U491">
            <v>-16</v>
          </cell>
          <cell r="V491">
            <v>0</v>
          </cell>
          <cell r="X491" t="str">
            <v>Sardar Tanveer Ilyas</v>
          </cell>
        </row>
        <row r="492">
          <cell r="K492">
            <v>1813</v>
          </cell>
          <cell r="M492" t="str">
            <v>Intiqal</v>
          </cell>
          <cell r="N492" t="str">
            <v>Not Available</v>
          </cell>
          <cell r="O492">
            <v>6</v>
          </cell>
          <cell r="P492">
            <v>6</v>
          </cell>
          <cell r="Q492">
            <v>7</v>
          </cell>
          <cell r="R492">
            <v>0</v>
          </cell>
          <cell r="S492">
            <v>0</v>
          </cell>
          <cell r="T492">
            <v>-6</v>
          </cell>
          <cell r="U492">
            <v>10</v>
          </cell>
          <cell r="V492">
            <v>-7</v>
          </cell>
          <cell r="X492" t="str">
            <v>Sardar Tanveer Ilyas</v>
          </cell>
        </row>
        <row r="493">
          <cell r="K493">
            <v>1815</v>
          </cell>
          <cell r="M493" t="str">
            <v>Intiqal</v>
          </cell>
          <cell r="N493" t="str">
            <v>Not Available</v>
          </cell>
          <cell r="O493">
            <v>8</v>
          </cell>
          <cell r="P493">
            <v>4</v>
          </cell>
          <cell r="Q493">
            <v>1</v>
          </cell>
          <cell r="R493">
            <v>0</v>
          </cell>
          <cell r="S493">
            <v>0</v>
          </cell>
          <cell r="T493">
            <v>-2</v>
          </cell>
          <cell r="U493">
            <v>2</v>
          </cell>
          <cell r="V493">
            <v>6</v>
          </cell>
          <cell r="X493" t="str">
            <v>Sardar Tanveer Ilyas</v>
          </cell>
        </row>
        <row r="494">
          <cell r="K494">
            <v>1812</v>
          </cell>
          <cell r="M494" t="str">
            <v>Intiqal</v>
          </cell>
          <cell r="N494" t="str">
            <v>Not Available</v>
          </cell>
          <cell r="O494">
            <v>9</v>
          </cell>
          <cell r="P494">
            <v>12</v>
          </cell>
          <cell r="Q494">
            <v>2</v>
          </cell>
          <cell r="R494">
            <v>0</v>
          </cell>
          <cell r="S494">
            <v>0</v>
          </cell>
          <cell r="T494">
            <v>-1</v>
          </cell>
          <cell r="U494">
            <v>-8</v>
          </cell>
          <cell r="V494">
            <v>-1</v>
          </cell>
          <cell r="X494" t="str">
            <v>Sardar Tanveer Ilyas</v>
          </cell>
        </row>
        <row r="495">
          <cell r="K495">
            <v>634</v>
          </cell>
          <cell r="M495" t="str">
            <v>Intiqal</v>
          </cell>
          <cell r="N495" t="str">
            <v>Not Available</v>
          </cell>
          <cell r="O495">
            <v>4</v>
          </cell>
          <cell r="P495">
            <v>1</v>
          </cell>
          <cell r="Q495">
            <v>1</v>
          </cell>
          <cell r="R495">
            <v>0</v>
          </cell>
          <cell r="S495">
            <v>0</v>
          </cell>
          <cell r="T495">
            <v>5</v>
          </cell>
          <cell r="U495">
            <v>11</v>
          </cell>
          <cell r="V495">
            <v>1</v>
          </cell>
          <cell r="X495" t="str">
            <v>Sardar Tanveer Ilyas</v>
          </cell>
        </row>
        <row r="496">
          <cell r="K496">
            <v>633</v>
          </cell>
          <cell r="M496" t="str">
            <v>Intiqal</v>
          </cell>
          <cell r="N496" t="str">
            <v>Not Available</v>
          </cell>
          <cell r="O496">
            <v>1</v>
          </cell>
          <cell r="P496">
            <v>10</v>
          </cell>
          <cell r="Q496">
            <v>1</v>
          </cell>
          <cell r="R496">
            <v>0</v>
          </cell>
          <cell r="S496">
            <v>0</v>
          </cell>
          <cell r="T496">
            <v>3</v>
          </cell>
          <cell r="U496">
            <v>-9</v>
          </cell>
          <cell r="V496">
            <v>0</v>
          </cell>
          <cell r="X496" t="str">
            <v>Sardar Tanveer Ilyas</v>
          </cell>
        </row>
        <row r="497">
          <cell r="K497">
            <v>632</v>
          </cell>
          <cell r="M497" t="str">
            <v>Intiqal</v>
          </cell>
          <cell r="N497" t="str">
            <v>Not Available</v>
          </cell>
          <cell r="O497">
            <v>3</v>
          </cell>
          <cell r="P497">
            <v>4</v>
          </cell>
          <cell r="Q497">
            <v>8</v>
          </cell>
          <cell r="R497">
            <v>0</v>
          </cell>
          <cell r="S497">
            <v>0</v>
          </cell>
          <cell r="T497">
            <v>-2</v>
          </cell>
          <cell r="U497">
            <v>6</v>
          </cell>
          <cell r="V497">
            <v>-7</v>
          </cell>
          <cell r="X497" t="str">
            <v>Sardar Tanveer Ilyas</v>
          </cell>
        </row>
        <row r="498">
          <cell r="K498">
            <v>631</v>
          </cell>
          <cell r="M498" t="str">
            <v>Intiqal</v>
          </cell>
          <cell r="N498" t="str">
            <v>Not Available</v>
          </cell>
          <cell r="O498">
            <v>12</v>
          </cell>
          <cell r="P498">
            <v>0</v>
          </cell>
          <cell r="Q498">
            <v>4</v>
          </cell>
          <cell r="R498">
            <v>0</v>
          </cell>
          <cell r="S498">
            <v>0</v>
          </cell>
          <cell r="T498">
            <v>-9</v>
          </cell>
          <cell r="U498">
            <v>4</v>
          </cell>
          <cell r="V498">
            <v>4</v>
          </cell>
          <cell r="X498" t="str">
            <v>Sardar Tanveer Ilyas</v>
          </cell>
        </row>
        <row r="499">
          <cell r="K499">
            <v>630</v>
          </cell>
          <cell r="M499" t="str">
            <v>Intiqal</v>
          </cell>
          <cell r="N499" t="str">
            <v>Not Available</v>
          </cell>
          <cell r="O499">
            <v>13</v>
          </cell>
          <cell r="P499">
            <v>4</v>
          </cell>
          <cell r="Q499">
            <v>5</v>
          </cell>
          <cell r="R499">
            <v>0</v>
          </cell>
          <cell r="S499">
            <v>0</v>
          </cell>
          <cell r="T499">
            <v>-1</v>
          </cell>
          <cell r="U499">
            <v>-4</v>
          </cell>
          <cell r="V499">
            <v>-1</v>
          </cell>
          <cell r="X499" t="str">
            <v>Sardar Tanveer Ilyas</v>
          </cell>
        </row>
        <row r="500">
          <cell r="K500">
            <v>505</v>
          </cell>
          <cell r="M500" t="str">
            <v>Intiqal</v>
          </cell>
          <cell r="N500" t="str">
            <v>Not Available</v>
          </cell>
          <cell r="O500">
            <v>3</v>
          </cell>
          <cell r="P500">
            <v>4</v>
          </cell>
          <cell r="Q500">
            <v>1</v>
          </cell>
          <cell r="R500">
            <v>0</v>
          </cell>
          <cell r="S500">
            <v>0</v>
          </cell>
          <cell r="T500">
            <v>10</v>
          </cell>
          <cell r="U500">
            <v>0</v>
          </cell>
          <cell r="V500">
            <v>4</v>
          </cell>
          <cell r="X500" t="str">
            <v>Sardar Tanveer Ilyas</v>
          </cell>
        </row>
        <row r="501">
          <cell r="K501">
            <v>504</v>
          </cell>
          <cell r="M501" t="str">
            <v>Intiqal</v>
          </cell>
          <cell r="N501" t="str">
            <v>Not Available</v>
          </cell>
          <cell r="O501">
            <v>0</v>
          </cell>
          <cell r="P501">
            <v>6</v>
          </cell>
          <cell r="Q501">
            <v>0</v>
          </cell>
          <cell r="R501">
            <v>0</v>
          </cell>
          <cell r="S501">
            <v>0</v>
          </cell>
          <cell r="T501">
            <v>3</v>
          </cell>
          <cell r="U501">
            <v>-2</v>
          </cell>
          <cell r="V501">
            <v>1</v>
          </cell>
          <cell r="X501" t="str">
            <v>Sardar Tanveer Ilyas</v>
          </cell>
        </row>
        <row r="502">
          <cell r="K502">
            <v>503</v>
          </cell>
          <cell r="M502" t="str">
            <v>Intiqal</v>
          </cell>
          <cell r="N502" t="str">
            <v>Not Available</v>
          </cell>
          <cell r="O502">
            <v>1</v>
          </cell>
          <cell r="P502">
            <v>3</v>
          </cell>
          <cell r="Q502">
            <v>5</v>
          </cell>
          <cell r="R502">
            <v>0</v>
          </cell>
          <cell r="S502">
            <v>0</v>
          </cell>
          <cell r="T502">
            <v>-1</v>
          </cell>
          <cell r="U502">
            <v>3</v>
          </cell>
          <cell r="V502">
            <v>-5</v>
          </cell>
          <cell r="X502" t="str">
            <v>Sardar Tanveer Ilyas</v>
          </cell>
        </row>
        <row r="503">
          <cell r="K503">
            <v>502</v>
          </cell>
          <cell r="M503" t="str">
            <v>Intiqal</v>
          </cell>
          <cell r="N503" t="str">
            <v>Not Available</v>
          </cell>
          <cell r="O503">
            <v>12</v>
          </cell>
          <cell r="P503">
            <v>8</v>
          </cell>
          <cell r="Q503">
            <v>6</v>
          </cell>
          <cell r="R503">
            <v>0</v>
          </cell>
          <cell r="S503">
            <v>0</v>
          </cell>
          <cell r="T503">
            <v>-11</v>
          </cell>
          <cell r="U503">
            <v>-5</v>
          </cell>
          <cell r="V503">
            <v>-1</v>
          </cell>
          <cell r="X503" t="str">
            <v>Sardar Tanveer Ilyas</v>
          </cell>
        </row>
        <row r="504">
          <cell r="K504">
            <v>501</v>
          </cell>
          <cell r="M504" t="str">
            <v>Intiqal</v>
          </cell>
          <cell r="N504" t="str">
            <v>Not Available</v>
          </cell>
          <cell r="O504">
            <v>33</v>
          </cell>
          <cell r="P504">
            <v>18</v>
          </cell>
          <cell r="Q504">
            <v>3</v>
          </cell>
          <cell r="R504">
            <v>0</v>
          </cell>
          <cell r="S504">
            <v>0</v>
          </cell>
          <cell r="T504">
            <v>-21</v>
          </cell>
          <cell r="U504">
            <v>-10</v>
          </cell>
          <cell r="V504">
            <v>3</v>
          </cell>
          <cell r="X504" t="str">
            <v>Sardar Tanveer Ilyas</v>
          </cell>
        </row>
        <row r="505">
          <cell r="K505">
            <v>435</v>
          </cell>
          <cell r="M505" t="str">
            <v>Intiqal</v>
          </cell>
          <cell r="N505" t="str">
            <v>Not Available</v>
          </cell>
          <cell r="O505">
            <v>16</v>
          </cell>
          <cell r="P505">
            <v>17</v>
          </cell>
          <cell r="Q505">
            <v>0</v>
          </cell>
          <cell r="R505">
            <v>0</v>
          </cell>
          <cell r="S505">
            <v>0</v>
          </cell>
          <cell r="T505">
            <v>17</v>
          </cell>
          <cell r="U505">
            <v>1</v>
          </cell>
          <cell r="V505">
            <v>3</v>
          </cell>
          <cell r="X505" t="str">
            <v>Sardar Tanveer Ilyas</v>
          </cell>
        </row>
        <row r="506">
          <cell r="K506">
            <v>434</v>
          </cell>
          <cell r="M506" t="str">
            <v>Intiqal</v>
          </cell>
          <cell r="N506" t="str">
            <v>Not Available</v>
          </cell>
          <cell r="O506">
            <v>15</v>
          </cell>
          <cell r="P506">
            <v>10</v>
          </cell>
          <cell r="Q506">
            <v>4</v>
          </cell>
          <cell r="R506">
            <v>0</v>
          </cell>
          <cell r="S506">
            <v>0</v>
          </cell>
          <cell r="T506">
            <v>1</v>
          </cell>
          <cell r="U506">
            <v>7</v>
          </cell>
          <cell r="V506">
            <v>-4</v>
          </cell>
          <cell r="X506" t="str">
            <v>Sardar Tanveer Ilyas</v>
          </cell>
        </row>
        <row r="507">
          <cell r="K507">
            <v>433</v>
          </cell>
          <cell r="M507" t="str">
            <v>Intiqal</v>
          </cell>
          <cell r="N507" t="str">
            <v>Not Available</v>
          </cell>
          <cell r="O507">
            <v>2</v>
          </cell>
          <cell r="P507">
            <v>6</v>
          </cell>
          <cell r="Q507">
            <v>0</v>
          </cell>
          <cell r="R507">
            <v>0</v>
          </cell>
          <cell r="S507">
            <v>0</v>
          </cell>
          <cell r="T507">
            <v>13</v>
          </cell>
          <cell r="U507">
            <v>4</v>
          </cell>
          <cell r="V507">
            <v>4</v>
          </cell>
          <cell r="X507" t="str">
            <v>Sardar Tanveer Ilyas</v>
          </cell>
        </row>
        <row r="508">
          <cell r="K508">
            <v>236</v>
          </cell>
          <cell r="M508" t="str">
            <v>Intiqal</v>
          </cell>
          <cell r="N508" t="str">
            <v>Not Available</v>
          </cell>
          <cell r="O508">
            <v>10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-8</v>
          </cell>
          <cell r="U508">
            <v>6</v>
          </cell>
          <cell r="V508">
            <v>0</v>
          </cell>
          <cell r="X508" t="str">
            <v>Sardar Tanveer Ilyas</v>
          </cell>
        </row>
        <row r="509">
          <cell r="K509">
            <v>235</v>
          </cell>
          <cell r="M509" t="str">
            <v>Intiqal</v>
          </cell>
          <cell r="N509" t="str">
            <v>Not Available</v>
          </cell>
          <cell r="O509">
            <v>10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X509" t="str">
            <v>Sardar Tanveer Ilyas</v>
          </cell>
        </row>
        <row r="510">
          <cell r="K510">
            <v>234</v>
          </cell>
          <cell r="M510" t="str">
            <v>Intiqal</v>
          </cell>
          <cell r="N510" t="str">
            <v>Not Available</v>
          </cell>
          <cell r="O510">
            <v>7</v>
          </cell>
          <cell r="P510">
            <v>9</v>
          </cell>
          <cell r="Q510">
            <v>0</v>
          </cell>
          <cell r="R510">
            <v>0</v>
          </cell>
          <cell r="S510">
            <v>0</v>
          </cell>
          <cell r="T510">
            <v>3</v>
          </cell>
          <cell r="U510">
            <v>-9</v>
          </cell>
          <cell r="V510">
            <v>0</v>
          </cell>
          <cell r="X510" t="str">
            <v>Sardar Tanveer Ilyas</v>
          </cell>
        </row>
        <row r="511">
          <cell r="K511">
            <v>96</v>
          </cell>
          <cell r="M511" t="str">
            <v>Intiqal</v>
          </cell>
          <cell r="N511" t="str">
            <v>Not Available</v>
          </cell>
          <cell r="O511">
            <v>7</v>
          </cell>
          <cell r="P511">
            <v>12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-3</v>
          </cell>
          <cell r="V511">
            <v>0</v>
          </cell>
          <cell r="X511" t="str">
            <v>Sardar Tanveer Ilyas</v>
          </cell>
        </row>
        <row r="512">
          <cell r="K512">
            <v>95</v>
          </cell>
          <cell r="M512" t="str">
            <v>Intiqal</v>
          </cell>
          <cell r="N512" t="str">
            <v>Not Available</v>
          </cell>
          <cell r="O512">
            <v>12</v>
          </cell>
          <cell r="P512">
            <v>8</v>
          </cell>
          <cell r="Q512">
            <v>0</v>
          </cell>
          <cell r="R512">
            <v>0</v>
          </cell>
          <cell r="S512">
            <v>0</v>
          </cell>
          <cell r="T512">
            <v>-5</v>
          </cell>
          <cell r="U512">
            <v>4</v>
          </cell>
          <cell r="V512">
            <v>0</v>
          </cell>
          <cell r="X512" t="str">
            <v>Sardar Tanveer Ilyas</v>
          </cell>
        </row>
        <row r="513">
          <cell r="K513">
            <v>94</v>
          </cell>
          <cell r="M513" t="str">
            <v>Intiqal</v>
          </cell>
          <cell r="N513" t="str">
            <v>Not Available</v>
          </cell>
          <cell r="O513">
            <v>22</v>
          </cell>
          <cell r="P513">
            <v>9</v>
          </cell>
          <cell r="Q513">
            <v>4</v>
          </cell>
          <cell r="R513">
            <v>0</v>
          </cell>
          <cell r="S513">
            <v>0</v>
          </cell>
          <cell r="T513">
            <v>-10</v>
          </cell>
          <cell r="U513">
            <v>-1</v>
          </cell>
          <cell r="V513">
            <v>-4</v>
          </cell>
          <cell r="X513" t="str">
            <v>Sardar Tanveer Ilyas</v>
          </cell>
        </row>
        <row r="514">
          <cell r="M514" t="str">
            <v>Not Available</v>
          </cell>
          <cell r="N514" t="str">
            <v>Not Available</v>
          </cell>
          <cell r="O514">
            <v>8</v>
          </cell>
          <cell r="P514">
            <v>13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K515">
            <v>17</v>
          </cell>
          <cell r="M515" t="str">
            <v>Intiqal</v>
          </cell>
          <cell r="N515" t="str">
            <v>Not Available</v>
          </cell>
          <cell r="O515">
            <v>1</v>
          </cell>
          <cell r="P515">
            <v>17</v>
          </cell>
          <cell r="Q515">
            <v>6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 t="str">
            <v>TAJ Mehlud</v>
          </cell>
          <cell r="X515" t="str">
            <v>Sardar Tanveer Ilyas</v>
          </cell>
        </row>
        <row r="516">
          <cell r="K516">
            <v>12484</v>
          </cell>
          <cell r="M516" t="str">
            <v>Intiqal</v>
          </cell>
          <cell r="N516" t="str">
            <v>Not Available</v>
          </cell>
          <cell r="O516">
            <v>0</v>
          </cell>
          <cell r="P516">
            <v>10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X516" t="str">
            <v>Sardar Tanveer Ilyas</v>
          </cell>
        </row>
        <row r="517">
          <cell r="K517">
            <v>89</v>
          </cell>
          <cell r="M517" t="str">
            <v>Intiqal</v>
          </cell>
          <cell r="N517" t="str">
            <v>Not Available</v>
          </cell>
          <cell r="O517">
            <v>0</v>
          </cell>
          <cell r="P517">
            <v>10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X517" t="str">
            <v>Sardar Tanveer Ilyas</v>
          </cell>
        </row>
        <row r="518">
          <cell r="K518">
            <v>121</v>
          </cell>
          <cell r="M518" t="str">
            <v>Intiqal</v>
          </cell>
          <cell r="N518" t="str">
            <v>Not Available</v>
          </cell>
          <cell r="O518">
            <v>1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X518" t="str">
            <v>Sardar Tanveer Ilyas</v>
          </cell>
        </row>
        <row r="519">
          <cell r="K519">
            <v>112</v>
          </cell>
          <cell r="M519" t="str">
            <v>Intiqal</v>
          </cell>
          <cell r="N519" t="str">
            <v>Not Available</v>
          </cell>
          <cell r="O519">
            <v>0</v>
          </cell>
          <cell r="P519">
            <v>8</v>
          </cell>
          <cell r="Q519">
            <v>0</v>
          </cell>
          <cell r="R519">
            <v>0</v>
          </cell>
          <cell r="S519">
            <v>0</v>
          </cell>
          <cell r="T519">
            <v>1</v>
          </cell>
          <cell r="U519">
            <v>5</v>
          </cell>
          <cell r="V519">
            <v>0</v>
          </cell>
          <cell r="X519" t="str">
            <v>Sardar Tanveer Ilyas</v>
          </cell>
        </row>
        <row r="520">
          <cell r="K520">
            <v>97</v>
          </cell>
          <cell r="M520" t="str">
            <v>Intiqal</v>
          </cell>
          <cell r="N520" t="str">
            <v>Not Available</v>
          </cell>
          <cell r="O520">
            <v>1</v>
          </cell>
          <cell r="P520">
            <v>5</v>
          </cell>
          <cell r="Q520">
            <v>0</v>
          </cell>
          <cell r="R520">
            <v>0</v>
          </cell>
          <cell r="S520">
            <v>0</v>
          </cell>
          <cell r="T520">
            <v>-1</v>
          </cell>
          <cell r="U520">
            <v>3</v>
          </cell>
          <cell r="V520">
            <v>0</v>
          </cell>
          <cell r="X520" t="str">
            <v>Sardar Tanveer Ilyas</v>
          </cell>
        </row>
        <row r="521">
          <cell r="K521">
            <v>104</v>
          </cell>
          <cell r="M521" t="str">
            <v>Intiqal</v>
          </cell>
          <cell r="N521" t="str">
            <v>Not Available</v>
          </cell>
          <cell r="O521">
            <v>0</v>
          </cell>
          <cell r="P521">
            <v>0</v>
          </cell>
          <cell r="Q521">
            <v>6</v>
          </cell>
          <cell r="R521">
            <v>0</v>
          </cell>
          <cell r="S521">
            <v>0</v>
          </cell>
          <cell r="T521">
            <v>4</v>
          </cell>
          <cell r="U521">
            <v>4</v>
          </cell>
          <cell r="V521">
            <v>1</v>
          </cell>
          <cell r="X521" t="str">
            <v>Sardar Tanveer Ilyas</v>
          </cell>
        </row>
        <row r="522">
          <cell r="K522">
            <v>103</v>
          </cell>
          <cell r="M522" t="str">
            <v>Intiqal</v>
          </cell>
          <cell r="N522" t="str">
            <v>Not Available</v>
          </cell>
          <cell r="O522">
            <v>4</v>
          </cell>
          <cell r="P522">
            <v>4</v>
          </cell>
          <cell r="Q522">
            <v>1</v>
          </cell>
          <cell r="R522">
            <v>0</v>
          </cell>
          <cell r="S522">
            <v>0</v>
          </cell>
          <cell r="T522">
            <v>-4</v>
          </cell>
          <cell r="U522">
            <v>-4</v>
          </cell>
          <cell r="V522">
            <v>5</v>
          </cell>
          <cell r="X522" t="str">
            <v>Sardar Tanveer Ilyas</v>
          </cell>
        </row>
        <row r="523">
          <cell r="K523">
            <v>523</v>
          </cell>
          <cell r="M523" t="str">
            <v>Intiqal</v>
          </cell>
          <cell r="N523" t="str">
            <v>Not Available</v>
          </cell>
          <cell r="O523">
            <v>1</v>
          </cell>
          <cell r="P523">
            <v>16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X523" t="str">
            <v>Sardar Tanveer Ilyas</v>
          </cell>
        </row>
        <row r="524">
          <cell r="K524">
            <v>161</v>
          </cell>
          <cell r="M524" t="str">
            <v>Intiqal</v>
          </cell>
          <cell r="N524" t="str">
            <v>Not Available</v>
          </cell>
          <cell r="O524">
            <v>1</v>
          </cell>
          <cell r="P524">
            <v>10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X524" t="str">
            <v>Sardar Tanveer Ilyas</v>
          </cell>
        </row>
        <row r="525">
          <cell r="K525">
            <v>182</v>
          </cell>
          <cell r="M525" t="str">
            <v>Intiqal</v>
          </cell>
          <cell r="N525" t="str">
            <v>Not Available</v>
          </cell>
          <cell r="O525">
            <v>3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X525" t="str">
            <v>Sardar Tanveer Ilyas</v>
          </cell>
        </row>
        <row r="526">
          <cell r="K526">
            <v>185</v>
          </cell>
          <cell r="M526" t="str">
            <v>Intiqal</v>
          </cell>
          <cell r="N526" t="str">
            <v>Not Available</v>
          </cell>
          <cell r="O526">
            <v>5</v>
          </cell>
          <cell r="P526">
            <v>6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X526" t="str">
            <v>Sardar Tanveer Ilyas</v>
          </cell>
        </row>
        <row r="527">
          <cell r="K527">
            <v>12522</v>
          </cell>
          <cell r="M527" t="str">
            <v>Intiqal</v>
          </cell>
          <cell r="N527" t="str">
            <v>Not Available</v>
          </cell>
          <cell r="O527">
            <v>0</v>
          </cell>
          <cell r="P527">
            <v>4</v>
          </cell>
          <cell r="Q527">
            <v>3</v>
          </cell>
          <cell r="R527">
            <v>8842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X527" t="str">
            <v>Sardar Tanveer Ilyas</v>
          </cell>
        </row>
        <row r="528">
          <cell r="K528">
            <v>12523</v>
          </cell>
          <cell r="M528" t="str">
            <v>Intiqal</v>
          </cell>
          <cell r="N528" t="str">
            <v>Not Available</v>
          </cell>
          <cell r="O528">
            <v>0</v>
          </cell>
          <cell r="P528">
            <v>2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2</v>
          </cell>
          <cell r="V528">
            <v>3</v>
          </cell>
          <cell r="X528" t="str">
            <v>Sardar Tanveer Ilyas</v>
          </cell>
        </row>
        <row r="529">
          <cell r="K529">
            <v>111</v>
          </cell>
          <cell r="M529" t="str">
            <v>Not Available</v>
          </cell>
          <cell r="N529" t="str">
            <v>Not Available</v>
          </cell>
          <cell r="O529">
            <v>0</v>
          </cell>
          <cell r="P529">
            <v>9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K530">
            <v>90</v>
          </cell>
          <cell r="M530" t="str">
            <v>Intiqal</v>
          </cell>
          <cell r="N530" t="str">
            <v>Not Available</v>
          </cell>
          <cell r="O530">
            <v>1</v>
          </cell>
          <cell r="P530">
            <v>15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X530" t="str">
            <v>Sardar Tanveer Ilyas</v>
          </cell>
        </row>
        <row r="531">
          <cell r="K531">
            <v>205</v>
          </cell>
          <cell r="M531" t="str">
            <v>Intiqal</v>
          </cell>
          <cell r="N531" t="str">
            <v>Not Available</v>
          </cell>
          <cell r="O531">
            <v>0</v>
          </cell>
          <cell r="P531">
            <v>2</v>
          </cell>
          <cell r="Q531">
            <v>4</v>
          </cell>
          <cell r="R531">
            <v>0</v>
          </cell>
          <cell r="S531">
            <v>0</v>
          </cell>
          <cell r="T531">
            <v>3</v>
          </cell>
          <cell r="U531">
            <v>6</v>
          </cell>
          <cell r="V531">
            <v>0</v>
          </cell>
          <cell r="X531" t="str">
            <v>Sardar Tanveer Ilyas</v>
          </cell>
        </row>
        <row r="532">
          <cell r="K532">
            <v>204</v>
          </cell>
          <cell r="M532" t="str">
            <v>Intiqal</v>
          </cell>
          <cell r="N532" t="str">
            <v>Not Available</v>
          </cell>
          <cell r="O532">
            <v>3</v>
          </cell>
          <cell r="P532">
            <v>6</v>
          </cell>
          <cell r="Q532">
            <v>0</v>
          </cell>
          <cell r="R532">
            <v>0</v>
          </cell>
          <cell r="S532">
            <v>0</v>
          </cell>
          <cell r="T532">
            <v>-3</v>
          </cell>
          <cell r="U532">
            <v>-4</v>
          </cell>
          <cell r="V532">
            <v>4</v>
          </cell>
          <cell r="X532" t="str">
            <v>Sardar Tanveer Ilyas</v>
          </cell>
        </row>
        <row r="533">
          <cell r="K533">
            <v>294</v>
          </cell>
          <cell r="M533" t="str">
            <v>Intiqal</v>
          </cell>
          <cell r="N533" t="str">
            <v>Not Available</v>
          </cell>
          <cell r="O533">
            <v>4</v>
          </cell>
          <cell r="P533">
            <v>17</v>
          </cell>
          <cell r="Q533">
            <v>0</v>
          </cell>
          <cell r="R533">
            <v>0</v>
          </cell>
          <cell r="S533">
            <v>0</v>
          </cell>
          <cell r="T533">
            <v>4</v>
          </cell>
          <cell r="U533">
            <v>-14</v>
          </cell>
          <cell r="V533">
            <v>0</v>
          </cell>
          <cell r="X533" t="str">
            <v>Sardar Tanveer Ilyas</v>
          </cell>
        </row>
        <row r="534">
          <cell r="K534">
            <v>293</v>
          </cell>
          <cell r="M534" t="str">
            <v>Intiqal</v>
          </cell>
          <cell r="N534" t="str">
            <v>Not Available</v>
          </cell>
          <cell r="O534">
            <v>3</v>
          </cell>
          <cell r="P534">
            <v>6</v>
          </cell>
          <cell r="Q534">
            <v>0</v>
          </cell>
          <cell r="R534">
            <v>425050</v>
          </cell>
          <cell r="S534">
            <v>0</v>
          </cell>
          <cell r="T534">
            <v>1</v>
          </cell>
          <cell r="U534">
            <v>11</v>
          </cell>
          <cell r="V534">
            <v>0</v>
          </cell>
          <cell r="X534" t="str">
            <v>Sardar Tanveer Ilyas</v>
          </cell>
        </row>
        <row r="535">
          <cell r="K535">
            <v>336</v>
          </cell>
          <cell r="M535" t="str">
            <v>Intiqal</v>
          </cell>
          <cell r="N535" t="str">
            <v>Not Available</v>
          </cell>
          <cell r="O535">
            <v>0</v>
          </cell>
          <cell r="P535">
            <v>5</v>
          </cell>
          <cell r="Q535">
            <v>0</v>
          </cell>
          <cell r="R535">
            <v>0</v>
          </cell>
          <cell r="S535">
            <v>0</v>
          </cell>
          <cell r="T535">
            <v>36</v>
          </cell>
          <cell r="U535">
            <v>10</v>
          </cell>
          <cell r="V535">
            <v>6</v>
          </cell>
          <cell r="X535" t="str">
            <v>Sardar Tanveer Ilyas</v>
          </cell>
        </row>
        <row r="536">
          <cell r="K536">
            <v>326</v>
          </cell>
          <cell r="M536" t="str">
            <v>Intiqal</v>
          </cell>
          <cell r="N536" t="str">
            <v>Not Available</v>
          </cell>
          <cell r="O536">
            <v>36</v>
          </cell>
          <cell r="P536">
            <v>10</v>
          </cell>
          <cell r="Q536">
            <v>6</v>
          </cell>
          <cell r="R536">
            <v>0</v>
          </cell>
          <cell r="S536">
            <v>0</v>
          </cell>
          <cell r="T536">
            <v>-36</v>
          </cell>
          <cell r="U536">
            <v>-5</v>
          </cell>
          <cell r="V536">
            <v>-6</v>
          </cell>
          <cell r="X536" t="str">
            <v>Sardar Tanveer Ilyas</v>
          </cell>
        </row>
        <row r="537">
          <cell r="K537">
            <v>23</v>
          </cell>
          <cell r="M537" t="str">
            <v>Intiqal</v>
          </cell>
          <cell r="N537" t="str">
            <v>Not Available</v>
          </cell>
          <cell r="O537">
            <v>90</v>
          </cell>
          <cell r="P537">
            <v>6</v>
          </cell>
          <cell r="Q537">
            <v>4</v>
          </cell>
          <cell r="R537">
            <v>4990000</v>
          </cell>
          <cell r="S537">
            <v>2053333</v>
          </cell>
          <cell r="T537">
            <v>52</v>
          </cell>
          <cell r="U537">
            <v>-4</v>
          </cell>
          <cell r="V537">
            <v>2</v>
          </cell>
          <cell r="X537" t="str">
            <v>Sardar Tanveer Ilyas</v>
          </cell>
        </row>
        <row r="538">
          <cell r="K538">
            <v>22</v>
          </cell>
          <cell r="M538" t="str">
            <v>Intiqal</v>
          </cell>
          <cell r="N538" t="str">
            <v>Not Available</v>
          </cell>
          <cell r="O538">
            <v>51</v>
          </cell>
          <cell r="P538">
            <v>16</v>
          </cell>
          <cell r="Q538">
            <v>2</v>
          </cell>
          <cell r="R538">
            <v>3606666</v>
          </cell>
          <cell r="S538">
            <v>1500000</v>
          </cell>
          <cell r="T538">
            <v>39</v>
          </cell>
          <cell r="U538">
            <v>-10</v>
          </cell>
          <cell r="V538">
            <v>2</v>
          </cell>
          <cell r="X538" t="str">
            <v>Sardar Tanveer Ilyas</v>
          </cell>
        </row>
        <row r="539">
          <cell r="K539">
            <v>263</v>
          </cell>
          <cell r="M539" t="str">
            <v>Intiqal</v>
          </cell>
          <cell r="N539" t="str">
            <v>Not Available</v>
          </cell>
          <cell r="O539">
            <v>0</v>
          </cell>
          <cell r="P539">
            <v>6</v>
          </cell>
          <cell r="Q539">
            <v>0</v>
          </cell>
          <cell r="R539">
            <v>36670</v>
          </cell>
          <cell r="S539">
            <v>0</v>
          </cell>
          <cell r="T539">
            <v>2</v>
          </cell>
          <cell r="U539">
            <v>3</v>
          </cell>
          <cell r="V539">
            <v>0</v>
          </cell>
          <cell r="X539" t="str">
            <v>Sardar Tanveer Ilyas</v>
          </cell>
        </row>
        <row r="540">
          <cell r="K540">
            <v>258</v>
          </cell>
          <cell r="M540" t="str">
            <v>Intiqal</v>
          </cell>
          <cell r="N540" t="str">
            <v>Not Available</v>
          </cell>
          <cell r="O540">
            <v>0</v>
          </cell>
          <cell r="P540">
            <v>3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3</v>
          </cell>
          <cell r="V540">
            <v>0</v>
          </cell>
          <cell r="X540" t="str">
            <v>Sardar Tanveer Ilyas</v>
          </cell>
        </row>
        <row r="541">
          <cell r="K541">
            <v>165</v>
          </cell>
          <cell r="M541" t="str">
            <v>Intiqal</v>
          </cell>
          <cell r="N541" t="str">
            <v>Not Available</v>
          </cell>
          <cell r="O541">
            <v>2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-2</v>
          </cell>
          <cell r="U541">
            <v>3</v>
          </cell>
          <cell r="V541">
            <v>0</v>
          </cell>
          <cell r="X541" t="str">
            <v>Sardar Tanveer Ilyas</v>
          </cell>
        </row>
        <row r="542">
          <cell r="M542" t="str">
            <v>Not Available</v>
          </cell>
          <cell r="N542" t="str">
            <v>Not Available</v>
          </cell>
          <cell r="O542">
            <v>0</v>
          </cell>
          <cell r="P542">
            <v>4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3</v>
          </cell>
          <cell r="V542">
            <v>0</v>
          </cell>
        </row>
        <row r="543">
          <cell r="K543">
            <v>114</v>
          </cell>
          <cell r="M543" t="str">
            <v>Intiqal</v>
          </cell>
          <cell r="N543" t="str">
            <v>Not Available</v>
          </cell>
          <cell r="O543">
            <v>0</v>
          </cell>
          <cell r="P543">
            <v>3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0</v>
          </cell>
          <cell r="X543" t="str">
            <v>Sardar Tanveer Ilyas</v>
          </cell>
        </row>
        <row r="544">
          <cell r="K544">
            <v>273</v>
          </cell>
          <cell r="M544" t="str">
            <v>Intiqal</v>
          </cell>
          <cell r="N544" t="str">
            <v>Not Available</v>
          </cell>
          <cell r="O544">
            <v>0</v>
          </cell>
          <cell r="P544">
            <v>19</v>
          </cell>
          <cell r="Q544">
            <v>3</v>
          </cell>
          <cell r="R544">
            <v>0</v>
          </cell>
          <cell r="S544">
            <v>0</v>
          </cell>
          <cell r="T544">
            <v>3</v>
          </cell>
          <cell r="U544">
            <v>-19</v>
          </cell>
          <cell r="V544">
            <v>-1</v>
          </cell>
          <cell r="X544" t="str">
            <v>Sardar Tanveer Ilyas</v>
          </cell>
        </row>
        <row r="545">
          <cell r="K545">
            <v>272</v>
          </cell>
          <cell r="M545" t="str">
            <v>Intiqal</v>
          </cell>
          <cell r="N545" t="str">
            <v>Not Available</v>
          </cell>
          <cell r="O545">
            <v>1</v>
          </cell>
          <cell r="P545">
            <v>10</v>
          </cell>
          <cell r="Q545">
            <v>4</v>
          </cell>
          <cell r="R545">
            <v>0</v>
          </cell>
          <cell r="S545">
            <v>0</v>
          </cell>
          <cell r="T545">
            <v>-1</v>
          </cell>
          <cell r="U545">
            <v>9</v>
          </cell>
          <cell r="V545">
            <v>-1</v>
          </cell>
          <cell r="X545" t="str">
            <v>Sardar Tanveer Ilyas</v>
          </cell>
        </row>
        <row r="546">
          <cell r="K546">
            <v>271</v>
          </cell>
          <cell r="M546" t="str">
            <v>Intiqal</v>
          </cell>
          <cell r="N546" t="str">
            <v>Not Available</v>
          </cell>
          <cell r="O546">
            <v>0</v>
          </cell>
          <cell r="P546">
            <v>10</v>
          </cell>
          <cell r="Q546">
            <v>4</v>
          </cell>
          <cell r="R546">
            <v>0</v>
          </cell>
          <cell r="S546">
            <v>0</v>
          </cell>
          <cell r="T546">
            <v>1</v>
          </cell>
          <cell r="U546">
            <v>0</v>
          </cell>
          <cell r="V546">
            <v>0</v>
          </cell>
          <cell r="X546" t="str">
            <v>Sardar Tanveer Ilyas</v>
          </cell>
        </row>
        <row r="547">
          <cell r="K547">
            <v>270</v>
          </cell>
          <cell r="M547" t="str">
            <v>Intiqal</v>
          </cell>
          <cell r="N547" t="str">
            <v>Not Available</v>
          </cell>
          <cell r="O547">
            <v>0</v>
          </cell>
          <cell r="P547">
            <v>15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X547" t="str">
            <v>Sardar Tanveer Ilyas</v>
          </cell>
        </row>
        <row r="548">
          <cell r="K548">
            <v>269</v>
          </cell>
          <cell r="M548" t="str">
            <v>Intiqal</v>
          </cell>
          <cell r="N548" t="str">
            <v>Not Available</v>
          </cell>
          <cell r="O548">
            <v>0</v>
          </cell>
          <cell r="P548">
            <v>10</v>
          </cell>
          <cell r="Q548">
            <v>3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X548" t="str">
            <v>Sardar Tanveer Ilyas</v>
          </cell>
        </row>
        <row r="549">
          <cell r="K549">
            <v>260</v>
          </cell>
          <cell r="M549" t="str">
            <v>Intiqal</v>
          </cell>
          <cell r="N549" t="str">
            <v>Not Available</v>
          </cell>
          <cell r="O549">
            <v>0</v>
          </cell>
          <cell r="P549">
            <v>2</v>
          </cell>
          <cell r="Q549">
            <v>7</v>
          </cell>
          <cell r="R549">
            <v>13581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X549" t="str">
            <v>Sardar Tanveer Ilyas</v>
          </cell>
        </row>
        <row r="550">
          <cell r="K550">
            <v>408</v>
          </cell>
          <cell r="M550" t="str">
            <v>Intiqal</v>
          </cell>
          <cell r="N550" t="str">
            <v>Not Available</v>
          </cell>
          <cell r="O550">
            <v>1</v>
          </cell>
          <cell r="P550">
            <v>1</v>
          </cell>
          <cell r="Q550">
            <v>0</v>
          </cell>
          <cell r="R550">
            <v>0</v>
          </cell>
          <cell r="S550">
            <v>0</v>
          </cell>
          <cell r="T550">
            <v>1</v>
          </cell>
          <cell r="U550">
            <v>9</v>
          </cell>
          <cell r="V550">
            <v>0</v>
          </cell>
          <cell r="X550" t="str">
            <v>Sardar Tanveer Ilyas</v>
          </cell>
        </row>
        <row r="551">
          <cell r="K551">
            <v>267</v>
          </cell>
          <cell r="M551" t="str">
            <v>Intiqal</v>
          </cell>
          <cell r="N551" t="str">
            <v>Not Available</v>
          </cell>
          <cell r="O551">
            <v>1</v>
          </cell>
          <cell r="P551">
            <v>9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-8</v>
          </cell>
          <cell r="V551">
            <v>0</v>
          </cell>
          <cell r="X551" t="str">
            <v>Sardar Tanveer Ilyas</v>
          </cell>
        </row>
        <row r="552">
          <cell r="K552">
            <v>275</v>
          </cell>
          <cell r="M552" t="str">
            <v>Intiqal</v>
          </cell>
          <cell r="N552" t="str">
            <v>Not Available</v>
          </cell>
          <cell r="O552">
            <v>0</v>
          </cell>
          <cell r="P552">
            <v>5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5</v>
          </cell>
          <cell r="V552">
            <v>0</v>
          </cell>
          <cell r="X552" t="str">
            <v>Sardar Tanveer Ilyas</v>
          </cell>
        </row>
        <row r="553">
          <cell r="K553">
            <v>404</v>
          </cell>
          <cell r="M553" t="str">
            <v>Intiqal</v>
          </cell>
          <cell r="N553" t="str">
            <v>Not Available</v>
          </cell>
          <cell r="O553">
            <v>0</v>
          </cell>
          <cell r="P553">
            <v>5</v>
          </cell>
          <cell r="Q553">
            <v>0</v>
          </cell>
          <cell r="R553">
            <v>12125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X553" t="str">
            <v>Sardar Tanveer Ilyas</v>
          </cell>
        </row>
        <row r="554">
          <cell r="K554">
            <v>308</v>
          </cell>
          <cell r="M554" t="str">
            <v>Intiqal</v>
          </cell>
          <cell r="N554" t="str">
            <v>Not Available</v>
          </cell>
          <cell r="O554">
            <v>0</v>
          </cell>
          <cell r="P554">
            <v>4</v>
          </cell>
          <cell r="Q554">
            <v>8</v>
          </cell>
          <cell r="R554">
            <v>0</v>
          </cell>
          <cell r="S554">
            <v>20000</v>
          </cell>
          <cell r="T554">
            <v>0</v>
          </cell>
          <cell r="U554">
            <v>0</v>
          </cell>
          <cell r="V554">
            <v>0</v>
          </cell>
          <cell r="X554" t="str">
            <v>Sardar Tanveer Ilyas</v>
          </cell>
        </row>
        <row r="555">
          <cell r="K555" t="str">
            <v>321/1</v>
          </cell>
          <cell r="M555" t="str">
            <v>Intiqal</v>
          </cell>
          <cell r="N555" t="str">
            <v>Not Available</v>
          </cell>
          <cell r="O555">
            <v>0</v>
          </cell>
          <cell r="P555">
            <v>8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6</v>
          </cell>
          <cell r="V555">
            <v>4</v>
          </cell>
          <cell r="X555" t="str">
            <v>Sardar Tanveer Ilyas</v>
          </cell>
        </row>
        <row r="556">
          <cell r="K556">
            <v>321</v>
          </cell>
          <cell r="M556" t="str">
            <v>Intiqal</v>
          </cell>
          <cell r="N556" t="str">
            <v>Not Available</v>
          </cell>
          <cell r="O556">
            <v>0</v>
          </cell>
          <cell r="P556">
            <v>6</v>
          </cell>
          <cell r="Q556">
            <v>4</v>
          </cell>
          <cell r="R556">
            <v>0</v>
          </cell>
          <cell r="S556">
            <v>0</v>
          </cell>
          <cell r="T556">
            <v>0</v>
          </cell>
          <cell r="U556">
            <v>2</v>
          </cell>
          <cell r="V556">
            <v>-4</v>
          </cell>
          <cell r="X556" t="str">
            <v>Sardar Tanveer Ilyas</v>
          </cell>
        </row>
        <row r="557">
          <cell r="K557">
            <v>1858</v>
          </cell>
          <cell r="M557" t="str">
            <v>Intiqal</v>
          </cell>
          <cell r="N557" t="str">
            <v>Not Available</v>
          </cell>
          <cell r="O557">
            <v>1</v>
          </cell>
          <cell r="P557">
            <v>13</v>
          </cell>
          <cell r="Q557">
            <v>7</v>
          </cell>
          <cell r="R557">
            <v>0</v>
          </cell>
          <cell r="S557">
            <v>0</v>
          </cell>
          <cell r="T557">
            <v>52</v>
          </cell>
          <cell r="U557">
            <v>-9</v>
          </cell>
          <cell r="V557">
            <v>-2</v>
          </cell>
          <cell r="X557" t="str">
            <v>Sardar Tanveer Ilyas</v>
          </cell>
        </row>
        <row r="558">
          <cell r="K558">
            <v>1303</v>
          </cell>
          <cell r="M558" t="str">
            <v>Intiqal</v>
          </cell>
          <cell r="N558" t="str">
            <v>Not Available</v>
          </cell>
          <cell r="O558">
            <v>9</v>
          </cell>
          <cell r="P558">
            <v>1</v>
          </cell>
          <cell r="Q558">
            <v>1</v>
          </cell>
          <cell r="R558">
            <v>16900</v>
          </cell>
          <cell r="S558">
            <v>0</v>
          </cell>
          <cell r="T558">
            <v>-8</v>
          </cell>
          <cell r="U558">
            <v>12</v>
          </cell>
          <cell r="V558">
            <v>6</v>
          </cell>
          <cell r="X558" t="str">
            <v>Sardar Tanveer Ilyas</v>
          </cell>
        </row>
        <row r="559">
          <cell r="K559">
            <v>565</v>
          </cell>
          <cell r="M559" t="str">
            <v>Intiqal</v>
          </cell>
          <cell r="N559" t="str">
            <v>Not Available</v>
          </cell>
          <cell r="O559">
            <v>6</v>
          </cell>
          <cell r="P559">
            <v>19</v>
          </cell>
          <cell r="Q559">
            <v>0</v>
          </cell>
          <cell r="R559">
            <v>246075</v>
          </cell>
          <cell r="S559">
            <v>0</v>
          </cell>
          <cell r="T559">
            <v>3</v>
          </cell>
          <cell r="U559">
            <v>-18</v>
          </cell>
          <cell r="V559">
            <v>1</v>
          </cell>
          <cell r="X559" t="str">
            <v>Sardar Tanveer Ilyas</v>
          </cell>
        </row>
        <row r="560">
          <cell r="K560">
            <v>566</v>
          </cell>
          <cell r="M560" t="str">
            <v>Intiqal</v>
          </cell>
          <cell r="N560" t="str">
            <v>Not Available</v>
          </cell>
          <cell r="O560">
            <v>5</v>
          </cell>
          <cell r="P560">
            <v>0</v>
          </cell>
          <cell r="Q560">
            <v>0</v>
          </cell>
          <cell r="R560">
            <v>634294</v>
          </cell>
          <cell r="S560">
            <v>0</v>
          </cell>
          <cell r="T560">
            <v>1</v>
          </cell>
          <cell r="U560">
            <v>19</v>
          </cell>
          <cell r="V560">
            <v>0</v>
          </cell>
          <cell r="X560" t="str">
            <v>Sardar Tanveer Ilyas</v>
          </cell>
        </row>
        <row r="561">
          <cell r="K561">
            <v>568</v>
          </cell>
          <cell r="M561" t="str">
            <v>Intiqal</v>
          </cell>
          <cell r="N561" t="str">
            <v>Not Available</v>
          </cell>
          <cell r="O561">
            <v>2</v>
          </cell>
          <cell r="P561">
            <v>10</v>
          </cell>
          <cell r="Q561">
            <v>5</v>
          </cell>
          <cell r="R561">
            <v>0</v>
          </cell>
          <cell r="S561">
            <v>0</v>
          </cell>
          <cell r="T561">
            <v>3</v>
          </cell>
          <cell r="U561">
            <v>-10</v>
          </cell>
          <cell r="V561">
            <v>-5</v>
          </cell>
          <cell r="X561" t="str">
            <v>Sardar Tanveer Ilyas</v>
          </cell>
        </row>
        <row r="562">
          <cell r="K562">
            <v>569</v>
          </cell>
          <cell r="M562" t="str">
            <v>Intiqal</v>
          </cell>
          <cell r="N562" t="str">
            <v>Not Available</v>
          </cell>
          <cell r="O562">
            <v>3</v>
          </cell>
          <cell r="P562">
            <v>13</v>
          </cell>
          <cell r="Q562">
            <v>6</v>
          </cell>
          <cell r="R562">
            <v>0</v>
          </cell>
          <cell r="S562">
            <v>0</v>
          </cell>
          <cell r="T562">
            <v>-1</v>
          </cell>
          <cell r="U562">
            <v>-3</v>
          </cell>
          <cell r="V562">
            <v>-1</v>
          </cell>
          <cell r="X562" t="str">
            <v>Sardar Tanveer Ilyas</v>
          </cell>
        </row>
        <row r="563">
          <cell r="K563">
            <v>1193</v>
          </cell>
          <cell r="M563" t="str">
            <v>Intiqal</v>
          </cell>
          <cell r="N563" t="str">
            <v>Not Available</v>
          </cell>
          <cell r="O563">
            <v>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-2</v>
          </cell>
          <cell r="U563">
            <v>13</v>
          </cell>
          <cell r="V563">
            <v>6</v>
          </cell>
          <cell r="X563" t="str">
            <v>Sardar Tanveer Ilyas</v>
          </cell>
        </row>
        <row r="564">
          <cell r="K564">
            <v>1194</v>
          </cell>
          <cell r="M564" t="str">
            <v>Intiqal</v>
          </cell>
          <cell r="N564" t="str">
            <v>Not Available</v>
          </cell>
          <cell r="O564">
            <v>5</v>
          </cell>
          <cell r="P564">
            <v>16</v>
          </cell>
          <cell r="Q564">
            <v>3</v>
          </cell>
          <cell r="R564">
            <v>702197</v>
          </cell>
          <cell r="S564">
            <v>0</v>
          </cell>
          <cell r="T564">
            <v>0</v>
          </cell>
          <cell r="U564">
            <v>-16</v>
          </cell>
          <cell r="V564">
            <v>-3</v>
          </cell>
          <cell r="X564" t="str">
            <v>Sardar Tanveer Ilyas</v>
          </cell>
        </row>
        <row r="565">
          <cell r="K565">
            <v>1192</v>
          </cell>
          <cell r="M565" t="str">
            <v>Intiqal</v>
          </cell>
          <cell r="N565" t="str">
            <v>Not Available</v>
          </cell>
          <cell r="O565">
            <v>4</v>
          </cell>
          <cell r="P565">
            <v>2</v>
          </cell>
          <cell r="Q565">
            <v>8</v>
          </cell>
          <cell r="R565">
            <v>0</v>
          </cell>
          <cell r="S565">
            <v>0</v>
          </cell>
          <cell r="T565">
            <v>1</v>
          </cell>
          <cell r="U565">
            <v>14</v>
          </cell>
          <cell r="V565">
            <v>-5</v>
          </cell>
          <cell r="X565" t="str">
            <v>Sardar Tanveer Ilyas</v>
          </cell>
        </row>
        <row r="566">
          <cell r="K566">
            <v>358</v>
          </cell>
          <cell r="M566" t="str">
            <v>Intiqal</v>
          </cell>
          <cell r="N566" t="str">
            <v>Not Available</v>
          </cell>
          <cell r="O566">
            <v>2</v>
          </cell>
          <cell r="P566">
            <v>11</v>
          </cell>
          <cell r="Q566">
            <v>7</v>
          </cell>
          <cell r="R566">
            <v>0</v>
          </cell>
          <cell r="S566">
            <v>0</v>
          </cell>
          <cell r="T566">
            <v>2</v>
          </cell>
          <cell r="U566">
            <v>-9</v>
          </cell>
          <cell r="V566">
            <v>1</v>
          </cell>
          <cell r="X566" t="str">
            <v>Sardar Tanveer Ilyas</v>
          </cell>
        </row>
        <row r="567">
          <cell r="K567">
            <v>356</v>
          </cell>
          <cell r="M567" t="str">
            <v>Intiqal</v>
          </cell>
          <cell r="N567" t="str">
            <v>Not Available</v>
          </cell>
          <cell r="O567">
            <v>6</v>
          </cell>
          <cell r="P567">
            <v>15</v>
          </cell>
          <cell r="Q567">
            <v>4</v>
          </cell>
          <cell r="R567">
            <v>500000</v>
          </cell>
          <cell r="S567">
            <v>0</v>
          </cell>
          <cell r="T567">
            <v>-4</v>
          </cell>
          <cell r="U567">
            <v>-4</v>
          </cell>
          <cell r="V567">
            <v>3</v>
          </cell>
          <cell r="X567" t="str">
            <v>Sardar Tanveer Ilyas</v>
          </cell>
        </row>
        <row r="568">
          <cell r="K568">
            <v>378</v>
          </cell>
          <cell r="M568" t="str">
            <v>Intiqal</v>
          </cell>
          <cell r="N568" t="str">
            <v>Not Available</v>
          </cell>
          <cell r="O568">
            <v>0</v>
          </cell>
          <cell r="P568">
            <v>3</v>
          </cell>
          <cell r="Q568">
            <v>3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X568" t="str">
            <v>Sardar Tanveer Ilyas</v>
          </cell>
        </row>
        <row r="569">
          <cell r="K569">
            <v>363</v>
          </cell>
          <cell r="M569" t="str">
            <v>Intiqal</v>
          </cell>
          <cell r="N569" t="str">
            <v>Not Available</v>
          </cell>
          <cell r="O569">
            <v>0</v>
          </cell>
          <cell r="P569">
            <v>5</v>
          </cell>
          <cell r="Q569">
            <v>0</v>
          </cell>
          <cell r="R569">
            <v>22325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X569" t="str">
            <v>Sardar Tanveer Ilyas</v>
          </cell>
        </row>
        <row r="570">
          <cell r="K570">
            <v>564</v>
          </cell>
          <cell r="M570" t="str">
            <v>Intiqal</v>
          </cell>
          <cell r="N570" t="str">
            <v>Not Available</v>
          </cell>
          <cell r="O570">
            <v>0</v>
          </cell>
          <cell r="P570">
            <v>14</v>
          </cell>
          <cell r="Q570">
            <v>6</v>
          </cell>
          <cell r="R570">
            <v>0</v>
          </cell>
          <cell r="S570">
            <v>0</v>
          </cell>
          <cell r="T570">
            <v>0</v>
          </cell>
          <cell r="U570">
            <v>5</v>
          </cell>
          <cell r="V570">
            <v>-6</v>
          </cell>
          <cell r="X570" t="str">
            <v>Sardar Tanveer Ilyas</v>
          </cell>
        </row>
        <row r="571">
          <cell r="K571">
            <v>394</v>
          </cell>
          <cell r="M571" t="str">
            <v>Intiqal</v>
          </cell>
          <cell r="N571" t="str">
            <v>Not Available</v>
          </cell>
          <cell r="O571">
            <v>0</v>
          </cell>
          <cell r="P571">
            <v>4</v>
          </cell>
          <cell r="Q571">
            <v>3</v>
          </cell>
          <cell r="R571">
            <v>0</v>
          </cell>
          <cell r="S571">
            <v>0</v>
          </cell>
          <cell r="T571">
            <v>0</v>
          </cell>
          <cell r="U571">
            <v>10</v>
          </cell>
          <cell r="V571">
            <v>3</v>
          </cell>
          <cell r="X571" t="str">
            <v>Sardar Tanveer Ilyas</v>
          </cell>
        </row>
        <row r="572">
          <cell r="K572">
            <v>362</v>
          </cell>
          <cell r="M572" t="str">
            <v>Intiqal</v>
          </cell>
          <cell r="N572" t="str">
            <v>Not Available</v>
          </cell>
          <cell r="O572">
            <v>0</v>
          </cell>
          <cell r="P572">
            <v>5</v>
          </cell>
          <cell r="Q572">
            <v>0</v>
          </cell>
          <cell r="R572">
            <v>22825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X572" t="str">
            <v>Sardar Tanveer Ilyas</v>
          </cell>
        </row>
        <row r="573">
          <cell r="K573">
            <v>361</v>
          </cell>
          <cell r="M573" t="str">
            <v>Intiqal</v>
          </cell>
          <cell r="N573" t="str">
            <v>Not Available</v>
          </cell>
          <cell r="O573">
            <v>0</v>
          </cell>
          <cell r="P573">
            <v>4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X573" t="str">
            <v>Sardar Tanveer Ilyas</v>
          </cell>
        </row>
        <row r="574">
          <cell r="K574">
            <v>424</v>
          </cell>
          <cell r="M574" t="str">
            <v>Intiqal</v>
          </cell>
          <cell r="N574" t="str">
            <v>Not Available</v>
          </cell>
          <cell r="O574">
            <v>0</v>
          </cell>
          <cell r="P574">
            <v>15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X574" t="str">
            <v>Sardar Tanveer Ilyas</v>
          </cell>
        </row>
        <row r="575">
          <cell r="K575">
            <v>486</v>
          </cell>
          <cell r="M575" t="str">
            <v>Intiqal</v>
          </cell>
          <cell r="N575" t="str">
            <v>Not Available</v>
          </cell>
          <cell r="O575">
            <v>12</v>
          </cell>
          <cell r="P575">
            <v>0</v>
          </cell>
          <cell r="Q575">
            <v>0</v>
          </cell>
          <cell r="R575">
            <v>1003500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X575" t="str">
            <v>Sardar Tanveer Ilyas</v>
          </cell>
        </row>
        <row r="576">
          <cell r="K576">
            <v>409</v>
          </cell>
          <cell r="M576" t="str">
            <v>Intiqal</v>
          </cell>
          <cell r="N576" t="str">
            <v>Not Available</v>
          </cell>
          <cell r="O576">
            <v>0</v>
          </cell>
          <cell r="P576">
            <v>6</v>
          </cell>
          <cell r="Q576">
            <v>0</v>
          </cell>
          <cell r="R576">
            <v>19150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X576" t="str">
            <v>Sardar Tanveer Ilyas</v>
          </cell>
        </row>
        <row r="577">
          <cell r="K577">
            <v>423</v>
          </cell>
          <cell r="M577" t="str">
            <v>Intiqal</v>
          </cell>
          <cell r="N577" t="str">
            <v>Not Available</v>
          </cell>
          <cell r="O577">
            <v>0</v>
          </cell>
          <cell r="P577">
            <v>16</v>
          </cell>
          <cell r="Q577">
            <v>5</v>
          </cell>
          <cell r="R577">
            <v>29036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X577" t="str">
            <v>Sardar Tanveer Ilyas</v>
          </cell>
        </row>
        <row r="578">
          <cell r="K578">
            <v>499</v>
          </cell>
          <cell r="M578" t="str">
            <v>Intiqal</v>
          </cell>
          <cell r="N578" t="str">
            <v>Not Available</v>
          </cell>
          <cell r="O578">
            <v>14</v>
          </cell>
          <cell r="P578">
            <v>11</v>
          </cell>
          <cell r="Q578">
            <v>5</v>
          </cell>
          <cell r="R578">
            <v>478911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X578" t="str">
            <v>Sardar Tanveer Ilyas</v>
          </cell>
        </row>
        <row r="579">
          <cell r="K579">
            <v>517</v>
          </cell>
          <cell r="M579" t="str">
            <v>Intiqal</v>
          </cell>
          <cell r="N579" t="str">
            <v>Not Available</v>
          </cell>
          <cell r="O579">
            <v>0</v>
          </cell>
          <cell r="P579">
            <v>10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X579" t="str">
            <v>Sardar Tanveer Ilyas</v>
          </cell>
        </row>
        <row r="580">
          <cell r="K580">
            <v>561</v>
          </cell>
          <cell r="M580" t="str">
            <v>Intiqal</v>
          </cell>
          <cell r="N580" t="str">
            <v>Not Available</v>
          </cell>
          <cell r="O580">
            <v>0</v>
          </cell>
          <cell r="P580">
            <v>16</v>
          </cell>
          <cell r="Q580">
            <v>2</v>
          </cell>
          <cell r="R580">
            <v>29494</v>
          </cell>
          <cell r="S580">
            <v>0</v>
          </cell>
          <cell r="T580">
            <v>1</v>
          </cell>
          <cell r="U580">
            <v>-11</v>
          </cell>
          <cell r="V580">
            <v>0</v>
          </cell>
          <cell r="X580" t="str">
            <v>Sardar Tanveer Ilyas</v>
          </cell>
        </row>
        <row r="581">
          <cell r="K581">
            <v>560</v>
          </cell>
          <cell r="M581" t="str">
            <v>Intiqal</v>
          </cell>
          <cell r="N581" t="str">
            <v>Not Available</v>
          </cell>
          <cell r="O581">
            <v>0</v>
          </cell>
          <cell r="P581">
            <v>9</v>
          </cell>
          <cell r="Q581">
            <v>0</v>
          </cell>
          <cell r="R581">
            <v>16825</v>
          </cell>
          <cell r="S581">
            <v>0</v>
          </cell>
          <cell r="T581">
            <v>0</v>
          </cell>
          <cell r="U581">
            <v>7</v>
          </cell>
          <cell r="V581">
            <v>2</v>
          </cell>
          <cell r="X581" t="str">
            <v>Sardar Tanveer Ilyas</v>
          </cell>
        </row>
        <row r="582">
          <cell r="K582">
            <v>529</v>
          </cell>
          <cell r="M582" t="str">
            <v>Intiqal</v>
          </cell>
          <cell r="N582" t="str">
            <v>Not Available</v>
          </cell>
          <cell r="O582">
            <v>0</v>
          </cell>
          <cell r="P582">
            <v>5</v>
          </cell>
          <cell r="Q582">
            <v>0</v>
          </cell>
          <cell r="R582">
            <v>16825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X582" t="str">
            <v>Sardar Tanveer Ilyas</v>
          </cell>
        </row>
        <row r="583">
          <cell r="K583">
            <v>591</v>
          </cell>
          <cell r="M583" t="str">
            <v>Intiqal</v>
          </cell>
          <cell r="N583" t="str">
            <v>Not Available</v>
          </cell>
          <cell r="O583">
            <v>23</v>
          </cell>
          <cell r="P583">
            <v>8</v>
          </cell>
          <cell r="Q583">
            <v>0</v>
          </cell>
          <cell r="R583">
            <v>817900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X583" t="str">
            <v>Sardar Tanveer Ilyas</v>
          </cell>
        </row>
        <row r="584">
          <cell r="K584">
            <v>551</v>
          </cell>
          <cell r="M584" t="str">
            <v>Not Available</v>
          </cell>
          <cell r="N584" t="str">
            <v>Not Available</v>
          </cell>
          <cell r="O584">
            <v>2</v>
          </cell>
          <cell r="P584">
            <v>5</v>
          </cell>
          <cell r="Q584">
            <v>0</v>
          </cell>
          <cell r="R584">
            <v>182125</v>
          </cell>
          <cell r="S584">
            <v>112500</v>
          </cell>
          <cell r="T584">
            <v>0</v>
          </cell>
          <cell r="U584">
            <v>0</v>
          </cell>
          <cell r="V584">
            <v>0</v>
          </cell>
        </row>
        <row r="585">
          <cell r="K585">
            <v>533</v>
          </cell>
          <cell r="M585" t="str">
            <v>Intiqal</v>
          </cell>
          <cell r="N585" t="str">
            <v>Not Available</v>
          </cell>
          <cell r="O585">
            <v>0</v>
          </cell>
          <cell r="P585">
            <v>5</v>
          </cell>
          <cell r="Q585">
            <v>0</v>
          </cell>
          <cell r="R585">
            <v>0</v>
          </cell>
          <cell r="S585">
            <v>0</v>
          </cell>
          <cell r="T585">
            <v>96</v>
          </cell>
          <cell r="U585">
            <v>4</v>
          </cell>
          <cell r="V585">
            <v>0</v>
          </cell>
          <cell r="X585" t="str">
            <v>Sardar Tanveer Ilyas</v>
          </cell>
        </row>
        <row r="586">
          <cell r="K586">
            <v>510</v>
          </cell>
          <cell r="M586" t="str">
            <v>Intiqal</v>
          </cell>
          <cell r="N586" t="str">
            <v>Not Available</v>
          </cell>
          <cell r="O586">
            <v>96</v>
          </cell>
          <cell r="P586">
            <v>4</v>
          </cell>
          <cell r="Q586">
            <v>0</v>
          </cell>
          <cell r="R586">
            <v>3399413</v>
          </cell>
          <cell r="S586">
            <v>4800000</v>
          </cell>
          <cell r="T586">
            <v>-96</v>
          </cell>
          <cell r="U586">
            <v>1</v>
          </cell>
          <cell r="V586">
            <v>0</v>
          </cell>
          <cell r="X586" t="str">
            <v>Sardar Tanveer Ilyas</v>
          </cell>
        </row>
        <row r="587">
          <cell r="K587">
            <v>64</v>
          </cell>
          <cell r="M587" t="str">
            <v>Intiqal</v>
          </cell>
          <cell r="N587" t="str">
            <v>Not Available</v>
          </cell>
          <cell r="O587">
            <v>1</v>
          </cell>
          <cell r="P587">
            <v>15</v>
          </cell>
          <cell r="Q587">
            <v>1</v>
          </cell>
          <cell r="R587">
            <v>0</v>
          </cell>
          <cell r="S587">
            <v>0</v>
          </cell>
          <cell r="T587">
            <v>3</v>
          </cell>
          <cell r="U587">
            <v>-14</v>
          </cell>
          <cell r="V587">
            <v>7</v>
          </cell>
          <cell r="X587" t="str">
            <v>Sardar Tanveer Ilyas</v>
          </cell>
        </row>
        <row r="588">
          <cell r="K588">
            <v>63</v>
          </cell>
          <cell r="M588" t="str">
            <v>Intiqal</v>
          </cell>
          <cell r="N588" t="str">
            <v>Not Available</v>
          </cell>
          <cell r="O588">
            <v>0</v>
          </cell>
          <cell r="P588">
            <v>12</v>
          </cell>
          <cell r="Q588">
            <v>6</v>
          </cell>
          <cell r="R588">
            <v>0</v>
          </cell>
          <cell r="S588">
            <v>0</v>
          </cell>
          <cell r="T588">
            <v>1</v>
          </cell>
          <cell r="U588">
            <v>3</v>
          </cell>
          <cell r="V588">
            <v>-5</v>
          </cell>
          <cell r="X588" t="str">
            <v>Sardar Tanveer Ilyas</v>
          </cell>
        </row>
        <row r="589">
          <cell r="K589">
            <v>62</v>
          </cell>
          <cell r="M589" t="str">
            <v>Intiqal</v>
          </cell>
          <cell r="N589" t="str">
            <v>Not Available</v>
          </cell>
          <cell r="O589">
            <v>1</v>
          </cell>
          <cell r="P589">
            <v>14</v>
          </cell>
          <cell r="Q589">
            <v>1</v>
          </cell>
          <cell r="R589">
            <v>0</v>
          </cell>
          <cell r="S589">
            <v>0</v>
          </cell>
          <cell r="T589">
            <v>-1</v>
          </cell>
          <cell r="U589">
            <v>-2</v>
          </cell>
          <cell r="V589">
            <v>5</v>
          </cell>
          <cell r="X589" t="str">
            <v>Sardar Tanveer Ilyas</v>
          </cell>
        </row>
        <row r="590">
          <cell r="L590">
            <v>23710</v>
          </cell>
          <cell r="M590" t="str">
            <v>Not Available</v>
          </cell>
          <cell r="N590" t="str">
            <v>Registry</v>
          </cell>
          <cell r="O590">
            <v>0</v>
          </cell>
          <cell r="P590">
            <v>3</v>
          </cell>
          <cell r="Q590">
            <v>0</v>
          </cell>
          <cell r="R590">
            <v>0</v>
          </cell>
          <cell r="S590">
            <v>0</v>
          </cell>
          <cell r="T590">
            <v>2</v>
          </cell>
          <cell r="U590">
            <v>4</v>
          </cell>
          <cell r="V590">
            <v>8</v>
          </cell>
          <cell r="W590" t="str">
            <v>Malik M Akmal Awan</v>
          </cell>
          <cell r="X590" t="str">
            <v>Sardar Tanveer Ilyas</v>
          </cell>
          <cell r="Y590">
            <v>43046</v>
          </cell>
        </row>
        <row r="591">
          <cell r="K591">
            <v>3084</v>
          </cell>
          <cell r="L591">
            <v>23709</v>
          </cell>
          <cell r="M591" t="str">
            <v>Intiqal</v>
          </cell>
          <cell r="N591" t="str">
            <v>Registry</v>
          </cell>
          <cell r="O591">
            <v>2</v>
          </cell>
          <cell r="P591">
            <v>4</v>
          </cell>
          <cell r="Q591">
            <v>8</v>
          </cell>
          <cell r="R591">
            <v>0</v>
          </cell>
          <cell r="S591">
            <v>0</v>
          </cell>
          <cell r="T591">
            <v>-2</v>
          </cell>
          <cell r="U591">
            <v>-1</v>
          </cell>
          <cell r="V591">
            <v>-8</v>
          </cell>
          <cell r="W591" t="str">
            <v>Abdul hafeez</v>
          </cell>
          <cell r="X591" t="str">
            <v>Sardar Tanveer Ilyas</v>
          </cell>
          <cell r="Y591">
            <v>43046</v>
          </cell>
        </row>
        <row r="592">
          <cell r="L592">
            <v>22864</v>
          </cell>
          <cell r="M592" t="str">
            <v>Not Available</v>
          </cell>
          <cell r="N592" t="str">
            <v>Registry</v>
          </cell>
          <cell r="O592">
            <v>0</v>
          </cell>
          <cell r="P592">
            <v>6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 t="str">
            <v>Shahzad Hussain</v>
          </cell>
          <cell r="X592" t="str">
            <v>Sardar Tanveer Ilyas</v>
          </cell>
          <cell r="Y592">
            <v>43036</v>
          </cell>
        </row>
        <row r="593">
          <cell r="L593">
            <v>22709</v>
          </cell>
          <cell r="M593" t="str">
            <v>Not Available</v>
          </cell>
          <cell r="N593" t="str">
            <v>Registry</v>
          </cell>
          <cell r="O593">
            <v>1</v>
          </cell>
          <cell r="P593">
            <v>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 t="str">
            <v>Hassan Akhtar</v>
          </cell>
          <cell r="X593" t="str">
            <v>Sardar Tanveer Ilyas</v>
          </cell>
          <cell r="Y593">
            <v>43034</v>
          </cell>
        </row>
        <row r="594">
          <cell r="L594">
            <v>19847</v>
          </cell>
          <cell r="M594" t="str">
            <v>Not Available</v>
          </cell>
          <cell r="N594" t="str">
            <v>Registry</v>
          </cell>
          <cell r="O594">
            <v>0</v>
          </cell>
          <cell r="P594">
            <v>16</v>
          </cell>
          <cell r="Q594">
            <v>0</v>
          </cell>
          <cell r="R594">
            <v>23580</v>
          </cell>
          <cell r="S594">
            <v>0</v>
          </cell>
          <cell r="T594">
            <v>2</v>
          </cell>
          <cell r="U594">
            <v>-2</v>
          </cell>
          <cell r="V594">
            <v>6</v>
          </cell>
          <cell r="W594" t="str">
            <v>Khalida Bghum</v>
          </cell>
          <cell r="X594" t="str">
            <v>Sardar Tanveer Ilyas</v>
          </cell>
          <cell r="Y594">
            <v>43004</v>
          </cell>
        </row>
        <row r="595">
          <cell r="L595">
            <v>19875</v>
          </cell>
          <cell r="M595" t="str">
            <v>Not Available</v>
          </cell>
          <cell r="N595" t="str">
            <v>Registry</v>
          </cell>
          <cell r="O595">
            <v>1</v>
          </cell>
          <cell r="P595">
            <v>18</v>
          </cell>
          <cell r="Q595">
            <v>6</v>
          </cell>
          <cell r="R595">
            <v>63060</v>
          </cell>
          <cell r="S595">
            <v>0</v>
          </cell>
          <cell r="T595">
            <v>-1</v>
          </cell>
          <cell r="U595">
            <v>-2</v>
          </cell>
          <cell r="V595">
            <v>-6</v>
          </cell>
          <cell r="W595" t="str">
            <v>Ruqaiya bibi</v>
          </cell>
          <cell r="X595" t="str">
            <v>Sardar Tanveer Ilyas</v>
          </cell>
          <cell r="Y595">
            <v>43004</v>
          </cell>
        </row>
        <row r="596">
          <cell r="K596">
            <v>1065</v>
          </cell>
          <cell r="M596" t="str">
            <v>Intiqal</v>
          </cell>
          <cell r="N596" t="str">
            <v>Not Available</v>
          </cell>
          <cell r="O596">
            <v>33</v>
          </cell>
          <cell r="P596">
            <v>1</v>
          </cell>
          <cell r="Q596">
            <v>5</v>
          </cell>
          <cell r="R596">
            <v>8262161</v>
          </cell>
          <cell r="S596">
            <v>0</v>
          </cell>
          <cell r="T596">
            <v>17</v>
          </cell>
          <cell r="U596">
            <v>0</v>
          </cell>
          <cell r="V596">
            <v>0</v>
          </cell>
          <cell r="X596" t="str">
            <v>Sardar Tanveer Ilyas</v>
          </cell>
        </row>
        <row r="597">
          <cell r="K597">
            <v>1060</v>
          </cell>
          <cell r="M597" t="str">
            <v>Intiqal</v>
          </cell>
          <cell r="N597" t="str">
            <v>Not Available</v>
          </cell>
          <cell r="O597">
            <v>17</v>
          </cell>
          <cell r="P597">
            <v>0</v>
          </cell>
          <cell r="Q597">
            <v>0</v>
          </cell>
          <cell r="R597">
            <v>4195500</v>
          </cell>
          <cell r="S597">
            <v>0</v>
          </cell>
          <cell r="T597">
            <v>16</v>
          </cell>
          <cell r="U597">
            <v>1</v>
          </cell>
          <cell r="V597">
            <v>5</v>
          </cell>
          <cell r="X597" t="str">
            <v>Sardar Tanveer Ilyas</v>
          </cell>
        </row>
        <row r="598">
          <cell r="L598">
            <v>25037</v>
          </cell>
          <cell r="M598" t="str">
            <v>Not Available</v>
          </cell>
          <cell r="N598" t="str">
            <v>Registry</v>
          </cell>
          <cell r="O598">
            <v>1</v>
          </cell>
          <cell r="P598">
            <v>4</v>
          </cell>
          <cell r="Q598">
            <v>8</v>
          </cell>
          <cell r="R598">
            <v>72600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 t="str">
            <v>Raja Muhammad Ayub</v>
          </cell>
          <cell r="X598" t="str">
            <v>Sardar Tanveer Ilyas</v>
          </cell>
          <cell r="Y598">
            <v>43061</v>
          </cell>
        </row>
        <row r="599">
          <cell r="L599">
            <v>26486</v>
          </cell>
          <cell r="M599" t="str">
            <v>Not Available</v>
          </cell>
          <cell r="N599" t="str">
            <v>Registry</v>
          </cell>
          <cell r="O599">
            <v>0</v>
          </cell>
          <cell r="P599">
            <v>8</v>
          </cell>
          <cell r="Q599">
            <v>4.5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 t="str">
            <v>Iqbal Beghum</v>
          </cell>
          <cell r="X599" t="str">
            <v>Sardar Tanveer Ilyas</v>
          </cell>
          <cell r="Y599">
            <v>43078</v>
          </cell>
        </row>
        <row r="600">
          <cell r="K600">
            <v>101</v>
          </cell>
          <cell r="M600" t="str">
            <v>Intiqal</v>
          </cell>
          <cell r="N600" t="str">
            <v>Not Available</v>
          </cell>
          <cell r="O600">
            <v>1</v>
          </cell>
          <cell r="P600">
            <v>4</v>
          </cell>
          <cell r="Q600">
            <v>1</v>
          </cell>
          <cell r="R600">
            <v>37247</v>
          </cell>
          <cell r="S600">
            <v>0</v>
          </cell>
          <cell r="T600">
            <v>18</v>
          </cell>
          <cell r="U600">
            <v>-3</v>
          </cell>
          <cell r="V600">
            <v>3</v>
          </cell>
          <cell r="X600" t="str">
            <v>Sardar Tanveer Ilyas</v>
          </cell>
        </row>
        <row r="601">
          <cell r="K601">
            <v>102</v>
          </cell>
          <cell r="M601" t="str">
            <v>Intiqal</v>
          </cell>
          <cell r="N601" t="str">
            <v>Not Available</v>
          </cell>
          <cell r="O601">
            <v>1</v>
          </cell>
          <cell r="P601">
            <v>8</v>
          </cell>
          <cell r="Q601">
            <v>8</v>
          </cell>
          <cell r="R601">
            <v>67278</v>
          </cell>
          <cell r="S601">
            <v>0</v>
          </cell>
          <cell r="T601">
            <v>0</v>
          </cell>
          <cell r="U601">
            <v>-4</v>
          </cell>
          <cell r="V601">
            <v>-7</v>
          </cell>
          <cell r="X601" t="str">
            <v>Sardar Tanveer Ilyas</v>
          </cell>
        </row>
        <row r="602">
          <cell r="K602">
            <v>103</v>
          </cell>
          <cell r="M602" t="str">
            <v>Intiqal</v>
          </cell>
          <cell r="N602" t="str">
            <v>Registry</v>
          </cell>
          <cell r="O602">
            <v>0</v>
          </cell>
          <cell r="P602">
            <v>12</v>
          </cell>
          <cell r="Q602">
            <v>3</v>
          </cell>
          <cell r="R602">
            <v>19742</v>
          </cell>
          <cell r="S602">
            <v>0</v>
          </cell>
          <cell r="T602">
            <v>1</v>
          </cell>
          <cell r="U602">
            <v>-4</v>
          </cell>
          <cell r="V602">
            <v>5</v>
          </cell>
          <cell r="X602" t="str">
            <v>Sardar Tanveer Ilyas</v>
          </cell>
        </row>
        <row r="603">
          <cell r="K603">
            <v>96</v>
          </cell>
          <cell r="M603" t="str">
            <v>Intiqal</v>
          </cell>
          <cell r="N603" t="str">
            <v>Not Available</v>
          </cell>
          <cell r="O603">
            <v>9</v>
          </cell>
          <cell r="P603">
            <v>8</v>
          </cell>
          <cell r="Q603">
            <v>6</v>
          </cell>
          <cell r="R603">
            <v>457183</v>
          </cell>
          <cell r="S603">
            <v>0</v>
          </cell>
          <cell r="T603">
            <v>-9</v>
          </cell>
          <cell r="U603">
            <v>4</v>
          </cell>
          <cell r="V603">
            <v>-3</v>
          </cell>
          <cell r="X603" t="str">
            <v>Sardar Tanveer Ilyas</v>
          </cell>
        </row>
        <row r="604">
          <cell r="K604">
            <v>95</v>
          </cell>
          <cell r="M604" t="str">
            <v>Intiqal</v>
          </cell>
          <cell r="N604" t="str">
            <v>Not Available</v>
          </cell>
          <cell r="O604">
            <v>0</v>
          </cell>
          <cell r="P604">
            <v>12</v>
          </cell>
          <cell r="Q604">
            <v>8</v>
          </cell>
          <cell r="R604">
            <v>30289</v>
          </cell>
          <cell r="S604">
            <v>0</v>
          </cell>
          <cell r="T604">
            <v>9</v>
          </cell>
          <cell r="U604">
            <v>-4</v>
          </cell>
          <cell r="V604">
            <v>-2</v>
          </cell>
          <cell r="X604" t="str">
            <v>Sardar Tanveer Ilyas</v>
          </cell>
        </row>
        <row r="605">
          <cell r="K605">
            <v>94</v>
          </cell>
          <cell r="M605" t="str">
            <v>Intiqal</v>
          </cell>
          <cell r="N605" t="str">
            <v>Not Available</v>
          </cell>
          <cell r="O605">
            <v>0</v>
          </cell>
          <cell r="P605">
            <v>19</v>
          </cell>
          <cell r="Q605">
            <v>4</v>
          </cell>
          <cell r="R605">
            <v>44556</v>
          </cell>
          <cell r="S605">
            <v>0</v>
          </cell>
          <cell r="T605">
            <v>0</v>
          </cell>
          <cell r="U605">
            <v>-7</v>
          </cell>
          <cell r="V605">
            <v>4</v>
          </cell>
          <cell r="X605" t="str">
            <v>Sardar Tanveer Ilyas</v>
          </cell>
        </row>
        <row r="606">
          <cell r="K606">
            <v>93</v>
          </cell>
          <cell r="M606" t="str">
            <v>Intiqal</v>
          </cell>
          <cell r="N606" t="str">
            <v>Not Available</v>
          </cell>
          <cell r="O606">
            <v>1</v>
          </cell>
          <cell r="P606">
            <v>15</v>
          </cell>
          <cell r="Q606">
            <v>1</v>
          </cell>
          <cell r="R606">
            <v>59875</v>
          </cell>
          <cell r="S606">
            <v>0</v>
          </cell>
          <cell r="T606">
            <v>-1</v>
          </cell>
          <cell r="U606">
            <v>4</v>
          </cell>
          <cell r="V606">
            <v>3</v>
          </cell>
          <cell r="X606" t="str">
            <v>Sardar Tanveer Ilyas</v>
          </cell>
        </row>
        <row r="607">
          <cell r="K607">
            <v>92</v>
          </cell>
          <cell r="M607" t="str">
            <v>Intiqal</v>
          </cell>
          <cell r="N607" t="str">
            <v>Not Available</v>
          </cell>
          <cell r="O607">
            <v>3</v>
          </cell>
          <cell r="P607">
            <v>0</v>
          </cell>
          <cell r="Q607">
            <v>0</v>
          </cell>
          <cell r="R607">
            <v>86500</v>
          </cell>
          <cell r="S607">
            <v>0</v>
          </cell>
          <cell r="T607">
            <v>-2</v>
          </cell>
          <cell r="U607">
            <v>15</v>
          </cell>
          <cell r="V607">
            <v>1</v>
          </cell>
          <cell r="X607" t="str">
            <v>Sardar Tanveer Ilyas</v>
          </cell>
        </row>
        <row r="608">
          <cell r="K608">
            <v>883</v>
          </cell>
          <cell r="M608" t="str">
            <v>Intiqal</v>
          </cell>
          <cell r="N608" t="str">
            <v>Not Available</v>
          </cell>
          <cell r="O608">
            <v>20</v>
          </cell>
          <cell r="P608">
            <v>18</v>
          </cell>
          <cell r="Q608">
            <v>3</v>
          </cell>
          <cell r="R608">
            <v>2337792</v>
          </cell>
          <cell r="S608">
            <v>0</v>
          </cell>
          <cell r="T608">
            <v>8</v>
          </cell>
          <cell r="U608">
            <v>-18</v>
          </cell>
          <cell r="V608">
            <v>-3</v>
          </cell>
          <cell r="X608" t="str">
            <v>Sardar Tanveer Ilyas</v>
          </cell>
        </row>
        <row r="609">
          <cell r="K609">
            <v>882</v>
          </cell>
          <cell r="M609" t="str">
            <v>Intiqal</v>
          </cell>
          <cell r="N609" t="str">
            <v>Not Available</v>
          </cell>
          <cell r="O609">
            <v>6</v>
          </cell>
          <cell r="P609">
            <v>15</v>
          </cell>
          <cell r="Q609">
            <v>2</v>
          </cell>
          <cell r="R609">
            <v>747469</v>
          </cell>
          <cell r="S609">
            <v>0</v>
          </cell>
          <cell r="T609">
            <v>14</v>
          </cell>
          <cell r="U609">
            <v>3</v>
          </cell>
          <cell r="V609">
            <v>1</v>
          </cell>
          <cell r="X609" t="str">
            <v>Sardar Tanveer Ilyas</v>
          </cell>
        </row>
        <row r="610">
          <cell r="M610" t="str">
            <v>Not Available</v>
          </cell>
          <cell r="N610" t="str">
            <v>Not Available</v>
          </cell>
          <cell r="O610">
            <v>0</v>
          </cell>
          <cell r="P610">
            <v>6</v>
          </cell>
          <cell r="Q610">
            <v>4</v>
          </cell>
          <cell r="R610">
            <v>0</v>
          </cell>
          <cell r="S610">
            <v>0</v>
          </cell>
          <cell r="T610">
            <v>6</v>
          </cell>
          <cell r="U610">
            <v>9</v>
          </cell>
          <cell r="V610">
            <v>-2</v>
          </cell>
        </row>
        <row r="611">
          <cell r="K611" t="str">
            <v>In Possession but not transferable on our name. (Barah)</v>
          </cell>
          <cell r="M611" t="str">
            <v>Intiqal</v>
          </cell>
          <cell r="N611" t="str">
            <v>Not Available</v>
          </cell>
          <cell r="O611">
            <v>2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 t="str">
            <v>Saif Ullah</v>
          </cell>
          <cell r="X611" t="str">
            <v>Sardar Tanveer Ilyas</v>
          </cell>
        </row>
        <row r="612">
          <cell r="K612">
            <v>3088</v>
          </cell>
          <cell r="L612">
            <v>1158</v>
          </cell>
          <cell r="M612" t="str">
            <v>Intiqal</v>
          </cell>
          <cell r="N612" t="str">
            <v>Registry</v>
          </cell>
          <cell r="O612">
            <v>0</v>
          </cell>
          <cell r="P612">
            <v>6</v>
          </cell>
          <cell r="Q612">
            <v>0</v>
          </cell>
          <cell r="R612">
            <v>0</v>
          </cell>
          <cell r="S612">
            <v>0</v>
          </cell>
          <cell r="T612">
            <v>1</v>
          </cell>
          <cell r="U612">
            <v>7</v>
          </cell>
          <cell r="V612">
            <v>0</v>
          </cell>
          <cell r="W612" t="str">
            <v>M arif khan</v>
          </cell>
          <cell r="X612" t="str">
            <v>Sardar Tanveer Ilyas</v>
          </cell>
          <cell r="Y612">
            <v>43113</v>
          </cell>
        </row>
        <row r="613">
          <cell r="K613">
            <v>3086</v>
          </cell>
          <cell r="L613">
            <v>2062</v>
          </cell>
          <cell r="M613" t="str">
            <v>Intiqal</v>
          </cell>
          <cell r="N613" t="str">
            <v>Registry</v>
          </cell>
          <cell r="O613">
            <v>0</v>
          </cell>
          <cell r="P613">
            <v>6</v>
          </cell>
          <cell r="Q613">
            <v>6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-6</v>
          </cell>
          <cell r="W613" t="str">
            <v>M shakil</v>
          </cell>
          <cell r="X613" t="str">
            <v>Sardar Tanveer Ilyas</v>
          </cell>
          <cell r="Y613">
            <v>43122</v>
          </cell>
        </row>
        <row r="614">
          <cell r="K614">
            <v>3087</v>
          </cell>
          <cell r="L614">
            <v>1055</v>
          </cell>
          <cell r="M614" t="str">
            <v>Intiqal</v>
          </cell>
          <cell r="N614" t="str">
            <v>Registry</v>
          </cell>
          <cell r="O614">
            <v>0</v>
          </cell>
          <cell r="P614">
            <v>6</v>
          </cell>
          <cell r="Q614">
            <v>6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 t="str">
            <v>M basharat</v>
          </cell>
          <cell r="X614" t="str">
            <v>Sardar Tanveer Ilyas</v>
          </cell>
          <cell r="Y614">
            <v>43111</v>
          </cell>
        </row>
        <row r="615">
          <cell r="K615">
            <v>3095</v>
          </cell>
          <cell r="L615">
            <v>1058</v>
          </cell>
          <cell r="M615" t="str">
            <v>Intiqal</v>
          </cell>
          <cell r="N615" t="str">
            <v>Registry</v>
          </cell>
          <cell r="O615">
            <v>0</v>
          </cell>
          <cell r="P615">
            <v>6</v>
          </cell>
          <cell r="Q615">
            <v>6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 t="str">
            <v>M tanveer</v>
          </cell>
          <cell r="X615" t="str">
            <v>Sardar Tanveer Ilyas</v>
          </cell>
          <cell r="Y615">
            <v>43111</v>
          </cell>
        </row>
        <row r="616">
          <cell r="K616">
            <v>3089</v>
          </cell>
          <cell r="L616">
            <v>1096</v>
          </cell>
          <cell r="M616" t="str">
            <v>Intiqal</v>
          </cell>
          <cell r="N616" t="str">
            <v>Registry</v>
          </cell>
          <cell r="O616">
            <v>0</v>
          </cell>
          <cell r="P616">
            <v>7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-1</v>
          </cell>
          <cell r="V616">
            <v>6</v>
          </cell>
          <cell r="W616" t="str">
            <v>azmeer khan</v>
          </cell>
          <cell r="X616" t="str">
            <v>Sardar Tanveer Ilyas</v>
          </cell>
          <cell r="Y616">
            <v>43112</v>
          </cell>
        </row>
        <row r="617">
          <cell r="K617">
            <v>3093</v>
          </cell>
          <cell r="L617">
            <v>2321</v>
          </cell>
          <cell r="M617" t="str">
            <v>Intiqal</v>
          </cell>
          <cell r="N617" t="str">
            <v>Registry</v>
          </cell>
          <cell r="O617">
            <v>0</v>
          </cell>
          <cell r="P617">
            <v>4</v>
          </cell>
          <cell r="Q617">
            <v>0</v>
          </cell>
          <cell r="R617">
            <v>0</v>
          </cell>
          <cell r="S617">
            <v>0</v>
          </cell>
          <cell r="T617">
            <v>1</v>
          </cell>
          <cell r="U617">
            <v>-1</v>
          </cell>
          <cell r="V617">
            <v>4.5</v>
          </cell>
          <cell r="W617" t="str">
            <v>Noor al rehman</v>
          </cell>
          <cell r="X617" t="str">
            <v>Sardar Tanveer Ilyas</v>
          </cell>
          <cell r="Y617">
            <v>43124</v>
          </cell>
        </row>
        <row r="618">
          <cell r="K618">
            <v>3092</v>
          </cell>
          <cell r="L618">
            <v>2324</v>
          </cell>
          <cell r="M618" t="str">
            <v>Intiqal</v>
          </cell>
          <cell r="N618" t="str">
            <v>Registry</v>
          </cell>
          <cell r="O618">
            <v>0</v>
          </cell>
          <cell r="P618">
            <v>7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-3</v>
          </cell>
          <cell r="V618">
            <v>0</v>
          </cell>
          <cell r="W618" t="str">
            <v>Tamas khan</v>
          </cell>
          <cell r="X618" t="str">
            <v>Sardar Tanveer Ilyas</v>
          </cell>
          <cell r="Y618">
            <v>43124</v>
          </cell>
        </row>
        <row r="619">
          <cell r="K619">
            <v>3096</v>
          </cell>
          <cell r="L619">
            <v>2323</v>
          </cell>
          <cell r="M619" t="str">
            <v>Intiqal</v>
          </cell>
          <cell r="N619" t="str">
            <v>Registry</v>
          </cell>
          <cell r="O619">
            <v>0</v>
          </cell>
          <cell r="P619">
            <v>5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2</v>
          </cell>
          <cell r="V619">
            <v>0</v>
          </cell>
          <cell r="W619" t="str">
            <v>Gul Muhammad</v>
          </cell>
          <cell r="X619" t="str">
            <v>Sardar Tanveer Ilyas</v>
          </cell>
          <cell r="Y619">
            <v>43124</v>
          </cell>
        </row>
        <row r="620">
          <cell r="K620">
            <v>3094</v>
          </cell>
          <cell r="L620">
            <v>2322</v>
          </cell>
          <cell r="M620" t="str">
            <v>Intiqal</v>
          </cell>
          <cell r="N620" t="str">
            <v>Registry</v>
          </cell>
          <cell r="O620">
            <v>0</v>
          </cell>
          <cell r="P620">
            <v>7</v>
          </cell>
          <cell r="Q620">
            <v>4.5</v>
          </cell>
          <cell r="R620">
            <v>0</v>
          </cell>
          <cell r="S620">
            <v>0</v>
          </cell>
          <cell r="T620">
            <v>0</v>
          </cell>
          <cell r="U620">
            <v>-2</v>
          </cell>
          <cell r="V620">
            <v>-4.5</v>
          </cell>
          <cell r="W620" t="str">
            <v>M yousaf</v>
          </cell>
          <cell r="X620" t="str">
            <v>Sardar Tanveer Ilyas</v>
          </cell>
          <cell r="Y620">
            <v>43124</v>
          </cell>
        </row>
        <row r="621">
          <cell r="K621">
            <v>1357</v>
          </cell>
          <cell r="M621" t="str">
            <v>Intiqal</v>
          </cell>
          <cell r="N621" t="str">
            <v>Not Available</v>
          </cell>
          <cell r="O621">
            <v>1</v>
          </cell>
          <cell r="P621">
            <v>2</v>
          </cell>
          <cell r="Q621">
            <v>3</v>
          </cell>
          <cell r="R621">
            <v>0</v>
          </cell>
          <cell r="S621">
            <v>0</v>
          </cell>
          <cell r="T621">
            <v>8</v>
          </cell>
          <cell r="U621">
            <v>10</v>
          </cell>
          <cell r="V621">
            <v>-2</v>
          </cell>
          <cell r="X621" t="str">
            <v>Sardar Tanveer Ilyas</v>
          </cell>
        </row>
        <row r="622">
          <cell r="K622">
            <v>3077</v>
          </cell>
          <cell r="L622">
            <v>14376</v>
          </cell>
          <cell r="M622" t="str">
            <v>Intiqal</v>
          </cell>
          <cell r="N622" t="str">
            <v>Registry</v>
          </cell>
          <cell r="O622">
            <v>1</v>
          </cell>
          <cell r="P622">
            <v>1</v>
          </cell>
          <cell r="Q622">
            <v>8</v>
          </cell>
          <cell r="R622">
            <v>0</v>
          </cell>
          <cell r="S622">
            <v>0</v>
          </cell>
          <cell r="T622">
            <v>0</v>
          </cell>
          <cell r="U622">
            <v>1</v>
          </cell>
          <cell r="V622">
            <v>-5</v>
          </cell>
          <cell r="W622" t="str">
            <v>Hassan Akhtar</v>
          </cell>
          <cell r="X622" t="str">
            <v>M idress khan</v>
          </cell>
          <cell r="Y622">
            <v>43249</v>
          </cell>
        </row>
        <row r="623">
          <cell r="K623">
            <v>3097</v>
          </cell>
          <cell r="L623">
            <v>14375</v>
          </cell>
          <cell r="M623" t="str">
            <v>Intiqal</v>
          </cell>
          <cell r="N623" t="str">
            <v>Registry</v>
          </cell>
          <cell r="O623">
            <v>1</v>
          </cell>
          <cell r="P623">
            <v>1</v>
          </cell>
          <cell r="Q623">
            <v>3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5</v>
          </cell>
          <cell r="W623" t="str">
            <v>Mst shiraz bibi</v>
          </cell>
          <cell r="X623" t="str">
            <v>M idress khan</v>
          </cell>
          <cell r="Y623">
            <v>43249</v>
          </cell>
        </row>
        <row r="624">
          <cell r="K624">
            <v>3076</v>
          </cell>
          <cell r="L624">
            <v>12483</v>
          </cell>
          <cell r="M624" t="str">
            <v>Intiqal</v>
          </cell>
          <cell r="N624" t="str">
            <v>Registry</v>
          </cell>
          <cell r="O624">
            <v>2</v>
          </cell>
          <cell r="P624">
            <v>2</v>
          </cell>
          <cell r="Q624">
            <v>0</v>
          </cell>
          <cell r="R624">
            <v>500000</v>
          </cell>
          <cell r="S624">
            <v>0</v>
          </cell>
          <cell r="T624">
            <v>-1</v>
          </cell>
          <cell r="U624">
            <v>-1</v>
          </cell>
          <cell r="V624">
            <v>3</v>
          </cell>
          <cell r="W624" t="str">
            <v>Hassan Akhtar</v>
          </cell>
          <cell r="X624" t="str">
            <v>M idress khan</v>
          </cell>
          <cell r="Y624">
            <v>43229</v>
          </cell>
        </row>
        <row r="625">
          <cell r="K625">
            <v>3080</v>
          </cell>
          <cell r="L625">
            <v>7764</v>
          </cell>
          <cell r="M625" t="str">
            <v>Intiqal</v>
          </cell>
          <cell r="N625" t="str">
            <v>Registry</v>
          </cell>
          <cell r="O625">
            <v>2</v>
          </cell>
          <cell r="P625">
            <v>1</v>
          </cell>
          <cell r="Q625">
            <v>6</v>
          </cell>
          <cell r="R625">
            <v>0</v>
          </cell>
          <cell r="S625">
            <v>0</v>
          </cell>
          <cell r="T625">
            <v>0</v>
          </cell>
          <cell r="U625">
            <v>1</v>
          </cell>
          <cell r="V625">
            <v>-6</v>
          </cell>
          <cell r="W625" t="str">
            <v>Hassan Akhtar</v>
          </cell>
          <cell r="X625" t="str">
            <v>M idress khan</v>
          </cell>
          <cell r="Y625">
            <v>43180</v>
          </cell>
        </row>
        <row r="626">
          <cell r="K626">
            <v>3078</v>
          </cell>
          <cell r="L626">
            <v>6960</v>
          </cell>
          <cell r="M626" t="str">
            <v>Intiqal</v>
          </cell>
          <cell r="N626" t="str">
            <v>Registry</v>
          </cell>
          <cell r="O626">
            <v>0</v>
          </cell>
          <cell r="P626">
            <v>17</v>
          </cell>
          <cell r="Q626">
            <v>0</v>
          </cell>
          <cell r="R626">
            <v>0</v>
          </cell>
          <cell r="S626">
            <v>0</v>
          </cell>
          <cell r="T626">
            <v>2</v>
          </cell>
          <cell r="U626">
            <v>-16</v>
          </cell>
          <cell r="V626">
            <v>6</v>
          </cell>
          <cell r="W626" t="str">
            <v>Hassan Akhtar</v>
          </cell>
          <cell r="X626" t="str">
            <v>M idress khan</v>
          </cell>
          <cell r="Y626">
            <v>43173</v>
          </cell>
        </row>
        <row r="627">
          <cell r="K627">
            <v>3079</v>
          </cell>
          <cell r="L627">
            <v>6959</v>
          </cell>
          <cell r="M627" t="str">
            <v>Intiqal</v>
          </cell>
          <cell r="N627" t="str">
            <v>Registry</v>
          </cell>
          <cell r="O627">
            <v>1</v>
          </cell>
          <cell r="P627">
            <v>5</v>
          </cell>
          <cell r="Q627">
            <v>8</v>
          </cell>
          <cell r="R627">
            <v>0</v>
          </cell>
          <cell r="S627">
            <v>0</v>
          </cell>
          <cell r="T627">
            <v>-1</v>
          </cell>
          <cell r="U627">
            <v>12</v>
          </cell>
          <cell r="V627">
            <v>-8</v>
          </cell>
          <cell r="W627" t="str">
            <v>Hassan Akhtar</v>
          </cell>
          <cell r="X627" t="str">
            <v>M idress khan</v>
          </cell>
          <cell r="Y627">
            <v>43173</v>
          </cell>
        </row>
        <row r="628">
          <cell r="K628">
            <v>111</v>
          </cell>
          <cell r="M628" t="str">
            <v>Intiqal</v>
          </cell>
          <cell r="N628" t="str">
            <v>Not Available</v>
          </cell>
          <cell r="O628">
            <v>7</v>
          </cell>
          <cell r="P628">
            <v>0</v>
          </cell>
          <cell r="Q628">
            <v>0</v>
          </cell>
          <cell r="R628">
            <v>0</v>
          </cell>
          <cell r="S628">
            <v>350000</v>
          </cell>
          <cell r="T628">
            <v>0</v>
          </cell>
          <cell r="U628">
            <v>0</v>
          </cell>
          <cell r="V628">
            <v>0</v>
          </cell>
          <cell r="X628" t="str">
            <v>Sardar Tanveer Ilyas</v>
          </cell>
        </row>
        <row r="629">
          <cell r="K629">
            <v>116</v>
          </cell>
          <cell r="M629" t="str">
            <v>Intiqal</v>
          </cell>
          <cell r="N629" t="str">
            <v>Not Available</v>
          </cell>
          <cell r="O629">
            <v>34</v>
          </cell>
          <cell r="P629">
            <v>19</v>
          </cell>
          <cell r="Q629">
            <v>0</v>
          </cell>
          <cell r="R629">
            <v>2606575</v>
          </cell>
          <cell r="S629">
            <v>0</v>
          </cell>
          <cell r="T629">
            <v>18</v>
          </cell>
          <cell r="U629">
            <v>-1</v>
          </cell>
          <cell r="V629">
            <v>0</v>
          </cell>
          <cell r="X629" t="str">
            <v>Sardar Tanveer Ilyas</v>
          </cell>
        </row>
        <row r="630">
          <cell r="K630">
            <v>115</v>
          </cell>
          <cell r="M630" t="str">
            <v>Intiqal</v>
          </cell>
          <cell r="N630" t="str">
            <v>Registry</v>
          </cell>
          <cell r="O630">
            <v>17</v>
          </cell>
          <cell r="P630">
            <v>19</v>
          </cell>
          <cell r="Q630">
            <v>0</v>
          </cell>
          <cell r="R630">
            <v>1339575</v>
          </cell>
          <cell r="S630">
            <v>2645000</v>
          </cell>
          <cell r="T630">
            <v>17</v>
          </cell>
          <cell r="U630">
            <v>0</v>
          </cell>
          <cell r="V630">
            <v>0</v>
          </cell>
          <cell r="X630" t="str">
            <v>Sardar Tanveer Ilyas</v>
          </cell>
        </row>
        <row r="631">
          <cell r="K631">
            <v>3082</v>
          </cell>
          <cell r="L631">
            <v>7885</v>
          </cell>
          <cell r="M631" t="str">
            <v>Intiqal</v>
          </cell>
          <cell r="N631" t="str">
            <v>Registry</v>
          </cell>
          <cell r="O631">
            <v>1</v>
          </cell>
          <cell r="P631">
            <v>4</v>
          </cell>
          <cell r="Q631">
            <v>0</v>
          </cell>
          <cell r="R631">
            <v>0</v>
          </cell>
          <cell r="S631">
            <v>0</v>
          </cell>
          <cell r="T631">
            <v>3</v>
          </cell>
          <cell r="U631">
            <v>11</v>
          </cell>
          <cell r="V631">
            <v>4.5</v>
          </cell>
          <cell r="W631" t="str">
            <v>Dilawar Khan</v>
          </cell>
          <cell r="X631" t="str">
            <v>Sardar Tanveer Ilyas</v>
          </cell>
          <cell r="Y631">
            <v>43181</v>
          </cell>
        </row>
        <row r="632">
          <cell r="K632">
            <v>1421</v>
          </cell>
          <cell r="M632" t="str">
            <v>Intiqal</v>
          </cell>
          <cell r="N632" t="str">
            <v>Not Available</v>
          </cell>
          <cell r="O632">
            <v>0</v>
          </cell>
          <cell r="P632">
            <v>6</v>
          </cell>
          <cell r="Q632">
            <v>0</v>
          </cell>
          <cell r="R632">
            <v>0</v>
          </cell>
          <cell r="S632">
            <v>0</v>
          </cell>
          <cell r="T632">
            <v>1</v>
          </cell>
          <cell r="U632">
            <v>-2</v>
          </cell>
          <cell r="V632">
            <v>0</v>
          </cell>
          <cell r="X632" t="str">
            <v>Sardar Tanveer Ilyas</v>
          </cell>
        </row>
        <row r="633">
          <cell r="K633">
            <v>1422</v>
          </cell>
          <cell r="M633" t="str">
            <v>Intiqal</v>
          </cell>
          <cell r="N633" t="str">
            <v>Not Available</v>
          </cell>
          <cell r="O633">
            <v>0</v>
          </cell>
          <cell r="P633">
            <v>5</v>
          </cell>
          <cell r="Q633">
            <v>4.5</v>
          </cell>
          <cell r="R633">
            <v>82411</v>
          </cell>
          <cell r="S633">
            <v>0</v>
          </cell>
          <cell r="T633">
            <v>0</v>
          </cell>
          <cell r="U633">
            <v>1</v>
          </cell>
          <cell r="V633">
            <v>-4.5</v>
          </cell>
          <cell r="X633" t="str">
            <v>Sardar Tanveer Ilyas</v>
          </cell>
        </row>
        <row r="634">
          <cell r="K634">
            <v>962</v>
          </cell>
          <cell r="M634" t="str">
            <v>Intiqal</v>
          </cell>
          <cell r="N634" t="str">
            <v>Not Available</v>
          </cell>
          <cell r="O634">
            <v>1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-1</v>
          </cell>
          <cell r="U634">
            <v>5</v>
          </cell>
          <cell r="V634">
            <v>4.5</v>
          </cell>
          <cell r="X634" t="str">
            <v>Sardar Tanveer Ilyas</v>
          </cell>
        </row>
        <row r="635">
          <cell r="K635">
            <v>960</v>
          </cell>
          <cell r="M635" t="str">
            <v>Intiqal</v>
          </cell>
          <cell r="N635" t="str">
            <v>Not Available</v>
          </cell>
          <cell r="O635">
            <v>2</v>
          </cell>
          <cell r="P635">
            <v>0</v>
          </cell>
          <cell r="Q635">
            <v>0</v>
          </cell>
          <cell r="R635">
            <v>165500</v>
          </cell>
          <cell r="S635">
            <v>0</v>
          </cell>
          <cell r="T635">
            <v>-1</v>
          </cell>
          <cell r="U635">
            <v>0</v>
          </cell>
          <cell r="V635">
            <v>0</v>
          </cell>
          <cell r="X635" t="str">
            <v>Sardar Tanveer Ilyas</v>
          </cell>
        </row>
        <row r="636">
          <cell r="K636">
            <v>114</v>
          </cell>
          <cell r="M636" t="str">
            <v>Intiqal</v>
          </cell>
          <cell r="N636" t="str">
            <v>Not Available</v>
          </cell>
          <cell r="O636">
            <v>14</v>
          </cell>
          <cell r="P636">
            <v>17</v>
          </cell>
          <cell r="Q636">
            <v>5</v>
          </cell>
          <cell r="R636">
            <v>1051461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X636" t="str">
            <v>Sardar Tanveer Ilyas</v>
          </cell>
        </row>
        <row r="637">
          <cell r="K637">
            <v>1088</v>
          </cell>
          <cell r="M637" t="str">
            <v>Intiqal</v>
          </cell>
          <cell r="N637" t="str">
            <v>Not Available</v>
          </cell>
          <cell r="O637">
            <v>2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X637" t="str">
            <v>Sardar Tanveer Ilyas</v>
          </cell>
        </row>
        <row r="638">
          <cell r="K638">
            <v>4350</v>
          </cell>
          <cell r="M638" t="str">
            <v>Not Available</v>
          </cell>
          <cell r="N638" t="str">
            <v>Not Available</v>
          </cell>
          <cell r="O638">
            <v>0</v>
          </cell>
          <cell r="P638">
            <v>5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</row>
        <row r="639">
          <cell r="K639">
            <v>12184</v>
          </cell>
          <cell r="M639" t="str">
            <v>Intiqal</v>
          </cell>
          <cell r="N639" t="str">
            <v>Not Available</v>
          </cell>
          <cell r="O639">
            <v>0</v>
          </cell>
          <cell r="P639">
            <v>0</v>
          </cell>
          <cell r="Q639">
            <v>8.4700000000000006</v>
          </cell>
          <cell r="R639">
            <v>0</v>
          </cell>
          <cell r="S639">
            <v>0</v>
          </cell>
          <cell r="T639">
            <v>1</v>
          </cell>
          <cell r="U639">
            <v>15</v>
          </cell>
          <cell r="V639">
            <v>-1</v>
          </cell>
          <cell r="W639" t="str">
            <v>Saqib Mehmood</v>
          </cell>
          <cell r="X639" t="str">
            <v>Sardar Tanveer Ilyas</v>
          </cell>
        </row>
        <row r="640">
          <cell r="K640">
            <v>1008</v>
          </cell>
          <cell r="M640" t="str">
            <v>Intiqal</v>
          </cell>
          <cell r="N640" t="str">
            <v>Not Available</v>
          </cell>
          <cell r="O640">
            <v>1</v>
          </cell>
          <cell r="P640">
            <v>14</v>
          </cell>
          <cell r="Q640">
            <v>8</v>
          </cell>
          <cell r="R640">
            <v>62250</v>
          </cell>
          <cell r="S640">
            <v>0</v>
          </cell>
          <cell r="T640">
            <v>-1</v>
          </cell>
          <cell r="U640">
            <v>-14</v>
          </cell>
          <cell r="V640">
            <v>0.47</v>
          </cell>
          <cell r="X640" t="str">
            <v>Sardar Tanveer Ilyas</v>
          </cell>
        </row>
        <row r="641">
          <cell r="K641" t="str">
            <v>In Possession but not transferred on our name.</v>
          </cell>
          <cell r="M641" t="str">
            <v>Intiqal</v>
          </cell>
          <cell r="N641" t="str">
            <v>Not Available</v>
          </cell>
          <cell r="O641">
            <v>6</v>
          </cell>
          <cell r="P641">
            <v>16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 t="str">
            <v>Shazia Paeveen</v>
          </cell>
          <cell r="X641" t="str">
            <v>Sardar Tanveer Ilyas</v>
          </cell>
        </row>
        <row r="642">
          <cell r="K642">
            <v>1006</v>
          </cell>
          <cell r="M642" t="str">
            <v>Intiqal</v>
          </cell>
          <cell r="N642" t="str">
            <v>Not Available</v>
          </cell>
          <cell r="O642">
            <v>1</v>
          </cell>
          <cell r="P642">
            <v>8</v>
          </cell>
          <cell r="Q642">
            <v>5</v>
          </cell>
          <cell r="R642">
            <v>51300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X642" t="str">
            <v>Sardar Tanveer Ilyas</v>
          </cell>
        </row>
        <row r="643">
          <cell r="K643">
            <v>5254</v>
          </cell>
          <cell r="M643" t="str">
            <v>Not Available</v>
          </cell>
          <cell r="N643" t="str">
            <v>Not Available</v>
          </cell>
          <cell r="O643">
            <v>0</v>
          </cell>
          <cell r="P643">
            <v>8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 t="str">
            <v>Yaqoob Awan</v>
          </cell>
          <cell r="X643" t="str">
            <v>Sardar Tanveer Ilyas</v>
          </cell>
        </row>
        <row r="644">
          <cell r="M644" t="str">
            <v>Not Available</v>
          </cell>
          <cell r="N644" t="str">
            <v>Not Available</v>
          </cell>
          <cell r="O644">
            <v>0</v>
          </cell>
          <cell r="P644">
            <v>6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5</v>
          </cell>
          <cell r="V644">
            <v>0</v>
          </cell>
          <cell r="W644" t="str">
            <v>Nousheen Ahmer</v>
          </cell>
          <cell r="X644" t="str">
            <v>Sardar Tanveer Ilyas</v>
          </cell>
        </row>
        <row r="645">
          <cell r="M645" t="str">
            <v>Not Available</v>
          </cell>
          <cell r="N645" t="str">
            <v>Not Available</v>
          </cell>
          <cell r="O645">
            <v>0</v>
          </cell>
          <cell r="P645">
            <v>5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1</v>
          </cell>
          <cell r="V645">
            <v>0</v>
          </cell>
          <cell r="W645" t="str">
            <v>Nousheen Ahmer</v>
          </cell>
          <cell r="X645" t="str">
            <v>Sardar Tanveer Ilyas</v>
          </cell>
        </row>
        <row r="646">
          <cell r="K646">
            <v>12184</v>
          </cell>
          <cell r="M646" t="str">
            <v>Intiqal</v>
          </cell>
          <cell r="N646" t="str">
            <v>Not Available</v>
          </cell>
          <cell r="O646">
            <v>0</v>
          </cell>
          <cell r="P646">
            <v>6</v>
          </cell>
          <cell r="Q646">
            <v>8</v>
          </cell>
          <cell r="R646">
            <v>0</v>
          </cell>
          <cell r="S646">
            <v>0</v>
          </cell>
          <cell r="T646">
            <v>1</v>
          </cell>
          <cell r="U646">
            <v>0</v>
          </cell>
          <cell r="V646">
            <v>0</v>
          </cell>
          <cell r="W646" t="str">
            <v>Saqib Mehmood</v>
          </cell>
          <cell r="X646" t="str">
            <v>Sardar Tanveer Ilyas</v>
          </cell>
        </row>
        <row r="647">
          <cell r="K647">
            <v>627</v>
          </cell>
          <cell r="M647" t="str">
            <v>Intiqal</v>
          </cell>
          <cell r="N647" t="str">
            <v>Not Available</v>
          </cell>
          <cell r="O647">
            <v>0</v>
          </cell>
          <cell r="P647">
            <v>5</v>
          </cell>
          <cell r="Q647">
            <v>7</v>
          </cell>
          <cell r="R647">
            <v>12456</v>
          </cell>
          <cell r="S647">
            <v>0</v>
          </cell>
          <cell r="T647">
            <v>0</v>
          </cell>
          <cell r="U647">
            <v>1</v>
          </cell>
          <cell r="V647">
            <v>1</v>
          </cell>
          <cell r="X647" t="str">
            <v>Sardar Tanveer Ilyas</v>
          </cell>
        </row>
        <row r="648">
          <cell r="K648" t="str">
            <v>185-isb intiqal</v>
          </cell>
          <cell r="M648" t="str">
            <v>Intiqal</v>
          </cell>
          <cell r="N648" t="str">
            <v>Not Available</v>
          </cell>
          <cell r="O648">
            <v>0</v>
          </cell>
          <cell r="P648">
            <v>14</v>
          </cell>
          <cell r="Q648">
            <v>2</v>
          </cell>
          <cell r="R648">
            <v>25944</v>
          </cell>
          <cell r="S648">
            <v>0</v>
          </cell>
          <cell r="T648">
            <v>0</v>
          </cell>
          <cell r="U648">
            <v>-9</v>
          </cell>
          <cell r="V648">
            <v>5</v>
          </cell>
          <cell r="W648" t="str">
            <v>Noor Elahi</v>
          </cell>
          <cell r="X648" t="str">
            <v>Sardar Tanveer Ilyas</v>
          </cell>
        </row>
        <row r="649">
          <cell r="K649">
            <v>1045</v>
          </cell>
          <cell r="M649" t="str">
            <v>Intiqal</v>
          </cell>
          <cell r="N649" t="str">
            <v>Not Available</v>
          </cell>
          <cell r="O649">
            <v>0</v>
          </cell>
          <cell r="P649">
            <v>7</v>
          </cell>
          <cell r="Q649">
            <v>6</v>
          </cell>
          <cell r="R649">
            <v>0</v>
          </cell>
          <cell r="S649">
            <v>0</v>
          </cell>
          <cell r="T649">
            <v>0</v>
          </cell>
          <cell r="U649">
            <v>10</v>
          </cell>
          <cell r="V649">
            <v>-3</v>
          </cell>
          <cell r="X649" t="str">
            <v>Sardar Tanveer Ilyas</v>
          </cell>
        </row>
        <row r="650">
          <cell r="K650">
            <v>1044</v>
          </cell>
          <cell r="M650" t="str">
            <v>Intiqal</v>
          </cell>
          <cell r="N650" t="str">
            <v>Not Available</v>
          </cell>
          <cell r="O650">
            <v>0</v>
          </cell>
          <cell r="P650">
            <v>9</v>
          </cell>
          <cell r="Q650">
            <v>6</v>
          </cell>
          <cell r="R650">
            <v>0</v>
          </cell>
          <cell r="S650">
            <v>0</v>
          </cell>
          <cell r="T650">
            <v>0</v>
          </cell>
          <cell r="U650">
            <v>-2</v>
          </cell>
          <cell r="V650">
            <v>0</v>
          </cell>
          <cell r="X650" t="str">
            <v>Sardar Tanveer Ilyas</v>
          </cell>
        </row>
        <row r="651">
          <cell r="K651">
            <v>1179</v>
          </cell>
          <cell r="M651" t="str">
            <v>Intiqal</v>
          </cell>
          <cell r="N651" t="str">
            <v>Not Available</v>
          </cell>
          <cell r="O651">
            <v>0</v>
          </cell>
          <cell r="P651">
            <v>6</v>
          </cell>
          <cell r="Q651">
            <v>0</v>
          </cell>
          <cell r="R651">
            <v>15550</v>
          </cell>
          <cell r="S651">
            <v>0</v>
          </cell>
          <cell r="T651">
            <v>0</v>
          </cell>
          <cell r="U651">
            <v>5</v>
          </cell>
          <cell r="V651">
            <v>0</v>
          </cell>
          <cell r="X651" t="str">
            <v>Sardar Tanveer Ilyas</v>
          </cell>
        </row>
        <row r="652">
          <cell r="K652">
            <v>1191</v>
          </cell>
          <cell r="M652" t="str">
            <v>Intiqal</v>
          </cell>
          <cell r="N652" t="str">
            <v>Not Available</v>
          </cell>
          <cell r="O652">
            <v>0</v>
          </cell>
          <cell r="P652">
            <v>5</v>
          </cell>
          <cell r="Q652">
            <v>0</v>
          </cell>
          <cell r="R652">
            <v>15125</v>
          </cell>
          <cell r="S652">
            <v>0</v>
          </cell>
          <cell r="T652">
            <v>0</v>
          </cell>
          <cell r="U652">
            <v>1</v>
          </cell>
          <cell r="V652">
            <v>0</v>
          </cell>
          <cell r="X652" t="str">
            <v>Sardar Tanveer Ilyas</v>
          </cell>
        </row>
        <row r="653">
          <cell r="K653">
            <v>1069</v>
          </cell>
          <cell r="M653" t="str">
            <v>Intiqal</v>
          </cell>
          <cell r="N653" t="str">
            <v>Not Available</v>
          </cell>
          <cell r="O653">
            <v>0</v>
          </cell>
          <cell r="P653">
            <v>8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X653" t="str">
            <v>Sardar Tanveer Ilyas</v>
          </cell>
        </row>
        <row r="654">
          <cell r="K654">
            <v>146</v>
          </cell>
          <cell r="M654" t="str">
            <v>Intiqal</v>
          </cell>
          <cell r="N654" t="str">
            <v>Not Available</v>
          </cell>
          <cell r="O654">
            <v>4</v>
          </cell>
          <cell r="P654">
            <v>1</v>
          </cell>
          <cell r="Q654">
            <v>0</v>
          </cell>
          <cell r="R654">
            <v>307425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X654" t="str">
            <v>Sardar Tanveer Ilyas</v>
          </cell>
        </row>
        <row r="655">
          <cell r="K655">
            <v>1143</v>
          </cell>
          <cell r="M655" t="str">
            <v>Intiqal</v>
          </cell>
          <cell r="N655" t="str">
            <v>Not Available</v>
          </cell>
          <cell r="O655">
            <v>3</v>
          </cell>
          <cell r="P655">
            <v>16</v>
          </cell>
          <cell r="Q655">
            <v>0</v>
          </cell>
          <cell r="R655">
            <v>153300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X655" t="str">
            <v>Sardar Tanveer Ilyas</v>
          </cell>
        </row>
        <row r="656">
          <cell r="K656">
            <v>1151</v>
          </cell>
          <cell r="M656" t="str">
            <v>Intiqal</v>
          </cell>
          <cell r="N656" t="str">
            <v>Not Available</v>
          </cell>
          <cell r="O656">
            <v>0</v>
          </cell>
          <cell r="P656">
            <v>13</v>
          </cell>
          <cell r="Q656">
            <v>0</v>
          </cell>
          <cell r="R656">
            <v>66525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X656" t="str">
            <v>Sardar Tanveer Ilyas</v>
          </cell>
        </row>
        <row r="657">
          <cell r="K657">
            <v>1156</v>
          </cell>
          <cell r="M657" t="str">
            <v>Intiqal</v>
          </cell>
          <cell r="N657" t="str">
            <v>Not Available</v>
          </cell>
          <cell r="O657">
            <v>0</v>
          </cell>
          <cell r="P657">
            <v>2</v>
          </cell>
          <cell r="Q657">
            <v>3</v>
          </cell>
          <cell r="R657">
            <v>5000</v>
          </cell>
          <cell r="S657">
            <v>0</v>
          </cell>
          <cell r="T657">
            <v>0</v>
          </cell>
          <cell r="U657">
            <v>17</v>
          </cell>
          <cell r="V657">
            <v>-2</v>
          </cell>
          <cell r="X657" t="str">
            <v>Sardar Tanveer Ilyas</v>
          </cell>
        </row>
        <row r="658">
          <cell r="K658">
            <v>1147</v>
          </cell>
          <cell r="M658" t="str">
            <v>Intiqal</v>
          </cell>
          <cell r="N658" t="str">
            <v>Not Available</v>
          </cell>
          <cell r="O658">
            <v>0</v>
          </cell>
          <cell r="P658">
            <v>1</v>
          </cell>
          <cell r="Q658">
            <v>3.6</v>
          </cell>
          <cell r="R658">
            <v>4575</v>
          </cell>
          <cell r="S658">
            <v>0</v>
          </cell>
          <cell r="T658">
            <v>0</v>
          </cell>
          <cell r="U658">
            <v>1</v>
          </cell>
          <cell r="V658">
            <v>-0.6</v>
          </cell>
          <cell r="X658" t="str">
            <v>Sardar Tanveer Ilyas</v>
          </cell>
        </row>
        <row r="659">
          <cell r="K659">
            <v>1146</v>
          </cell>
          <cell r="M659" t="str">
            <v>Intiqal</v>
          </cell>
          <cell r="N659" t="str">
            <v>Not Available</v>
          </cell>
          <cell r="O659">
            <v>0</v>
          </cell>
          <cell r="P659">
            <v>11</v>
          </cell>
          <cell r="Q659">
            <v>6.22</v>
          </cell>
          <cell r="R659">
            <v>22150</v>
          </cell>
          <cell r="S659">
            <v>0</v>
          </cell>
          <cell r="T659">
            <v>0</v>
          </cell>
          <cell r="U659">
            <v>-10</v>
          </cell>
          <cell r="V659">
            <v>-2.62</v>
          </cell>
          <cell r="X659" t="str">
            <v>Sardar Tanveer Ilyas</v>
          </cell>
        </row>
        <row r="660">
          <cell r="K660">
            <v>1144</v>
          </cell>
          <cell r="M660" t="str">
            <v>Intiqal</v>
          </cell>
          <cell r="N660" t="str">
            <v>Not Available</v>
          </cell>
          <cell r="O660">
            <v>0</v>
          </cell>
          <cell r="P660">
            <v>3</v>
          </cell>
          <cell r="Q660">
            <v>6.18</v>
          </cell>
          <cell r="R660">
            <v>20575</v>
          </cell>
          <cell r="S660">
            <v>0</v>
          </cell>
          <cell r="T660">
            <v>0</v>
          </cell>
          <cell r="U660">
            <v>8</v>
          </cell>
          <cell r="V660">
            <v>0.04</v>
          </cell>
          <cell r="X660" t="str">
            <v>Sardar Tanveer Ilyas</v>
          </cell>
        </row>
        <row r="661">
          <cell r="K661">
            <v>1392</v>
          </cell>
          <cell r="M661" t="str">
            <v>Intiqal</v>
          </cell>
          <cell r="N661" t="str">
            <v>Not Available</v>
          </cell>
          <cell r="O661">
            <v>1</v>
          </cell>
          <cell r="P661">
            <v>9</v>
          </cell>
          <cell r="Q661">
            <v>4.5</v>
          </cell>
          <cell r="R661">
            <v>0</v>
          </cell>
          <cell r="S661">
            <v>0</v>
          </cell>
          <cell r="T661">
            <v>0</v>
          </cell>
          <cell r="U661">
            <v>-1</v>
          </cell>
          <cell r="V661">
            <v>-3.31</v>
          </cell>
          <cell r="W661" t="str">
            <v>M.Iqbal</v>
          </cell>
          <cell r="X661" t="str">
            <v>Sardar Tanveer Ilyas</v>
          </cell>
        </row>
        <row r="662">
          <cell r="K662" t="str">
            <v>Excess Payment</v>
          </cell>
          <cell r="M662" t="str">
            <v>Not Available</v>
          </cell>
          <cell r="N662" t="str">
            <v>Not Available</v>
          </cell>
          <cell r="O662">
            <v>0</v>
          </cell>
          <cell r="P662">
            <v>8</v>
          </cell>
          <cell r="Q662">
            <v>8</v>
          </cell>
          <cell r="R662">
            <v>0</v>
          </cell>
          <cell r="S662">
            <v>0</v>
          </cell>
          <cell r="T662">
            <v>9</v>
          </cell>
          <cell r="U662">
            <v>-4</v>
          </cell>
          <cell r="V662">
            <v>-8</v>
          </cell>
        </row>
        <row r="663">
          <cell r="K663">
            <v>215</v>
          </cell>
          <cell r="M663" t="str">
            <v>Intiqal</v>
          </cell>
          <cell r="N663" t="str">
            <v>Not Available</v>
          </cell>
          <cell r="O663">
            <v>8</v>
          </cell>
          <cell r="P663">
            <v>15</v>
          </cell>
          <cell r="Q663">
            <v>1</v>
          </cell>
          <cell r="R663">
            <v>0</v>
          </cell>
          <cell r="S663">
            <v>0</v>
          </cell>
          <cell r="T663">
            <v>-8</v>
          </cell>
          <cell r="U663">
            <v>-7</v>
          </cell>
          <cell r="V663">
            <v>7</v>
          </cell>
          <cell r="X663" t="str">
            <v>Sardar Tanveer Ilyas</v>
          </cell>
        </row>
        <row r="664">
          <cell r="K664">
            <v>3081</v>
          </cell>
          <cell r="L664">
            <v>15384</v>
          </cell>
          <cell r="M664" t="str">
            <v>Intiqal</v>
          </cell>
          <cell r="N664" t="str">
            <v>Registry</v>
          </cell>
          <cell r="O664">
            <v>0</v>
          </cell>
          <cell r="P664">
            <v>6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 t="str">
            <v>Meher Khan</v>
          </cell>
          <cell r="X664" t="str">
            <v>Sardar Tanveer Ilyas</v>
          </cell>
          <cell r="Y664">
            <v>43264</v>
          </cell>
        </row>
        <row r="665">
          <cell r="K665">
            <v>190</v>
          </cell>
          <cell r="M665" t="str">
            <v>Intiqal</v>
          </cell>
          <cell r="N665" t="str">
            <v>Not Available</v>
          </cell>
          <cell r="O665">
            <v>1</v>
          </cell>
          <cell r="P665">
            <v>0</v>
          </cell>
          <cell r="Q665">
            <v>0</v>
          </cell>
          <cell r="R665">
            <v>59500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X665" t="str">
            <v>Sardar Tanveer Ilyas</v>
          </cell>
        </row>
        <row r="666">
          <cell r="K666">
            <v>201</v>
          </cell>
          <cell r="M666" t="str">
            <v>Intiqal</v>
          </cell>
          <cell r="N666" t="str">
            <v>Registry</v>
          </cell>
          <cell r="O666">
            <v>0</v>
          </cell>
          <cell r="P666">
            <v>12</v>
          </cell>
          <cell r="Q666">
            <v>0</v>
          </cell>
          <cell r="R666">
            <v>0</v>
          </cell>
          <cell r="S666">
            <v>0</v>
          </cell>
          <cell r="T666">
            <v>3</v>
          </cell>
          <cell r="U666">
            <v>-11</v>
          </cell>
          <cell r="V666">
            <v>1</v>
          </cell>
          <cell r="X666" t="str">
            <v>Sardar Tanveer Ilyas</v>
          </cell>
          <cell r="Y666">
            <v>44566</v>
          </cell>
        </row>
        <row r="667">
          <cell r="K667">
            <v>202</v>
          </cell>
          <cell r="M667" t="str">
            <v>Intiqal</v>
          </cell>
          <cell r="N667" t="str">
            <v>Not Available</v>
          </cell>
          <cell r="O667">
            <v>0</v>
          </cell>
          <cell r="P667">
            <v>17</v>
          </cell>
          <cell r="Q667">
            <v>5</v>
          </cell>
          <cell r="R667">
            <v>300000</v>
          </cell>
          <cell r="S667">
            <v>0</v>
          </cell>
          <cell r="T667">
            <v>0</v>
          </cell>
          <cell r="U667">
            <v>-5</v>
          </cell>
          <cell r="V667">
            <v>-5</v>
          </cell>
          <cell r="X667" t="str">
            <v>Sardar Tanveer Ilyas</v>
          </cell>
        </row>
        <row r="668">
          <cell r="K668">
            <v>199</v>
          </cell>
          <cell r="M668" t="str">
            <v>Intiqal</v>
          </cell>
          <cell r="N668" t="str">
            <v>Not Available</v>
          </cell>
          <cell r="O668">
            <v>0</v>
          </cell>
          <cell r="P668">
            <v>7</v>
          </cell>
          <cell r="Q668">
            <v>5</v>
          </cell>
          <cell r="R668">
            <v>26711</v>
          </cell>
          <cell r="S668">
            <v>0</v>
          </cell>
          <cell r="T668">
            <v>0</v>
          </cell>
          <cell r="U668">
            <v>10</v>
          </cell>
          <cell r="V668">
            <v>0</v>
          </cell>
          <cell r="X668" t="str">
            <v>Sardar Tanveer Ilyas</v>
          </cell>
        </row>
        <row r="669">
          <cell r="K669">
            <v>196</v>
          </cell>
          <cell r="M669" t="str">
            <v>Intiqal</v>
          </cell>
          <cell r="N669" t="str">
            <v>Not Available</v>
          </cell>
          <cell r="O669">
            <v>1</v>
          </cell>
          <cell r="P669">
            <v>4</v>
          </cell>
          <cell r="Q669">
            <v>0</v>
          </cell>
          <cell r="R669">
            <v>83200</v>
          </cell>
          <cell r="S669">
            <v>0</v>
          </cell>
          <cell r="T669">
            <v>-1</v>
          </cell>
          <cell r="U669">
            <v>3</v>
          </cell>
          <cell r="V669">
            <v>5</v>
          </cell>
          <cell r="X669" t="str">
            <v>Sardar Tanveer Ilyas</v>
          </cell>
        </row>
        <row r="670">
          <cell r="K670">
            <v>179</v>
          </cell>
          <cell r="M670" t="str">
            <v>Intiqal</v>
          </cell>
          <cell r="N670" t="str">
            <v>Not Available</v>
          </cell>
          <cell r="O670">
            <v>2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10</v>
          </cell>
          <cell r="U670">
            <v>4</v>
          </cell>
          <cell r="V670">
            <v>5</v>
          </cell>
          <cell r="X670" t="str">
            <v>Sardar Tanveer Ilyas</v>
          </cell>
        </row>
        <row r="671">
          <cell r="K671">
            <v>182</v>
          </cell>
          <cell r="M671" t="str">
            <v>Intiqal</v>
          </cell>
          <cell r="N671" t="str">
            <v>Not Available</v>
          </cell>
          <cell r="O671">
            <v>10</v>
          </cell>
          <cell r="P671">
            <v>4</v>
          </cell>
          <cell r="Q671">
            <v>5</v>
          </cell>
          <cell r="R671">
            <v>768436</v>
          </cell>
          <cell r="S671">
            <v>0</v>
          </cell>
          <cell r="T671">
            <v>-8</v>
          </cell>
          <cell r="U671">
            <v>-4</v>
          </cell>
          <cell r="V671">
            <v>-5</v>
          </cell>
          <cell r="X671" t="str">
            <v>Sardar Tanveer Ilyas</v>
          </cell>
        </row>
        <row r="672">
          <cell r="K672">
            <v>204</v>
          </cell>
          <cell r="M672" t="str">
            <v>Intiqal</v>
          </cell>
          <cell r="N672" t="str">
            <v>Not Available</v>
          </cell>
          <cell r="O672">
            <v>0</v>
          </cell>
          <cell r="P672">
            <v>12</v>
          </cell>
          <cell r="Q672">
            <v>6</v>
          </cell>
          <cell r="R672">
            <v>0</v>
          </cell>
          <cell r="S672">
            <v>0</v>
          </cell>
          <cell r="T672">
            <v>2</v>
          </cell>
          <cell r="U672">
            <v>5</v>
          </cell>
          <cell r="V672">
            <v>-1</v>
          </cell>
          <cell r="X672" t="str">
            <v>Sardar Tanveer Ilyas</v>
          </cell>
        </row>
        <row r="673">
          <cell r="K673">
            <v>181</v>
          </cell>
          <cell r="M673" t="str">
            <v>Intiqal</v>
          </cell>
          <cell r="N673" t="str">
            <v>Not Available</v>
          </cell>
          <cell r="O673">
            <v>2</v>
          </cell>
          <cell r="P673">
            <v>4</v>
          </cell>
          <cell r="Q673">
            <v>8</v>
          </cell>
          <cell r="R673">
            <v>134078</v>
          </cell>
          <cell r="S673">
            <v>0</v>
          </cell>
          <cell r="T673">
            <v>-2</v>
          </cell>
          <cell r="U673">
            <v>8</v>
          </cell>
          <cell r="V673">
            <v>-2</v>
          </cell>
          <cell r="X673" t="str">
            <v>Sardar Tanveer Ilyas</v>
          </cell>
        </row>
        <row r="674">
          <cell r="K674">
            <v>1202</v>
          </cell>
          <cell r="M674" t="str">
            <v>Intiqal</v>
          </cell>
          <cell r="N674" t="str">
            <v>Not Available</v>
          </cell>
          <cell r="O674">
            <v>0</v>
          </cell>
          <cell r="P674">
            <v>3</v>
          </cell>
          <cell r="Q674">
            <v>2</v>
          </cell>
          <cell r="R674">
            <v>8511</v>
          </cell>
          <cell r="S674">
            <v>0</v>
          </cell>
          <cell r="T674">
            <v>2</v>
          </cell>
          <cell r="U674">
            <v>13</v>
          </cell>
          <cell r="V674">
            <v>2.4</v>
          </cell>
          <cell r="X674" t="str">
            <v>Sardar Tanveer Ilyas</v>
          </cell>
        </row>
        <row r="675">
          <cell r="K675">
            <v>1203</v>
          </cell>
          <cell r="M675" t="str">
            <v>Intiqal</v>
          </cell>
          <cell r="N675" t="str">
            <v>Not Available</v>
          </cell>
          <cell r="O675">
            <v>2</v>
          </cell>
          <cell r="P675">
            <v>13</v>
          </cell>
          <cell r="Q675">
            <v>2.4</v>
          </cell>
          <cell r="R675">
            <v>95525</v>
          </cell>
          <cell r="S675">
            <v>0</v>
          </cell>
          <cell r="T675">
            <v>-2</v>
          </cell>
          <cell r="U675">
            <v>-10</v>
          </cell>
          <cell r="V675">
            <v>-0.4</v>
          </cell>
          <cell r="X675" t="str">
            <v>Sardar Tanveer Ilyas</v>
          </cell>
        </row>
        <row r="676">
          <cell r="K676">
            <v>188</v>
          </cell>
          <cell r="M676" t="str">
            <v>Intiqal</v>
          </cell>
          <cell r="N676" t="str">
            <v>Not Available</v>
          </cell>
          <cell r="O676">
            <v>0</v>
          </cell>
          <cell r="P676">
            <v>16</v>
          </cell>
          <cell r="Q676">
            <v>1</v>
          </cell>
          <cell r="R676">
            <v>63847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X676" t="str">
            <v>Sardar Tanveer Ilyas</v>
          </cell>
        </row>
        <row r="677">
          <cell r="K677">
            <v>187</v>
          </cell>
          <cell r="M677" t="str">
            <v>Intiqal</v>
          </cell>
          <cell r="N677" t="str">
            <v>Not Available</v>
          </cell>
          <cell r="O677">
            <v>0</v>
          </cell>
          <cell r="P677">
            <v>10</v>
          </cell>
          <cell r="Q677">
            <v>4</v>
          </cell>
          <cell r="R677">
            <v>33939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X677" t="str">
            <v>Sardar Tanveer Ilyas</v>
          </cell>
        </row>
        <row r="678">
          <cell r="K678" t="str">
            <v>its just a House Structure payment. land already in possession</v>
          </cell>
          <cell r="M678" t="str">
            <v>Intiqal</v>
          </cell>
          <cell r="N678" t="str">
            <v>Not Available</v>
          </cell>
          <cell r="O678">
            <v>0</v>
          </cell>
          <cell r="P678">
            <v>5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 t="str">
            <v>Jamshaid Khan</v>
          </cell>
          <cell r="X678" t="str">
            <v>Sardar Tanveer Ilyas</v>
          </cell>
        </row>
        <row r="679">
          <cell r="K679">
            <v>3083</v>
          </cell>
          <cell r="L679">
            <v>16123</v>
          </cell>
          <cell r="M679" t="str">
            <v>Intiqal</v>
          </cell>
          <cell r="N679" t="str">
            <v>Registry</v>
          </cell>
          <cell r="O679">
            <v>0</v>
          </cell>
          <cell r="P679">
            <v>7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 t="str">
            <v>Rukia Beghum</v>
          </cell>
          <cell r="X679" t="str">
            <v>Sardar Tanveer Ilyas</v>
          </cell>
          <cell r="Y679">
            <v>43284</v>
          </cell>
        </row>
        <row r="680">
          <cell r="K680">
            <v>1218</v>
          </cell>
          <cell r="M680" t="str">
            <v>Intiqal</v>
          </cell>
          <cell r="N680" t="str">
            <v>Not Available</v>
          </cell>
          <cell r="O680">
            <v>14</v>
          </cell>
          <cell r="P680">
            <v>2</v>
          </cell>
          <cell r="Q680">
            <v>0</v>
          </cell>
          <cell r="R680">
            <v>2520850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X680" t="str">
            <v>Sardar Tanveer Ilyas</v>
          </cell>
        </row>
        <row r="681">
          <cell r="K681">
            <v>1282</v>
          </cell>
          <cell r="M681" t="str">
            <v>Intiqal</v>
          </cell>
          <cell r="N681" t="str">
            <v>Not Available</v>
          </cell>
          <cell r="O681">
            <v>1</v>
          </cell>
          <cell r="P681">
            <v>0</v>
          </cell>
          <cell r="Q681">
            <v>1</v>
          </cell>
          <cell r="R681">
            <v>129547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X681" t="str">
            <v>Sardar Tanveer Ilyas</v>
          </cell>
        </row>
        <row r="682">
          <cell r="K682">
            <v>1543</v>
          </cell>
          <cell r="M682" t="str">
            <v>Intiqal</v>
          </cell>
          <cell r="N682" t="str">
            <v>Not Available</v>
          </cell>
          <cell r="O682">
            <v>3</v>
          </cell>
          <cell r="P682">
            <v>10</v>
          </cell>
          <cell r="Q682">
            <v>0</v>
          </cell>
          <cell r="R682">
            <v>450750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X682" t="str">
            <v>Sardar Tanveer Ilyas</v>
          </cell>
        </row>
        <row r="683">
          <cell r="K683">
            <v>1284</v>
          </cell>
          <cell r="M683" t="str">
            <v>Intiqal</v>
          </cell>
          <cell r="N683" t="str">
            <v>Not Available</v>
          </cell>
          <cell r="O683">
            <v>1</v>
          </cell>
          <cell r="P683">
            <v>0</v>
          </cell>
          <cell r="Q683">
            <v>5</v>
          </cell>
          <cell r="R683">
            <v>129547</v>
          </cell>
          <cell r="S683">
            <v>0</v>
          </cell>
          <cell r="T683">
            <v>2</v>
          </cell>
          <cell r="U683">
            <v>14</v>
          </cell>
          <cell r="V683">
            <v>-2</v>
          </cell>
          <cell r="X683" t="str">
            <v>Sardar Tanveer Ilyas</v>
          </cell>
        </row>
        <row r="684">
          <cell r="K684">
            <v>1287</v>
          </cell>
          <cell r="M684" t="str">
            <v>Intiqal</v>
          </cell>
          <cell r="N684" t="str">
            <v>Not Available</v>
          </cell>
          <cell r="O684">
            <v>2</v>
          </cell>
          <cell r="P684">
            <v>13</v>
          </cell>
          <cell r="Q684">
            <v>7</v>
          </cell>
          <cell r="R684">
            <v>107761</v>
          </cell>
          <cell r="S684">
            <v>0</v>
          </cell>
          <cell r="T684">
            <v>-1</v>
          </cell>
          <cell r="U684">
            <v>-13</v>
          </cell>
          <cell r="V684">
            <v>-2</v>
          </cell>
          <cell r="X684" t="str">
            <v>Sardar Tanveer Ilyas</v>
          </cell>
        </row>
        <row r="685">
          <cell r="K685">
            <v>1286</v>
          </cell>
          <cell r="M685" t="str">
            <v>Intiqal</v>
          </cell>
          <cell r="N685" t="str">
            <v>Not Available</v>
          </cell>
          <cell r="O685">
            <v>0</v>
          </cell>
          <cell r="P685">
            <v>5</v>
          </cell>
          <cell r="Q685">
            <v>0</v>
          </cell>
          <cell r="R685">
            <v>12125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X685" t="str">
            <v>Sardar Tanveer Ilyas</v>
          </cell>
        </row>
        <row r="686">
          <cell r="K686">
            <v>1320</v>
          </cell>
          <cell r="M686" t="str">
            <v>Intiqal</v>
          </cell>
          <cell r="N686" t="str">
            <v>Not Available</v>
          </cell>
          <cell r="O686">
            <v>3</v>
          </cell>
          <cell r="P686">
            <v>0</v>
          </cell>
          <cell r="Q686">
            <v>0</v>
          </cell>
          <cell r="R686">
            <v>602500</v>
          </cell>
          <cell r="S686">
            <v>0</v>
          </cell>
          <cell r="T686">
            <v>2</v>
          </cell>
          <cell r="U686">
            <v>0</v>
          </cell>
          <cell r="V686">
            <v>0</v>
          </cell>
          <cell r="X686" t="str">
            <v>Sardar Tanveer Ilyas</v>
          </cell>
        </row>
        <row r="687">
          <cell r="K687">
            <v>1128</v>
          </cell>
          <cell r="M687" t="str">
            <v>Intiqal</v>
          </cell>
          <cell r="N687" t="str">
            <v>Not Available</v>
          </cell>
          <cell r="O687">
            <v>2</v>
          </cell>
          <cell r="P687">
            <v>0</v>
          </cell>
          <cell r="Q687">
            <v>0</v>
          </cell>
          <cell r="R687">
            <v>402000</v>
          </cell>
          <cell r="S687">
            <v>0</v>
          </cell>
          <cell r="T687">
            <v>1</v>
          </cell>
          <cell r="U687">
            <v>0</v>
          </cell>
          <cell r="V687">
            <v>0</v>
          </cell>
          <cell r="X687" t="str">
            <v>Sardar Tanveer Ilyas</v>
          </cell>
        </row>
        <row r="688">
          <cell r="K688">
            <v>1281</v>
          </cell>
          <cell r="M688" t="str">
            <v>Intiqal</v>
          </cell>
          <cell r="N688" t="str">
            <v>Not Available</v>
          </cell>
          <cell r="O688">
            <v>0</v>
          </cell>
          <cell r="P688">
            <v>5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6</v>
          </cell>
          <cell r="V688">
            <v>0</v>
          </cell>
          <cell r="X688" t="str">
            <v>Sardar Tanveer Ilyas</v>
          </cell>
        </row>
        <row r="689">
          <cell r="K689">
            <v>1327</v>
          </cell>
          <cell r="M689" t="str">
            <v>Intiqal</v>
          </cell>
          <cell r="N689" t="str">
            <v>Not Available</v>
          </cell>
          <cell r="O689">
            <v>0</v>
          </cell>
          <cell r="P689">
            <v>6</v>
          </cell>
          <cell r="Q689">
            <v>0</v>
          </cell>
          <cell r="R689">
            <v>13050</v>
          </cell>
          <cell r="S689">
            <v>0</v>
          </cell>
          <cell r="T689">
            <v>0</v>
          </cell>
          <cell r="U689">
            <v>-1</v>
          </cell>
          <cell r="V689">
            <v>0</v>
          </cell>
          <cell r="X689" t="str">
            <v>Sardar Tanveer Ilyas</v>
          </cell>
        </row>
        <row r="690">
          <cell r="K690">
            <v>216</v>
          </cell>
          <cell r="M690" t="str">
            <v>Intiqal</v>
          </cell>
          <cell r="N690" t="str">
            <v>Not Available</v>
          </cell>
          <cell r="O690">
            <v>12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X690" t="str">
            <v>Sardar Tanveer Ilyas</v>
          </cell>
        </row>
        <row r="691">
          <cell r="K691">
            <v>1348</v>
          </cell>
          <cell r="M691" t="str">
            <v>Intiqal</v>
          </cell>
          <cell r="N691" t="str">
            <v>Not Available</v>
          </cell>
          <cell r="O691">
            <v>0</v>
          </cell>
          <cell r="P691">
            <v>10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X691" t="str">
            <v>Sardar Tanveer Ilyas</v>
          </cell>
        </row>
        <row r="692">
          <cell r="K692">
            <v>1354</v>
          </cell>
          <cell r="M692" t="str">
            <v>Intiqal</v>
          </cell>
          <cell r="N692" t="str">
            <v>Not Available</v>
          </cell>
          <cell r="O692">
            <v>0</v>
          </cell>
          <cell r="P692">
            <v>5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X692" t="str">
            <v>Sardar Tanveer Ilyas</v>
          </cell>
        </row>
        <row r="693">
          <cell r="K693" t="str">
            <v>Graveyard land</v>
          </cell>
          <cell r="M693" t="str">
            <v>Intiqal</v>
          </cell>
          <cell r="N693" t="str">
            <v>Not Available</v>
          </cell>
          <cell r="O693">
            <v>1</v>
          </cell>
          <cell r="P693">
            <v>9</v>
          </cell>
          <cell r="Q693">
            <v>0</v>
          </cell>
          <cell r="R693">
            <v>0</v>
          </cell>
          <cell r="S693">
            <v>0</v>
          </cell>
          <cell r="T693">
            <v>1</v>
          </cell>
          <cell r="U693">
            <v>9</v>
          </cell>
          <cell r="V693">
            <v>0</v>
          </cell>
        </row>
        <row r="694">
          <cell r="K694">
            <v>217</v>
          </cell>
          <cell r="M694" t="str">
            <v>Intiqal</v>
          </cell>
          <cell r="N694" t="str">
            <v>Not Available</v>
          </cell>
          <cell r="O694">
            <v>1</v>
          </cell>
          <cell r="P694">
            <v>9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X694" t="str">
            <v>Sardar Tanveer Ilyas</v>
          </cell>
        </row>
        <row r="695">
          <cell r="K695">
            <v>1361</v>
          </cell>
          <cell r="M695" t="str">
            <v>Intiqal</v>
          </cell>
          <cell r="N695" t="str">
            <v>Not Available</v>
          </cell>
          <cell r="O695">
            <v>2</v>
          </cell>
          <cell r="P695">
            <v>19</v>
          </cell>
          <cell r="Q695">
            <v>4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X695" t="str">
            <v>Sardar Tanveer Ilyas</v>
          </cell>
        </row>
        <row r="696">
          <cell r="K696">
            <v>1377</v>
          </cell>
          <cell r="M696" t="str">
            <v>Intiqal</v>
          </cell>
          <cell r="N696" t="str">
            <v>Not Available</v>
          </cell>
          <cell r="O696">
            <v>2</v>
          </cell>
          <cell r="P696">
            <v>0</v>
          </cell>
          <cell r="Q696">
            <v>0</v>
          </cell>
          <cell r="R696">
            <v>0</v>
          </cell>
          <cell r="S696">
            <v>50000</v>
          </cell>
          <cell r="T696">
            <v>0</v>
          </cell>
          <cell r="U696">
            <v>0</v>
          </cell>
          <cell r="V696">
            <v>0</v>
          </cell>
          <cell r="X696" t="str">
            <v>Sardar Tanveer Ilyas</v>
          </cell>
        </row>
        <row r="697">
          <cell r="K697">
            <v>1389</v>
          </cell>
          <cell r="M697" t="str">
            <v>Intiqal</v>
          </cell>
          <cell r="N697" t="str">
            <v>Not Available</v>
          </cell>
          <cell r="O697">
            <v>0</v>
          </cell>
          <cell r="P697">
            <v>7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 t="str">
            <v>Ghulab Jan</v>
          </cell>
          <cell r="X697" t="str">
            <v>Sardar Tanveer Ilyas</v>
          </cell>
        </row>
        <row r="698">
          <cell r="K698">
            <v>221</v>
          </cell>
          <cell r="M698" t="str">
            <v>Intiqal</v>
          </cell>
          <cell r="N698" t="str">
            <v>Not Available</v>
          </cell>
          <cell r="O698">
            <v>30</v>
          </cell>
          <cell r="P698">
            <v>0</v>
          </cell>
          <cell r="Q698">
            <v>0</v>
          </cell>
          <cell r="R698">
            <v>0</v>
          </cell>
          <cell r="S698">
            <v>4500000</v>
          </cell>
          <cell r="T698">
            <v>0</v>
          </cell>
          <cell r="U698">
            <v>0</v>
          </cell>
          <cell r="V698">
            <v>0</v>
          </cell>
          <cell r="X698" t="str">
            <v>Sardar Tanveer Ilyas</v>
          </cell>
        </row>
        <row r="699">
          <cell r="K699">
            <v>1549</v>
          </cell>
          <cell r="M699" t="str">
            <v>Intiqal</v>
          </cell>
          <cell r="N699" t="str">
            <v>Not Available</v>
          </cell>
          <cell r="O699">
            <v>0</v>
          </cell>
          <cell r="P699">
            <v>5</v>
          </cell>
          <cell r="Q699">
            <v>0</v>
          </cell>
          <cell r="R699">
            <v>39625</v>
          </cell>
          <cell r="S699">
            <v>0</v>
          </cell>
          <cell r="T699">
            <v>0</v>
          </cell>
          <cell r="U699">
            <v>5</v>
          </cell>
          <cell r="V699">
            <v>0</v>
          </cell>
          <cell r="X699" t="str">
            <v>Sardar Tanveer Ilyas</v>
          </cell>
        </row>
        <row r="700">
          <cell r="K700">
            <v>1437</v>
          </cell>
          <cell r="M700" t="str">
            <v>Intiqal</v>
          </cell>
          <cell r="N700" t="str">
            <v>Not Available</v>
          </cell>
          <cell r="O700">
            <v>0</v>
          </cell>
          <cell r="P700">
            <v>5</v>
          </cell>
          <cell r="Q700">
            <v>0</v>
          </cell>
          <cell r="R700">
            <v>39625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X700" t="str">
            <v>Sardar Tanveer Ilyas</v>
          </cell>
        </row>
        <row r="701">
          <cell r="K701">
            <v>1414</v>
          </cell>
          <cell r="M701" t="str">
            <v>Intiqal</v>
          </cell>
          <cell r="N701" t="str">
            <v>Not Available</v>
          </cell>
          <cell r="O701">
            <v>2</v>
          </cell>
          <cell r="P701">
            <v>0</v>
          </cell>
          <cell r="Q701">
            <v>0</v>
          </cell>
          <cell r="R701">
            <v>0</v>
          </cell>
          <cell r="S701">
            <v>200000</v>
          </cell>
          <cell r="T701">
            <v>0</v>
          </cell>
          <cell r="U701">
            <v>0</v>
          </cell>
          <cell r="V701">
            <v>0</v>
          </cell>
          <cell r="X701" t="str">
            <v>Sardar Tanveer Ilyas</v>
          </cell>
        </row>
        <row r="702">
          <cell r="K702">
            <v>1454</v>
          </cell>
          <cell r="M702" t="str">
            <v>Intiqal</v>
          </cell>
          <cell r="N702" t="str">
            <v>Not Available</v>
          </cell>
          <cell r="O702">
            <v>0</v>
          </cell>
          <cell r="P702">
            <v>12</v>
          </cell>
          <cell r="Q702">
            <v>0</v>
          </cell>
          <cell r="R702">
            <v>96100</v>
          </cell>
          <cell r="S702">
            <v>0</v>
          </cell>
          <cell r="T702">
            <v>0</v>
          </cell>
          <cell r="U702">
            <v>3</v>
          </cell>
          <cell r="V702">
            <v>0</v>
          </cell>
          <cell r="X702" t="str">
            <v>Sardar Tanveer Ilyas</v>
          </cell>
        </row>
        <row r="703">
          <cell r="K703">
            <v>1544</v>
          </cell>
          <cell r="M703" t="str">
            <v>Intiqal</v>
          </cell>
          <cell r="N703" t="str">
            <v>Not Available</v>
          </cell>
          <cell r="O703">
            <v>0</v>
          </cell>
          <cell r="P703">
            <v>3</v>
          </cell>
          <cell r="Q703">
            <v>0</v>
          </cell>
          <cell r="R703">
            <v>26775</v>
          </cell>
          <cell r="S703">
            <v>0</v>
          </cell>
          <cell r="T703">
            <v>0</v>
          </cell>
          <cell r="U703">
            <v>9</v>
          </cell>
          <cell r="V703">
            <v>0</v>
          </cell>
          <cell r="X703" t="str">
            <v>Sardar Tanveer Ilyas</v>
          </cell>
        </row>
        <row r="704">
          <cell r="K704">
            <v>1384</v>
          </cell>
          <cell r="M704" t="str">
            <v>Intiqal</v>
          </cell>
          <cell r="N704" t="str">
            <v>Not Available</v>
          </cell>
          <cell r="O704">
            <v>0</v>
          </cell>
          <cell r="P704">
            <v>2</v>
          </cell>
          <cell r="Q704">
            <v>4.5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X704" t="str">
            <v>Sardar Tanveer Ilyas</v>
          </cell>
        </row>
        <row r="705">
          <cell r="K705">
            <v>1569</v>
          </cell>
          <cell r="M705" t="str">
            <v>Intiqal</v>
          </cell>
          <cell r="N705" t="str">
            <v>Not Available</v>
          </cell>
          <cell r="O705">
            <v>0</v>
          </cell>
          <cell r="P705">
            <v>15</v>
          </cell>
          <cell r="Q705">
            <v>8.27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 t="str">
            <v>Fazal Akram</v>
          </cell>
          <cell r="X705" t="str">
            <v>Sardar Tanveer Ilyas</v>
          </cell>
        </row>
        <row r="706">
          <cell r="K706">
            <v>246</v>
          </cell>
          <cell r="M706" t="str">
            <v>Intiqal</v>
          </cell>
          <cell r="N706" t="str">
            <v>Not Available</v>
          </cell>
          <cell r="O706">
            <v>5</v>
          </cell>
          <cell r="P706">
            <v>2</v>
          </cell>
          <cell r="Q706">
            <v>0</v>
          </cell>
          <cell r="R706">
            <v>424850</v>
          </cell>
          <cell r="S706">
            <v>292500</v>
          </cell>
          <cell r="T706">
            <v>0</v>
          </cell>
          <cell r="U706">
            <v>0</v>
          </cell>
          <cell r="V706">
            <v>0</v>
          </cell>
          <cell r="X706" t="str">
            <v>Sardar Tanveer Ilyas</v>
          </cell>
        </row>
        <row r="707">
          <cell r="K707">
            <v>248</v>
          </cell>
          <cell r="M707" t="str">
            <v>Intiqal</v>
          </cell>
          <cell r="N707" t="str">
            <v>Not Available</v>
          </cell>
          <cell r="O707">
            <v>0</v>
          </cell>
          <cell r="P707">
            <v>8</v>
          </cell>
          <cell r="Q707">
            <v>5</v>
          </cell>
          <cell r="R707">
            <v>32700</v>
          </cell>
          <cell r="S707">
            <v>30000</v>
          </cell>
          <cell r="T707">
            <v>0</v>
          </cell>
          <cell r="U707">
            <v>0</v>
          </cell>
          <cell r="V707">
            <v>0</v>
          </cell>
          <cell r="X707" t="str">
            <v>Sardar Tanveer Ilyas</v>
          </cell>
        </row>
        <row r="708">
          <cell r="K708">
            <v>1470</v>
          </cell>
          <cell r="M708" t="str">
            <v>Not Available</v>
          </cell>
          <cell r="N708" t="str">
            <v>Not Available</v>
          </cell>
          <cell r="O708">
            <v>0</v>
          </cell>
          <cell r="P708">
            <v>5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</row>
        <row r="709">
          <cell r="K709">
            <v>1473</v>
          </cell>
          <cell r="M709" t="str">
            <v>Intiqal</v>
          </cell>
          <cell r="N709" t="str">
            <v>Not Available</v>
          </cell>
          <cell r="O709">
            <v>0</v>
          </cell>
          <cell r="P709">
            <v>9</v>
          </cell>
          <cell r="Q709">
            <v>5.03</v>
          </cell>
          <cell r="R709">
            <v>0</v>
          </cell>
          <cell r="S709">
            <v>0</v>
          </cell>
          <cell r="T709">
            <v>1</v>
          </cell>
          <cell r="U709">
            <v>-9</v>
          </cell>
          <cell r="V709">
            <v>0</v>
          </cell>
          <cell r="W709" t="str">
            <v>Tariq Altaf</v>
          </cell>
          <cell r="X709" t="str">
            <v>Sardar Tanveer Ilyas</v>
          </cell>
        </row>
        <row r="710">
          <cell r="K710">
            <v>1472</v>
          </cell>
          <cell r="M710" t="str">
            <v>Intiqal</v>
          </cell>
          <cell r="N710" t="str">
            <v>Not Available</v>
          </cell>
          <cell r="O710">
            <v>0</v>
          </cell>
          <cell r="P710">
            <v>10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-1</v>
          </cell>
          <cell r="V710">
            <v>5.03</v>
          </cell>
          <cell r="W710" t="str">
            <v>Liaqat Ali</v>
          </cell>
          <cell r="X710" t="str">
            <v>Sardar Tanveer Ilyas</v>
          </cell>
        </row>
        <row r="711">
          <cell r="K711">
            <v>1398</v>
          </cell>
          <cell r="M711" t="str">
            <v>Intiqal</v>
          </cell>
          <cell r="N711" t="str">
            <v>Not Available</v>
          </cell>
          <cell r="O711">
            <v>0</v>
          </cell>
          <cell r="P711">
            <v>1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9</v>
          </cell>
          <cell r="V711">
            <v>0</v>
          </cell>
          <cell r="W711" t="str">
            <v>Iftikhar Ahmed</v>
          </cell>
          <cell r="X711" t="str">
            <v>Sardar Tanveer Ilyas</v>
          </cell>
        </row>
        <row r="712">
          <cell r="K712">
            <v>1516</v>
          </cell>
          <cell r="M712" t="str">
            <v>Intiqal</v>
          </cell>
          <cell r="N712" t="str">
            <v>Not Available</v>
          </cell>
          <cell r="O712">
            <v>8</v>
          </cell>
          <cell r="P712">
            <v>16</v>
          </cell>
          <cell r="Q712">
            <v>0</v>
          </cell>
          <cell r="R712">
            <v>1311800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X712" t="str">
            <v>Sardar Tanveer Ilyas</v>
          </cell>
        </row>
        <row r="713">
          <cell r="K713">
            <v>1532</v>
          </cell>
          <cell r="M713" t="str">
            <v>Intiqal</v>
          </cell>
          <cell r="N713" t="str">
            <v>Not Available</v>
          </cell>
          <cell r="O713">
            <v>0</v>
          </cell>
          <cell r="P713">
            <v>5</v>
          </cell>
          <cell r="Q713">
            <v>0</v>
          </cell>
          <cell r="R713">
            <v>39625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X713" t="str">
            <v>Sardar Tanveer Ilyas</v>
          </cell>
        </row>
        <row r="714">
          <cell r="K714">
            <v>244</v>
          </cell>
          <cell r="M714" t="str">
            <v>Intiqal</v>
          </cell>
          <cell r="N714" t="str">
            <v>Not Available</v>
          </cell>
          <cell r="O714">
            <v>1</v>
          </cell>
          <cell r="P714">
            <v>2</v>
          </cell>
          <cell r="Q714">
            <v>3</v>
          </cell>
          <cell r="R714">
            <v>90992</v>
          </cell>
          <cell r="S714">
            <v>60000</v>
          </cell>
          <cell r="T714">
            <v>0</v>
          </cell>
          <cell r="U714">
            <v>0</v>
          </cell>
          <cell r="V714">
            <v>0</v>
          </cell>
          <cell r="X714" t="str">
            <v>Sardar Tanveer Ilyas</v>
          </cell>
        </row>
        <row r="715">
          <cell r="M715" t="str">
            <v>Not Available</v>
          </cell>
          <cell r="N715" t="str">
            <v>Not Available</v>
          </cell>
          <cell r="O715">
            <v>12</v>
          </cell>
          <cell r="P715">
            <v>16</v>
          </cell>
          <cell r="Q715">
            <v>5.2</v>
          </cell>
          <cell r="R715">
            <v>184119</v>
          </cell>
          <cell r="S715">
            <v>3640000</v>
          </cell>
          <cell r="T715">
            <v>50</v>
          </cell>
          <cell r="U715">
            <v>-14</v>
          </cell>
          <cell r="V715">
            <v>-1</v>
          </cell>
        </row>
        <row r="716">
          <cell r="K716">
            <v>236</v>
          </cell>
          <cell r="M716" t="str">
            <v>Intiqal</v>
          </cell>
          <cell r="N716" t="str">
            <v>Not Available</v>
          </cell>
          <cell r="O716">
            <v>2</v>
          </cell>
          <cell r="P716">
            <v>9</v>
          </cell>
          <cell r="Q716">
            <v>0</v>
          </cell>
          <cell r="R716">
            <v>70325</v>
          </cell>
          <cell r="S716">
            <v>0</v>
          </cell>
          <cell r="T716">
            <v>10</v>
          </cell>
          <cell r="U716">
            <v>7</v>
          </cell>
          <cell r="V716">
            <v>5.2</v>
          </cell>
          <cell r="X716" t="str">
            <v>Sardar Tanveer Ilyas</v>
          </cell>
        </row>
        <row r="717">
          <cell r="K717">
            <v>237</v>
          </cell>
          <cell r="M717" t="str">
            <v>Intiqal</v>
          </cell>
          <cell r="N717" t="str">
            <v>Not Available</v>
          </cell>
          <cell r="O717">
            <v>33</v>
          </cell>
          <cell r="P717">
            <v>9</v>
          </cell>
          <cell r="Q717">
            <v>1</v>
          </cell>
          <cell r="R717">
            <v>2764872</v>
          </cell>
          <cell r="S717">
            <v>0</v>
          </cell>
          <cell r="T717">
            <v>-31</v>
          </cell>
          <cell r="U717">
            <v>0</v>
          </cell>
          <cell r="V717">
            <v>-1</v>
          </cell>
          <cell r="X717" t="str">
            <v>Sardar Tanveer Ilyas</v>
          </cell>
        </row>
        <row r="718">
          <cell r="K718">
            <v>225</v>
          </cell>
          <cell r="M718" t="str">
            <v>Intiqal</v>
          </cell>
          <cell r="N718" t="str">
            <v>Not Available</v>
          </cell>
          <cell r="O718">
            <v>0</v>
          </cell>
          <cell r="P718">
            <v>5</v>
          </cell>
          <cell r="Q718">
            <v>8</v>
          </cell>
          <cell r="R718">
            <v>51403</v>
          </cell>
          <cell r="S718">
            <v>0</v>
          </cell>
          <cell r="T718">
            <v>33</v>
          </cell>
          <cell r="U718">
            <v>4</v>
          </cell>
          <cell r="V718">
            <v>-7</v>
          </cell>
          <cell r="X718" t="str">
            <v>Sardar Tanveer Ilyas</v>
          </cell>
        </row>
        <row r="719">
          <cell r="K719">
            <v>223</v>
          </cell>
          <cell r="M719" t="str">
            <v>Intiqal</v>
          </cell>
          <cell r="N719" t="str">
            <v>Not Available</v>
          </cell>
          <cell r="O719">
            <v>13</v>
          </cell>
          <cell r="P719">
            <v>1</v>
          </cell>
          <cell r="Q719">
            <v>8</v>
          </cell>
          <cell r="R719">
            <v>747606</v>
          </cell>
          <cell r="S719">
            <v>0</v>
          </cell>
          <cell r="T719">
            <v>-13</v>
          </cell>
          <cell r="U719">
            <v>4</v>
          </cell>
          <cell r="V719">
            <v>0</v>
          </cell>
          <cell r="X719" t="str">
            <v>Sardar Tanveer Ilyas</v>
          </cell>
        </row>
        <row r="720">
          <cell r="K720">
            <v>903</v>
          </cell>
          <cell r="M720" t="str">
            <v>Intiqal</v>
          </cell>
          <cell r="N720" t="str">
            <v>Not Available</v>
          </cell>
          <cell r="O720">
            <v>2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17</v>
          </cell>
          <cell r="U720">
            <v>1</v>
          </cell>
          <cell r="V720">
            <v>8</v>
          </cell>
          <cell r="X720" t="str">
            <v>Sardar Tanveer Ilyas</v>
          </cell>
        </row>
        <row r="721">
          <cell r="K721">
            <v>902</v>
          </cell>
          <cell r="M721" t="str">
            <v>Intiqal</v>
          </cell>
          <cell r="N721" t="str">
            <v>Not Available</v>
          </cell>
          <cell r="O721">
            <v>1</v>
          </cell>
          <cell r="P721">
            <v>6</v>
          </cell>
          <cell r="Q721">
            <v>4</v>
          </cell>
          <cell r="R721">
            <v>0</v>
          </cell>
          <cell r="S721">
            <v>0</v>
          </cell>
          <cell r="T721">
            <v>1</v>
          </cell>
          <cell r="U721">
            <v>-6</v>
          </cell>
          <cell r="V721">
            <v>-4</v>
          </cell>
          <cell r="X721" t="str">
            <v>Sardar Tanveer Ilyas</v>
          </cell>
        </row>
        <row r="722">
          <cell r="K722">
            <v>1349</v>
          </cell>
          <cell r="M722" t="str">
            <v>Intiqal</v>
          </cell>
          <cell r="N722" t="str">
            <v>Not Available</v>
          </cell>
          <cell r="O722">
            <v>0</v>
          </cell>
          <cell r="P722">
            <v>8</v>
          </cell>
          <cell r="Q722">
            <v>0</v>
          </cell>
          <cell r="R722">
            <v>0</v>
          </cell>
          <cell r="S722">
            <v>0</v>
          </cell>
          <cell r="T722">
            <v>1</v>
          </cell>
          <cell r="U722">
            <v>-2</v>
          </cell>
          <cell r="V722">
            <v>4</v>
          </cell>
          <cell r="X722" t="str">
            <v>Sardar Tanveer Ilyas</v>
          </cell>
        </row>
        <row r="723">
          <cell r="K723">
            <v>1180</v>
          </cell>
          <cell r="M723" t="str">
            <v>Intiqal</v>
          </cell>
          <cell r="N723" t="str">
            <v>Not Available</v>
          </cell>
          <cell r="O723">
            <v>0</v>
          </cell>
          <cell r="P723">
            <v>5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3</v>
          </cell>
          <cell r="V723">
            <v>0</v>
          </cell>
          <cell r="X723" t="str">
            <v>Sardar Tanveer Ilyas</v>
          </cell>
        </row>
        <row r="724">
          <cell r="K724">
            <v>901</v>
          </cell>
          <cell r="M724" t="str">
            <v>Intiqal</v>
          </cell>
          <cell r="N724" t="str">
            <v>Not Available</v>
          </cell>
          <cell r="O724">
            <v>7</v>
          </cell>
          <cell r="P724">
            <v>4</v>
          </cell>
          <cell r="Q724">
            <v>3</v>
          </cell>
          <cell r="R724">
            <v>0</v>
          </cell>
          <cell r="S724">
            <v>0</v>
          </cell>
          <cell r="T724">
            <v>-7</v>
          </cell>
          <cell r="U724">
            <v>1</v>
          </cell>
          <cell r="V724">
            <v>-3</v>
          </cell>
          <cell r="X724" t="str">
            <v>Sardar Tanveer Ilyas</v>
          </cell>
        </row>
        <row r="725">
          <cell r="K725">
            <v>896</v>
          </cell>
          <cell r="M725" t="str">
            <v>Intiqal</v>
          </cell>
          <cell r="N725" t="str">
            <v>Not Available</v>
          </cell>
          <cell r="O725">
            <v>0</v>
          </cell>
          <cell r="P725">
            <v>3</v>
          </cell>
          <cell r="Q725">
            <v>8</v>
          </cell>
          <cell r="R725">
            <v>0</v>
          </cell>
          <cell r="S725">
            <v>0</v>
          </cell>
          <cell r="T725">
            <v>7</v>
          </cell>
          <cell r="U725">
            <v>1</v>
          </cell>
          <cell r="V725">
            <v>-5</v>
          </cell>
          <cell r="X725" t="str">
            <v>Sardar Tanveer Ilyas</v>
          </cell>
        </row>
        <row r="726">
          <cell r="K726">
            <v>895</v>
          </cell>
          <cell r="M726" t="str">
            <v>Intiqal</v>
          </cell>
          <cell r="N726" t="str">
            <v>Not Available</v>
          </cell>
          <cell r="O726">
            <v>0</v>
          </cell>
          <cell r="P726">
            <v>6</v>
          </cell>
          <cell r="Q726">
            <v>2</v>
          </cell>
          <cell r="R726">
            <v>0</v>
          </cell>
          <cell r="S726">
            <v>0</v>
          </cell>
          <cell r="T726">
            <v>0</v>
          </cell>
          <cell r="U726">
            <v>-3</v>
          </cell>
          <cell r="V726">
            <v>6</v>
          </cell>
          <cell r="X726" t="str">
            <v>Sardar Tanveer Ilyas</v>
          </cell>
        </row>
        <row r="727">
          <cell r="K727">
            <v>6956</v>
          </cell>
          <cell r="M727" t="str">
            <v>Intiqal</v>
          </cell>
          <cell r="N727" t="str">
            <v>Not Available</v>
          </cell>
          <cell r="O727">
            <v>7</v>
          </cell>
          <cell r="P727">
            <v>8</v>
          </cell>
          <cell r="Q727">
            <v>0</v>
          </cell>
          <cell r="R727">
            <v>0</v>
          </cell>
          <cell r="S727">
            <v>0</v>
          </cell>
          <cell r="T727">
            <v>-7</v>
          </cell>
          <cell r="U727">
            <v>-2</v>
          </cell>
          <cell r="V727">
            <v>2</v>
          </cell>
          <cell r="X727" t="str">
            <v>Sardar Tanveer Ilyas</v>
          </cell>
        </row>
        <row r="728">
          <cell r="K728">
            <v>1527</v>
          </cell>
          <cell r="M728" t="str">
            <v>Intiqal</v>
          </cell>
          <cell r="N728" t="str">
            <v>Not Available</v>
          </cell>
          <cell r="O728">
            <v>1</v>
          </cell>
          <cell r="P728">
            <v>5</v>
          </cell>
          <cell r="Q728">
            <v>2.35</v>
          </cell>
          <cell r="R728">
            <v>191719</v>
          </cell>
          <cell r="S728">
            <v>0</v>
          </cell>
          <cell r="T728">
            <v>0</v>
          </cell>
          <cell r="U728">
            <v>13</v>
          </cell>
          <cell r="V728">
            <v>3</v>
          </cell>
          <cell r="X728" t="str">
            <v>Sardar Tanveer Ilyas</v>
          </cell>
        </row>
        <row r="729">
          <cell r="K729">
            <v>1528</v>
          </cell>
          <cell r="M729" t="str">
            <v>Intiqal</v>
          </cell>
          <cell r="N729" t="str">
            <v>Not Available</v>
          </cell>
          <cell r="O729">
            <v>0</v>
          </cell>
          <cell r="P729">
            <v>13</v>
          </cell>
          <cell r="Q729">
            <v>3</v>
          </cell>
          <cell r="R729">
            <v>109167</v>
          </cell>
          <cell r="S729">
            <v>0</v>
          </cell>
          <cell r="T729">
            <v>1</v>
          </cell>
          <cell r="U729">
            <v>-8</v>
          </cell>
          <cell r="V729">
            <v>-0.65</v>
          </cell>
          <cell r="X729" t="str">
            <v>Sardar Tanveer Ilyas</v>
          </cell>
        </row>
        <row r="730">
          <cell r="K730">
            <v>1634</v>
          </cell>
          <cell r="M730" t="str">
            <v>Intiqal</v>
          </cell>
          <cell r="N730" t="str">
            <v>Not Available</v>
          </cell>
          <cell r="O730">
            <v>2</v>
          </cell>
          <cell r="P730">
            <v>0</v>
          </cell>
          <cell r="Q730">
            <v>0</v>
          </cell>
          <cell r="R730">
            <v>318500</v>
          </cell>
          <cell r="S730">
            <v>100000</v>
          </cell>
          <cell r="T730">
            <v>0</v>
          </cell>
          <cell r="U730">
            <v>0</v>
          </cell>
          <cell r="V730">
            <v>0</v>
          </cell>
          <cell r="X730" t="str">
            <v>Sardar Tanveer Ilyas</v>
          </cell>
        </row>
        <row r="731">
          <cell r="K731">
            <v>1619</v>
          </cell>
          <cell r="M731" t="str">
            <v>Intiqal</v>
          </cell>
          <cell r="N731" t="str">
            <v>Not Available</v>
          </cell>
          <cell r="O731">
            <v>3</v>
          </cell>
          <cell r="P731">
            <v>14</v>
          </cell>
          <cell r="Q731">
            <v>4.37</v>
          </cell>
          <cell r="R731">
            <v>0</v>
          </cell>
          <cell r="S731">
            <v>186000</v>
          </cell>
          <cell r="T731">
            <v>0</v>
          </cell>
          <cell r="U731">
            <v>0</v>
          </cell>
          <cell r="V731">
            <v>0</v>
          </cell>
          <cell r="X731" t="str">
            <v>Sardar Tanveer Ilyas</v>
          </cell>
        </row>
        <row r="732">
          <cell r="K732">
            <v>1631</v>
          </cell>
          <cell r="M732" t="str">
            <v>Intiqal</v>
          </cell>
          <cell r="N732" t="str">
            <v>Not Available</v>
          </cell>
          <cell r="O732">
            <v>1</v>
          </cell>
          <cell r="P732">
            <v>0</v>
          </cell>
          <cell r="Q732">
            <v>0</v>
          </cell>
          <cell r="R732">
            <v>0</v>
          </cell>
          <cell r="S732">
            <v>50000</v>
          </cell>
          <cell r="T732">
            <v>0</v>
          </cell>
          <cell r="U732">
            <v>0</v>
          </cell>
          <cell r="V732">
            <v>0</v>
          </cell>
          <cell r="X732" t="str">
            <v>Sardar Tanveer Ilyas</v>
          </cell>
        </row>
        <row r="733">
          <cell r="K733">
            <v>1558</v>
          </cell>
          <cell r="M733" t="str">
            <v>Intiqal</v>
          </cell>
          <cell r="N733" t="str">
            <v>Not Available</v>
          </cell>
          <cell r="O733">
            <v>0</v>
          </cell>
          <cell r="P733">
            <v>15</v>
          </cell>
          <cell r="Q733">
            <v>4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X733" t="str">
            <v>Sardar Tanveer Ilyas</v>
          </cell>
        </row>
        <row r="734">
          <cell r="K734">
            <v>1579</v>
          </cell>
          <cell r="M734" t="str">
            <v>Intiqal</v>
          </cell>
          <cell r="N734" t="str">
            <v>Not Available</v>
          </cell>
          <cell r="O734">
            <v>1</v>
          </cell>
          <cell r="P734">
            <v>19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X734" t="str">
            <v>Sardar Tanveer Ilyas</v>
          </cell>
        </row>
        <row r="735">
          <cell r="K735">
            <v>575</v>
          </cell>
          <cell r="L735">
            <v>9888</v>
          </cell>
          <cell r="M735" t="str">
            <v>Intiqal</v>
          </cell>
          <cell r="N735" t="str">
            <v>Registry</v>
          </cell>
          <cell r="O735">
            <v>0</v>
          </cell>
          <cell r="P735">
            <v>17</v>
          </cell>
          <cell r="Q735">
            <v>0</v>
          </cell>
          <cell r="R735">
            <v>76600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 t="str">
            <v>Muhammad Yasir</v>
          </cell>
          <cell r="X735" t="str">
            <v>Sardar Yasir Ilyas</v>
          </cell>
          <cell r="Y735">
            <v>44709</v>
          </cell>
        </row>
        <row r="736">
          <cell r="K736">
            <v>1654</v>
          </cell>
          <cell r="M736" t="str">
            <v>Intiqal</v>
          </cell>
          <cell r="N736" t="str">
            <v>Not Available</v>
          </cell>
          <cell r="O736">
            <v>0</v>
          </cell>
          <cell r="P736">
            <v>11</v>
          </cell>
          <cell r="Q736">
            <v>0</v>
          </cell>
          <cell r="R736">
            <v>169600</v>
          </cell>
          <cell r="S736">
            <v>0</v>
          </cell>
          <cell r="T736">
            <v>0</v>
          </cell>
          <cell r="U736">
            <v>1</v>
          </cell>
          <cell r="V736">
            <v>0</v>
          </cell>
          <cell r="X736" t="str">
            <v>Sardar Tanveer Ilyas</v>
          </cell>
        </row>
        <row r="737">
          <cell r="K737">
            <v>1653</v>
          </cell>
          <cell r="M737" t="str">
            <v>Intiqal</v>
          </cell>
          <cell r="N737" t="str">
            <v>Not Available</v>
          </cell>
          <cell r="O737">
            <v>0</v>
          </cell>
          <cell r="P737">
            <v>1</v>
          </cell>
          <cell r="Q737">
            <v>0</v>
          </cell>
          <cell r="R737">
            <v>0</v>
          </cell>
          <cell r="S737">
            <v>30000</v>
          </cell>
          <cell r="T737">
            <v>0</v>
          </cell>
          <cell r="U737">
            <v>10</v>
          </cell>
          <cell r="V737">
            <v>0</v>
          </cell>
          <cell r="X737" t="str">
            <v>Sardar Tanveer Ilyas</v>
          </cell>
        </row>
        <row r="738">
          <cell r="K738">
            <v>1617</v>
          </cell>
          <cell r="M738" t="str">
            <v>Intiqal</v>
          </cell>
          <cell r="N738" t="str">
            <v>Not Available</v>
          </cell>
          <cell r="O738">
            <v>0</v>
          </cell>
          <cell r="P738">
            <v>5</v>
          </cell>
          <cell r="Q738">
            <v>0</v>
          </cell>
          <cell r="R738">
            <v>63625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X738" t="str">
            <v>Sardar Tanveer Ilyas</v>
          </cell>
        </row>
        <row r="739">
          <cell r="K739">
            <v>1699</v>
          </cell>
          <cell r="M739" t="str">
            <v>Intiqal</v>
          </cell>
          <cell r="N739" t="str">
            <v>Not Available</v>
          </cell>
          <cell r="O739">
            <v>1</v>
          </cell>
          <cell r="P739">
            <v>0</v>
          </cell>
          <cell r="Q739">
            <v>0</v>
          </cell>
          <cell r="R739">
            <v>159500</v>
          </cell>
          <cell r="S739">
            <v>50000</v>
          </cell>
          <cell r="T739">
            <v>0</v>
          </cell>
          <cell r="U739">
            <v>0</v>
          </cell>
          <cell r="V739">
            <v>0</v>
          </cell>
          <cell r="X739" t="str">
            <v>Sardar Tanveer Ilyas</v>
          </cell>
        </row>
        <row r="740">
          <cell r="K740">
            <v>1591</v>
          </cell>
          <cell r="M740" t="str">
            <v>Intiqal</v>
          </cell>
          <cell r="N740" t="str">
            <v>Not Available</v>
          </cell>
          <cell r="O740">
            <v>0</v>
          </cell>
          <cell r="P740">
            <v>10</v>
          </cell>
          <cell r="Q740">
            <v>0</v>
          </cell>
          <cell r="R740">
            <v>95750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X740" t="str">
            <v>Sardar Tanveer Ilyas</v>
          </cell>
        </row>
        <row r="741">
          <cell r="K741">
            <v>281</v>
          </cell>
          <cell r="M741" t="str">
            <v>Intiqal</v>
          </cell>
          <cell r="N741" t="str">
            <v>Not Available</v>
          </cell>
          <cell r="O741">
            <v>0</v>
          </cell>
          <cell r="P741">
            <v>3</v>
          </cell>
          <cell r="Q741">
            <v>0</v>
          </cell>
          <cell r="R741">
            <v>10275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X741" t="str">
            <v>Sardar Tanveer Ilyas</v>
          </cell>
        </row>
        <row r="742">
          <cell r="K742">
            <v>1716</v>
          </cell>
          <cell r="M742" t="str">
            <v>Intiqal</v>
          </cell>
          <cell r="N742" t="str">
            <v>Not Available</v>
          </cell>
          <cell r="O742">
            <v>1</v>
          </cell>
          <cell r="P742">
            <v>0</v>
          </cell>
          <cell r="Q742">
            <v>0</v>
          </cell>
          <cell r="R742">
            <v>159500</v>
          </cell>
          <cell r="S742">
            <v>50000</v>
          </cell>
          <cell r="T742">
            <v>0</v>
          </cell>
          <cell r="U742">
            <v>0</v>
          </cell>
          <cell r="V742">
            <v>0</v>
          </cell>
          <cell r="X742" t="str">
            <v>Sardar Tanveer Ilyas</v>
          </cell>
        </row>
        <row r="743">
          <cell r="K743">
            <v>1678</v>
          </cell>
          <cell r="M743" t="str">
            <v>Intiqal</v>
          </cell>
          <cell r="N743" t="str">
            <v>Not Available</v>
          </cell>
          <cell r="O743">
            <v>2</v>
          </cell>
          <cell r="P743">
            <v>10</v>
          </cell>
          <cell r="Q743">
            <v>7</v>
          </cell>
          <cell r="R743">
            <v>532081</v>
          </cell>
          <cell r="S743">
            <v>0</v>
          </cell>
          <cell r="T743">
            <v>2</v>
          </cell>
          <cell r="U743">
            <v>-10</v>
          </cell>
          <cell r="V743">
            <v>-7</v>
          </cell>
          <cell r="X743" t="str">
            <v>Sardar Tanveer Ilyas</v>
          </cell>
        </row>
        <row r="744">
          <cell r="K744">
            <v>1672</v>
          </cell>
          <cell r="M744" t="str">
            <v>Intiqal</v>
          </cell>
          <cell r="N744" t="str">
            <v>Not Available</v>
          </cell>
          <cell r="O744">
            <v>1</v>
          </cell>
          <cell r="P744">
            <v>9</v>
          </cell>
          <cell r="Q744">
            <v>2</v>
          </cell>
          <cell r="R744">
            <v>249419</v>
          </cell>
          <cell r="S744">
            <v>0</v>
          </cell>
          <cell r="T744">
            <v>1</v>
          </cell>
          <cell r="U744">
            <v>1</v>
          </cell>
          <cell r="V744">
            <v>5</v>
          </cell>
          <cell r="X744" t="str">
            <v>Sardar Tanveer Ilyas</v>
          </cell>
        </row>
        <row r="745">
          <cell r="K745">
            <v>1729</v>
          </cell>
          <cell r="M745" t="str">
            <v>Intiqal</v>
          </cell>
          <cell r="N745" t="str">
            <v>Not Available</v>
          </cell>
          <cell r="O745">
            <v>0</v>
          </cell>
          <cell r="P745">
            <v>3</v>
          </cell>
          <cell r="Q745">
            <v>2</v>
          </cell>
          <cell r="R745">
            <v>0</v>
          </cell>
          <cell r="S745">
            <v>0</v>
          </cell>
          <cell r="T745">
            <v>0</v>
          </cell>
          <cell r="U745">
            <v>5</v>
          </cell>
          <cell r="V745">
            <v>0</v>
          </cell>
          <cell r="X745" t="str">
            <v>Sardar Tanveer Ilyas</v>
          </cell>
        </row>
        <row r="746">
          <cell r="K746">
            <v>1728</v>
          </cell>
          <cell r="M746" t="str">
            <v>Intiqal</v>
          </cell>
          <cell r="N746" t="str">
            <v>Not Available</v>
          </cell>
          <cell r="O746">
            <v>0</v>
          </cell>
          <cell r="P746">
            <v>5</v>
          </cell>
          <cell r="Q746">
            <v>0</v>
          </cell>
          <cell r="R746">
            <v>79794</v>
          </cell>
          <cell r="S746">
            <v>20000</v>
          </cell>
          <cell r="T746">
            <v>0</v>
          </cell>
          <cell r="U746">
            <v>-2</v>
          </cell>
          <cell r="V746">
            <v>2</v>
          </cell>
          <cell r="X746" t="str">
            <v>Sardar Tanveer Ilyas</v>
          </cell>
        </row>
        <row r="747">
          <cell r="K747">
            <v>1606</v>
          </cell>
          <cell r="M747" t="str">
            <v>Intiqal</v>
          </cell>
          <cell r="N747" t="str">
            <v>Not Available</v>
          </cell>
          <cell r="O747">
            <v>1</v>
          </cell>
          <cell r="P747">
            <v>9</v>
          </cell>
          <cell r="Q747">
            <v>4</v>
          </cell>
          <cell r="R747">
            <v>313514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X747" t="str">
            <v>Sardar Tanveer Ilyas</v>
          </cell>
        </row>
        <row r="748">
          <cell r="K748">
            <v>1681</v>
          </cell>
          <cell r="M748" t="str">
            <v>Intiqal</v>
          </cell>
          <cell r="N748" t="str">
            <v>Not Available</v>
          </cell>
          <cell r="O748">
            <v>1</v>
          </cell>
          <cell r="P748">
            <v>1</v>
          </cell>
          <cell r="Q748">
            <v>0</v>
          </cell>
          <cell r="R748">
            <v>160425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X748" t="str">
            <v>Sardar Tanveer Ilyas</v>
          </cell>
        </row>
        <row r="749">
          <cell r="K749">
            <v>1489</v>
          </cell>
          <cell r="M749" t="str">
            <v>Intiqal</v>
          </cell>
          <cell r="N749" t="str">
            <v>Not Available</v>
          </cell>
          <cell r="O749">
            <v>0</v>
          </cell>
          <cell r="P749">
            <v>18</v>
          </cell>
          <cell r="Q749">
            <v>1.26</v>
          </cell>
          <cell r="R749">
            <v>129197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X749" t="str">
            <v>Sardar Tanveer Ilyas</v>
          </cell>
        </row>
        <row r="750">
          <cell r="K750">
            <v>1786</v>
          </cell>
          <cell r="M750" t="str">
            <v>Intiqal</v>
          </cell>
          <cell r="N750" t="str">
            <v>Not Available</v>
          </cell>
          <cell r="O750">
            <v>0</v>
          </cell>
          <cell r="P750">
            <v>10</v>
          </cell>
          <cell r="Q750">
            <v>0</v>
          </cell>
          <cell r="R750">
            <v>125750</v>
          </cell>
          <cell r="S750">
            <v>90000</v>
          </cell>
          <cell r="T750">
            <v>0</v>
          </cell>
          <cell r="U750">
            <v>0</v>
          </cell>
          <cell r="V750">
            <v>0</v>
          </cell>
          <cell r="X750" t="str">
            <v>Sardar Tanveer Ilyas</v>
          </cell>
        </row>
        <row r="751">
          <cell r="K751" t="str">
            <v>Excess Payment</v>
          </cell>
          <cell r="M751" t="str">
            <v>Not Available</v>
          </cell>
          <cell r="N751" t="str">
            <v>Not Available</v>
          </cell>
          <cell r="O751">
            <v>0</v>
          </cell>
          <cell r="P751">
            <v>1</v>
          </cell>
          <cell r="Q751">
            <v>2</v>
          </cell>
          <cell r="R751">
            <v>0</v>
          </cell>
          <cell r="S751">
            <v>0</v>
          </cell>
          <cell r="T751">
            <v>8</v>
          </cell>
          <cell r="U751">
            <v>17</v>
          </cell>
          <cell r="V751">
            <v>3</v>
          </cell>
        </row>
        <row r="752">
          <cell r="K752">
            <v>290</v>
          </cell>
          <cell r="M752" t="str">
            <v>Intiqal</v>
          </cell>
          <cell r="N752" t="str">
            <v>Not Available</v>
          </cell>
          <cell r="O752">
            <v>0</v>
          </cell>
          <cell r="P752">
            <v>14</v>
          </cell>
          <cell r="Q752">
            <v>0</v>
          </cell>
          <cell r="R752">
            <v>22808</v>
          </cell>
          <cell r="S752">
            <v>0</v>
          </cell>
          <cell r="T752">
            <v>0</v>
          </cell>
          <cell r="U752">
            <v>-13</v>
          </cell>
          <cell r="V752">
            <v>2</v>
          </cell>
          <cell r="X752" t="str">
            <v>Sardar Tanveer Ilyas</v>
          </cell>
        </row>
        <row r="753">
          <cell r="K753">
            <v>294</v>
          </cell>
          <cell r="M753" t="str">
            <v>Intiqal</v>
          </cell>
          <cell r="N753" t="str">
            <v>Not Available</v>
          </cell>
          <cell r="O753">
            <v>0</v>
          </cell>
          <cell r="P753">
            <v>8</v>
          </cell>
          <cell r="Q753">
            <v>4</v>
          </cell>
          <cell r="R753">
            <v>20900</v>
          </cell>
          <cell r="S753">
            <v>0</v>
          </cell>
          <cell r="T753">
            <v>0</v>
          </cell>
          <cell r="U753">
            <v>6</v>
          </cell>
          <cell r="V753">
            <v>-4</v>
          </cell>
          <cell r="X753" t="str">
            <v>Sardar Tanveer Ilyas</v>
          </cell>
        </row>
        <row r="754">
          <cell r="K754">
            <v>293</v>
          </cell>
          <cell r="M754" t="str">
            <v>Intiqal</v>
          </cell>
          <cell r="N754" t="str">
            <v>Not Available</v>
          </cell>
          <cell r="O754">
            <v>2</v>
          </cell>
          <cell r="P754">
            <v>17</v>
          </cell>
          <cell r="Q754">
            <v>0</v>
          </cell>
          <cell r="R754">
            <v>153225</v>
          </cell>
          <cell r="S754">
            <v>0</v>
          </cell>
          <cell r="T754">
            <v>-2</v>
          </cell>
          <cell r="U754">
            <v>-9</v>
          </cell>
          <cell r="V754">
            <v>4</v>
          </cell>
          <cell r="X754" t="str">
            <v>Sardar Tanveer Ilyas</v>
          </cell>
        </row>
        <row r="755">
          <cell r="K755">
            <v>291</v>
          </cell>
          <cell r="M755" t="str">
            <v>Intiqal</v>
          </cell>
          <cell r="N755" t="str">
            <v>Not Available</v>
          </cell>
          <cell r="O755">
            <v>0</v>
          </cell>
          <cell r="P755">
            <v>8</v>
          </cell>
          <cell r="Q755">
            <v>0</v>
          </cell>
          <cell r="R755">
            <v>24400</v>
          </cell>
          <cell r="S755">
            <v>0</v>
          </cell>
          <cell r="T755">
            <v>2</v>
          </cell>
          <cell r="U755">
            <v>9</v>
          </cell>
          <cell r="V755">
            <v>0</v>
          </cell>
          <cell r="X755" t="str">
            <v>Sardar Tanveer Ilyas</v>
          </cell>
        </row>
        <row r="756">
          <cell r="K756">
            <v>265</v>
          </cell>
          <cell r="M756" t="str">
            <v>Intiqal</v>
          </cell>
          <cell r="N756" t="str">
            <v>Not Available</v>
          </cell>
          <cell r="O756">
            <v>2</v>
          </cell>
          <cell r="P756">
            <v>15</v>
          </cell>
          <cell r="Q756">
            <v>7</v>
          </cell>
          <cell r="R756">
            <v>152705</v>
          </cell>
          <cell r="S756">
            <v>0</v>
          </cell>
          <cell r="T756">
            <v>-2</v>
          </cell>
          <cell r="U756">
            <v>-7</v>
          </cell>
          <cell r="V756">
            <v>-7</v>
          </cell>
          <cell r="X756" t="str">
            <v>Sardar Tanveer Ilyas</v>
          </cell>
        </row>
        <row r="757">
          <cell r="K757">
            <v>264</v>
          </cell>
          <cell r="M757" t="str">
            <v>Intiqal</v>
          </cell>
          <cell r="N757" t="str">
            <v>Not Available</v>
          </cell>
          <cell r="O757">
            <v>1</v>
          </cell>
          <cell r="P757">
            <v>14</v>
          </cell>
          <cell r="Q757">
            <v>1</v>
          </cell>
          <cell r="R757">
            <v>91497</v>
          </cell>
          <cell r="S757">
            <v>6909168</v>
          </cell>
          <cell r="T757">
            <v>1</v>
          </cell>
          <cell r="U757">
            <v>1</v>
          </cell>
          <cell r="V757">
            <v>6</v>
          </cell>
          <cell r="X757" t="str">
            <v>Sardar Tanveer Ilyas</v>
          </cell>
        </row>
        <row r="758">
          <cell r="K758">
            <v>348</v>
          </cell>
          <cell r="M758" t="str">
            <v>Intiqal</v>
          </cell>
          <cell r="N758" t="str">
            <v>Not Available</v>
          </cell>
          <cell r="O758">
            <v>0</v>
          </cell>
          <cell r="P758">
            <v>19</v>
          </cell>
          <cell r="Q758">
            <v>1</v>
          </cell>
          <cell r="R758">
            <v>0</v>
          </cell>
          <cell r="S758">
            <v>0</v>
          </cell>
          <cell r="T758">
            <v>1</v>
          </cell>
          <cell r="U758">
            <v>-19</v>
          </cell>
          <cell r="V758">
            <v>-1</v>
          </cell>
          <cell r="X758" t="str">
            <v>Sardar Tanveer Ilyas</v>
          </cell>
        </row>
        <row r="759">
          <cell r="K759">
            <v>285</v>
          </cell>
          <cell r="M759" t="str">
            <v>Intiqal</v>
          </cell>
          <cell r="N759" t="str">
            <v>Not Available</v>
          </cell>
          <cell r="O759">
            <v>0</v>
          </cell>
          <cell r="P759">
            <v>0</v>
          </cell>
          <cell r="Q759">
            <v>8</v>
          </cell>
          <cell r="R759">
            <v>3278</v>
          </cell>
          <cell r="S759">
            <v>0</v>
          </cell>
          <cell r="T759">
            <v>0</v>
          </cell>
          <cell r="U759">
            <v>19</v>
          </cell>
          <cell r="V759">
            <v>-7</v>
          </cell>
          <cell r="X759" t="str">
            <v>Sardar Tanveer Ilyas</v>
          </cell>
        </row>
        <row r="760">
          <cell r="K760">
            <v>1749</v>
          </cell>
          <cell r="M760" t="str">
            <v>Intiqal</v>
          </cell>
          <cell r="N760" t="str">
            <v>Not Available</v>
          </cell>
          <cell r="O760">
            <v>0</v>
          </cell>
          <cell r="P760">
            <v>3</v>
          </cell>
          <cell r="Q760">
            <v>0</v>
          </cell>
          <cell r="R760">
            <v>26775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X760" t="str">
            <v>Sardar Tanveer Ilyas</v>
          </cell>
        </row>
        <row r="761">
          <cell r="K761">
            <v>1879</v>
          </cell>
          <cell r="M761" t="str">
            <v>Intiqal</v>
          </cell>
          <cell r="N761" t="str">
            <v>Not Available</v>
          </cell>
          <cell r="O761">
            <v>4</v>
          </cell>
          <cell r="P761">
            <v>9</v>
          </cell>
          <cell r="Q761">
            <v>8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X761" t="str">
            <v>Sardar Tanveer Ilyas</v>
          </cell>
        </row>
        <row r="762">
          <cell r="K762">
            <v>1853</v>
          </cell>
          <cell r="M762" t="str">
            <v>Intiqal</v>
          </cell>
          <cell r="N762" t="str">
            <v>Not Available</v>
          </cell>
          <cell r="O762">
            <v>0</v>
          </cell>
          <cell r="P762">
            <v>5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X762" t="str">
            <v>Sardar Tanveer Ilyas</v>
          </cell>
        </row>
        <row r="763">
          <cell r="K763">
            <v>1884</v>
          </cell>
          <cell r="M763" t="str">
            <v>Intiqal</v>
          </cell>
          <cell r="N763" t="str">
            <v>Not Available</v>
          </cell>
          <cell r="O763">
            <v>0</v>
          </cell>
          <cell r="P763">
            <v>5</v>
          </cell>
          <cell r="Q763">
            <v>0</v>
          </cell>
          <cell r="R763">
            <v>245683</v>
          </cell>
          <cell r="S763">
            <v>164000</v>
          </cell>
          <cell r="T763">
            <v>0</v>
          </cell>
          <cell r="U763">
            <v>0</v>
          </cell>
          <cell r="V763">
            <v>0</v>
          </cell>
          <cell r="X763" t="str">
            <v>Sardar Tanveer Ilyas</v>
          </cell>
        </row>
        <row r="764">
          <cell r="K764">
            <v>1885</v>
          </cell>
          <cell r="M764" t="str">
            <v>Intiqal</v>
          </cell>
          <cell r="N764" t="str">
            <v>Not Available</v>
          </cell>
          <cell r="O764">
            <v>0</v>
          </cell>
          <cell r="P764">
            <v>3</v>
          </cell>
          <cell r="Q764">
            <v>5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X764" t="str">
            <v>Sardar Tanveer Ilyas</v>
          </cell>
        </row>
        <row r="765">
          <cell r="K765">
            <v>1835</v>
          </cell>
          <cell r="M765" t="str">
            <v>Intiqal</v>
          </cell>
          <cell r="N765" t="str">
            <v>Not Available</v>
          </cell>
          <cell r="O765">
            <v>0</v>
          </cell>
          <cell r="P765">
            <v>2</v>
          </cell>
          <cell r="Q765">
            <v>4.5</v>
          </cell>
          <cell r="R765">
            <v>14039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X765" t="str">
            <v>Sardar Tanveer Ilyas</v>
          </cell>
        </row>
        <row r="766">
          <cell r="K766">
            <v>314</v>
          </cell>
          <cell r="M766" t="str">
            <v>Intiqal</v>
          </cell>
          <cell r="N766" t="str">
            <v>Not Available</v>
          </cell>
          <cell r="O766">
            <v>4</v>
          </cell>
          <cell r="P766">
            <v>4</v>
          </cell>
          <cell r="Q766">
            <v>0</v>
          </cell>
          <cell r="R766">
            <v>236700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X766" t="str">
            <v>Sardar Tanveer Ilyas</v>
          </cell>
        </row>
        <row r="767">
          <cell r="K767">
            <v>1889</v>
          </cell>
          <cell r="M767" t="str">
            <v>Intiqal</v>
          </cell>
          <cell r="N767" t="str">
            <v>Not Available</v>
          </cell>
          <cell r="O767">
            <v>4</v>
          </cell>
          <cell r="P767">
            <v>8</v>
          </cell>
          <cell r="Q767">
            <v>0</v>
          </cell>
          <cell r="R767">
            <v>889400</v>
          </cell>
          <cell r="S767">
            <v>400000</v>
          </cell>
          <cell r="T767">
            <v>0</v>
          </cell>
          <cell r="U767">
            <v>0</v>
          </cell>
          <cell r="V767">
            <v>0</v>
          </cell>
          <cell r="X767" t="str">
            <v>Sardar Tanveer Ilyas</v>
          </cell>
        </row>
        <row r="768">
          <cell r="K768">
            <v>1911</v>
          </cell>
          <cell r="M768" t="str">
            <v>Intiqal</v>
          </cell>
          <cell r="N768" t="str">
            <v>Not Available</v>
          </cell>
          <cell r="O768">
            <v>2</v>
          </cell>
          <cell r="P768">
            <v>10</v>
          </cell>
          <cell r="Q768">
            <v>0</v>
          </cell>
          <cell r="R768">
            <v>728500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X768" t="str">
            <v>Sardar Tanveer Ilyas</v>
          </cell>
        </row>
        <row r="769">
          <cell r="K769">
            <v>1910</v>
          </cell>
          <cell r="M769" t="str">
            <v>Intiqal</v>
          </cell>
          <cell r="N769" t="str">
            <v>Not Available</v>
          </cell>
          <cell r="O769">
            <v>2</v>
          </cell>
          <cell r="P769">
            <v>7</v>
          </cell>
          <cell r="Q769">
            <v>0</v>
          </cell>
          <cell r="R769">
            <v>501475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X769" t="str">
            <v>Sardar Tanveer Ilyas</v>
          </cell>
        </row>
        <row r="770">
          <cell r="K770">
            <v>1886</v>
          </cell>
          <cell r="M770" t="str">
            <v>Intiqal</v>
          </cell>
          <cell r="N770" t="str">
            <v>Not Available</v>
          </cell>
          <cell r="O770">
            <v>0</v>
          </cell>
          <cell r="P770">
            <v>4</v>
          </cell>
          <cell r="Q770">
            <v>0</v>
          </cell>
          <cell r="R770">
            <v>92700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X770" t="str">
            <v>Sardar Tanveer Ilyas</v>
          </cell>
        </row>
        <row r="771">
          <cell r="K771">
            <v>3983</v>
          </cell>
          <cell r="M771" t="str">
            <v>Intiqal</v>
          </cell>
          <cell r="N771" t="str">
            <v>Not Available</v>
          </cell>
          <cell r="O771">
            <v>0</v>
          </cell>
          <cell r="P771">
            <v>5</v>
          </cell>
          <cell r="Q771">
            <v>0</v>
          </cell>
          <cell r="R771">
            <v>14625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X771" t="str">
            <v>Sardar Tanveer Ilyas</v>
          </cell>
        </row>
        <row r="772">
          <cell r="K772">
            <v>345</v>
          </cell>
          <cell r="M772" t="str">
            <v>Intiqal</v>
          </cell>
          <cell r="N772" t="str">
            <v>Not Available</v>
          </cell>
          <cell r="O772">
            <v>0</v>
          </cell>
          <cell r="P772">
            <v>3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 t="str">
            <v>Azhar Mehmood</v>
          </cell>
          <cell r="X772" t="str">
            <v>Sardar Tanveer Ilyas</v>
          </cell>
        </row>
        <row r="773">
          <cell r="K773">
            <v>1990</v>
          </cell>
          <cell r="M773" t="str">
            <v>Intiqal</v>
          </cell>
          <cell r="N773" t="str">
            <v>Not Available</v>
          </cell>
          <cell r="O773">
            <v>1</v>
          </cell>
          <cell r="P773">
            <v>4</v>
          </cell>
          <cell r="Q773">
            <v>8</v>
          </cell>
          <cell r="R773">
            <v>194700</v>
          </cell>
          <cell r="S773">
            <v>62000</v>
          </cell>
          <cell r="T773">
            <v>0</v>
          </cell>
          <cell r="U773">
            <v>0</v>
          </cell>
          <cell r="V773">
            <v>0</v>
          </cell>
          <cell r="X773" t="str">
            <v>Sardar Tanveer Ilyas</v>
          </cell>
        </row>
        <row r="774">
          <cell r="K774">
            <v>1946</v>
          </cell>
          <cell r="M774" t="str">
            <v>Intiqal</v>
          </cell>
          <cell r="N774" t="str">
            <v>Not Available</v>
          </cell>
          <cell r="O774">
            <v>0</v>
          </cell>
          <cell r="P774">
            <v>14</v>
          </cell>
          <cell r="Q774">
            <v>0</v>
          </cell>
          <cell r="R774">
            <v>236700</v>
          </cell>
          <cell r="S774">
            <v>0</v>
          </cell>
          <cell r="T774">
            <v>1</v>
          </cell>
          <cell r="U774">
            <v>-10</v>
          </cell>
          <cell r="V774">
            <v>0</v>
          </cell>
          <cell r="X774" t="str">
            <v>Sardar Tanveer Ilyas</v>
          </cell>
        </row>
        <row r="775">
          <cell r="K775">
            <v>1945</v>
          </cell>
          <cell r="M775" t="str">
            <v>Intiqal</v>
          </cell>
          <cell r="N775" t="str">
            <v>Not Available</v>
          </cell>
          <cell r="O775">
            <v>0</v>
          </cell>
          <cell r="P775">
            <v>10</v>
          </cell>
          <cell r="Q775">
            <v>0</v>
          </cell>
          <cell r="R775">
            <v>204500</v>
          </cell>
          <cell r="S775">
            <v>0</v>
          </cell>
          <cell r="T775">
            <v>0</v>
          </cell>
          <cell r="U775">
            <v>4</v>
          </cell>
          <cell r="V775">
            <v>0</v>
          </cell>
          <cell r="X775" t="str">
            <v>Sardar Tanveer Ilyas</v>
          </cell>
        </row>
        <row r="776">
          <cell r="K776">
            <v>327</v>
          </cell>
          <cell r="M776" t="str">
            <v>Intiqal</v>
          </cell>
          <cell r="N776" t="str">
            <v>Not Available</v>
          </cell>
          <cell r="O776">
            <v>1</v>
          </cell>
          <cell r="P776">
            <v>0</v>
          </cell>
          <cell r="Q776">
            <v>0</v>
          </cell>
          <cell r="R776">
            <v>55500</v>
          </cell>
          <cell r="S776">
            <v>0</v>
          </cell>
          <cell r="T776">
            <v>5</v>
          </cell>
          <cell r="U776">
            <v>0</v>
          </cell>
          <cell r="V776">
            <v>0</v>
          </cell>
          <cell r="X776" t="str">
            <v>Sardar Tanveer Ilyas</v>
          </cell>
        </row>
        <row r="777">
          <cell r="K777">
            <v>322</v>
          </cell>
          <cell r="M777" t="str">
            <v>Intiqal</v>
          </cell>
          <cell r="N777" t="str">
            <v>Not Available</v>
          </cell>
          <cell r="O777">
            <v>5</v>
          </cell>
          <cell r="P777">
            <v>0</v>
          </cell>
          <cell r="Q777">
            <v>0</v>
          </cell>
          <cell r="R777">
            <v>266640</v>
          </cell>
          <cell r="S777">
            <v>0</v>
          </cell>
          <cell r="T777">
            <v>-4</v>
          </cell>
          <cell r="U777">
            <v>0</v>
          </cell>
          <cell r="V777">
            <v>0</v>
          </cell>
          <cell r="X777" t="str">
            <v>Sardar Tanveer Ilyas</v>
          </cell>
        </row>
        <row r="778">
          <cell r="K778">
            <v>326</v>
          </cell>
          <cell r="M778" t="str">
            <v>Intiqal</v>
          </cell>
          <cell r="N778" t="str">
            <v>Not Available</v>
          </cell>
          <cell r="O778">
            <v>1</v>
          </cell>
          <cell r="P778">
            <v>0</v>
          </cell>
          <cell r="Q778">
            <v>5</v>
          </cell>
          <cell r="R778">
            <v>56536</v>
          </cell>
          <cell r="S778">
            <v>0</v>
          </cell>
          <cell r="T778">
            <v>1</v>
          </cell>
          <cell r="U778">
            <v>2</v>
          </cell>
          <cell r="V778">
            <v>-2</v>
          </cell>
          <cell r="X778" t="str">
            <v>Sardar Tanveer Ilyas</v>
          </cell>
        </row>
        <row r="779">
          <cell r="K779">
            <v>275</v>
          </cell>
          <cell r="M779" t="str">
            <v>Intiqal</v>
          </cell>
          <cell r="N779" t="str">
            <v>Not Available</v>
          </cell>
          <cell r="O779">
            <v>0</v>
          </cell>
          <cell r="P779">
            <v>10</v>
          </cell>
          <cell r="Q779">
            <v>8</v>
          </cell>
          <cell r="R779">
            <v>31628</v>
          </cell>
          <cell r="S779">
            <v>0</v>
          </cell>
          <cell r="T779">
            <v>1</v>
          </cell>
          <cell r="U779">
            <v>-10</v>
          </cell>
          <cell r="V779">
            <v>-3</v>
          </cell>
          <cell r="X779" t="str">
            <v>Sardar Tanveer Ilyas</v>
          </cell>
        </row>
        <row r="780">
          <cell r="K780">
            <v>272</v>
          </cell>
          <cell r="M780" t="str">
            <v>Intiqal</v>
          </cell>
          <cell r="N780" t="str">
            <v>Not Available</v>
          </cell>
          <cell r="O780">
            <v>0</v>
          </cell>
          <cell r="P780">
            <v>10</v>
          </cell>
          <cell r="Q780">
            <v>8</v>
          </cell>
          <cell r="R780">
            <v>31628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X780" t="str">
            <v>Sardar Tanveer Ilyas</v>
          </cell>
        </row>
        <row r="781">
          <cell r="K781">
            <v>1989</v>
          </cell>
          <cell r="M781" t="str">
            <v>Intiqal</v>
          </cell>
          <cell r="N781" t="str">
            <v>Not Available</v>
          </cell>
          <cell r="O781">
            <v>1</v>
          </cell>
          <cell r="P781">
            <v>10</v>
          </cell>
          <cell r="Q781">
            <v>0</v>
          </cell>
          <cell r="R781">
            <v>197500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X781" t="str">
            <v>Sardar Tanveer Ilyas</v>
          </cell>
        </row>
        <row r="782">
          <cell r="K782">
            <v>2054</v>
          </cell>
          <cell r="M782" t="str">
            <v>Intiqal</v>
          </cell>
          <cell r="N782" t="str">
            <v>Not Available</v>
          </cell>
          <cell r="O782">
            <v>0</v>
          </cell>
          <cell r="P782">
            <v>10</v>
          </cell>
          <cell r="Q782">
            <v>0</v>
          </cell>
          <cell r="R782">
            <v>96500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X782" t="str">
            <v>Sardar Tanveer Ilyas</v>
          </cell>
        </row>
        <row r="783">
          <cell r="K783">
            <v>2028</v>
          </cell>
          <cell r="M783" t="str">
            <v>Intiqal</v>
          </cell>
          <cell r="N783" t="str">
            <v>Not Available</v>
          </cell>
          <cell r="O783">
            <v>0</v>
          </cell>
          <cell r="P783">
            <v>7</v>
          </cell>
          <cell r="Q783">
            <v>0</v>
          </cell>
          <cell r="R783">
            <v>112850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X783" t="str">
            <v>Sardar Tanveer Ilyas</v>
          </cell>
        </row>
        <row r="784">
          <cell r="K784">
            <v>2032</v>
          </cell>
          <cell r="M784" t="str">
            <v>Intiqal</v>
          </cell>
          <cell r="N784" t="str">
            <v>Not Available</v>
          </cell>
          <cell r="O784">
            <v>0</v>
          </cell>
          <cell r="P784">
            <v>10</v>
          </cell>
          <cell r="Q784">
            <v>0</v>
          </cell>
          <cell r="R784">
            <v>220000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X784" t="str">
            <v>Sardar Tanveer Ilyas</v>
          </cell>
        </row>
        <row r="785">
          <cell r="K785">
            <v>2033</v>
          </cell>
          <cell r="M785" t="str">
            <v>Intiqal</v>
          </cell>
          <cell r="N785" t="str">
            <v>Not Available</v>
          </cell>
          <cell r="O785">
            <v>0</v>
          </cell>
          <cell r="P785">
            <v>5</v>
          </cell>
          <cell r="Q785">
            <v>0</v>
          </cell>
          <cell r="R785">
            <v>94250</v>
          </cell>
          <cell r="S785">
            <v>0</v>
          </cell>
          <cell r="T785">
            <v>0</v>
          </cell>
          <cell r="U785">
            <v>5</v>
          </cell>
          <cell r="V785">
            <v>0</v>
          </cell>
          <cell r="X785" t="str">
            <v>Sardar Tanveer Ilyas</v>
          </cell>
        </row>
        <row r="786">
          <cell r="K786">
            <v>2000</v>
          </cell>
          <cell r="M786" t="str">
            <v>Intiqal</v>
          </cell>
          <cell r="N786" t="str">
            <v>Not Available</v>
          </cell>
          <cell r="O786">
            <v>0</v>
          </cell>
          <cell r="P786">
            <v>5</v>
          </cell>
          <cell r="Q786">
            <v>0</v>
          </cell>
          <cell r="R786">
            <v>45750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X786" t="str">
            <v>Sardar Tanveer Ilyas</v>
          </cell>
        </row>
        <row r="787">
          <cell r="K787">
            <v>2036</v>
          </cell>
          <cell r="M787" t="str">
            <v>Not Available</v>
          </cell>
          <cell r="N787" t="str">
            <v>Not Available</v>
          </cell>
          <cell r="O787">
            <v>0</v>
          </cell>
          <cell r="P787">
            <v>5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</row>
        <row r="788">
          <cell r="K788">
            <v>2079</v>
          </cell>
          <cell r="M788" t="str">
            <v>Intiqal</v>
          </cell>
          <cell r="N788" t="str">
            <v>Not Available</v>
          </cell>
          <cell r="O788">
            <v>0</v>
          </cell>
          <cell r="P788">
            <v>10</v>
          </cell>
          <cell r="Q788">
            <v>0</v>
          </cell>
          <cell r="R788">
            <v>97000</v>
          </cell>
          <cell r="S788">
            <v>0</v>
          </cell>
          <cell r="T788">
            <v>1</v>
          </cell>
          <cell r="U788">
            <v>1</v>
          </cell>
          <cell r="V788">
            <v>0</v>
          </cell>
          <cell r="X788" t="str">
            <v>Sardar Tanveer Ilyas</v>
          </cell>
        </row>
        <row r="789">
          <cell r="K789">
            <v>2078</v>
          </cell>
          <cell r="M789" t="str">
            <v>Intiqal</v>
          </cell>
          <cell r="N789" t="str">
            <v>Not Available</v>
          </cell>
          <cell r="O789">
            <v>1</v>
          </cell>
          <cell r="P789">
            <v>1</v>
          </cell>
          <cell r="Q789">
            <v>0</v>
          </cell>
          <cell r="R789">
            <v>192550</v>
          </cell>
          <cell r="S789">
            <v>0</v>
          </cell>
          <cell r="T789">
            <v>-1</v>
          </cell>
          <cell r="U789">
            <v>9</v>
          </cell>
          <cell r="V789">
            <v>0</v>
          </cell>
          <cell r="X789" t="str">
            <v>Sardar Tanveer Ilyas</v>
          </cell>
        </row>
        <row r="790">
          <cell r="K790" t="str">
            <v>370 intiqal not on our name, qaiser sb promised to get it transfer soon</v>
          </cell>
          <cell r="M790" t="str">
            <v>Not Available</v>
          </cell>
          <cell r="N790" t="str">
            <v>Not Available</v>
          </cell>
          <cell r="O790">
            <v>0</v>
          </cell>
          <cell r="P790">
            <v>9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</row>
        <row r="791">
          <cell r="K791">
            <v>2250</v>
          </cell>
          <cell r="M791" t="str">
            <v>Intiqal</v>
          </cell>
          <cell r="N791" t="str">
            <v>Not Available</v>
          </cell>
          <cell r="O791">
            <v>12</v>
          </cell>
          <cell r="P791">
            <v>1</v>
          </cell>
          <cell r="Q791">
            <v>0</v>
          </cell>
          <cell r="R791">
            <v>1034050</v>
          </cell>
          <cell r="S791">
            <v>1200000</v>
          </cell>
          <cell r="T791">
            <v>12</v>
          </cell>
          <cell r="U791">
            <v>1</v>
          </cell>
          <cell r="V791">
            <v>0</v>
          </cell>
          <cell r="X791" t="str">
            <v>Sardar Tanveer Ilyas</v>
          </cell>
        </row>
        <row r="792">
          <cell r="K792">
            <v>2249</v>
          </cell>
          <cell r="M792" t="str">
            <v>Intiqal</v>
          </cell>
          <cell r="N792" t="str">
            <v>Not Available</v>
          </cell>
          <cell r="O792">
            <v>12</v>
          </cell>
          <cell r="P792">
            <v>1</v>
          </cell>
          <cell r="Q792">
            <v>0</v>
          </cell>
          <cell r="R792">
            <v>1033550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X792" t="str">
            <v>Sardar Tanveer Ilyas</v>
          </cell>
        </row>
        <row r="793">
          <cell r="K793">
            <v>2096</v>
          </cell>
          <cell r="M793" t="str">
            <v>Intiqal</v>
          </cell>
          <cell r="N793" t="str">
            <v>Not Available</v>
          </cell>
          <cell r="O793">
            <v>3</v>
          </cell>
          <cell r="P793">
            <v>10</v>
          </cell>
          <cell r="Q793">
            <v>3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X793" t="str">
            <v>Sardar Tanveer Ilyas</v>
          </cell>
        </row>
        <row r="794">
          <cell r="K794">
            <v>2170</v>
          </cell>
          <cell r="M794" t="str">
            <v>Intiqal</v>
          </cell>
          <cell r="N794" t="str">
            <v>Not Available</v>
          </cell>
          <cell r="O794">
            <v>0</v>
          </cell>
          <cell r="P794">
            <v>10</v>
          </cell>
          <cell r="Q794">
            <v>0</v>
          </cell>
          <cell r="R794">
            <v>0</v>
          </cell>
          <cell r="S794">
            <v>25000</v>
          </cell>
          <cell r="T794">
            <v>0</v>
          </cell>
          <cell r="U794">
            <v>0</v>
          </cell>
          <cell r="V794">
            <v>0</v>
          </cell>
          <cell r="X794" t="str">
            <v>Sardar Tanveer Ilyas</v>
          </cell>
        </row>
        <row r="795">
          <cell r="K795">
            <v>2183</v>
          </cell>
          <cell r="M795" t="str">
            <v>Intiqal</v>
          </cell>
          <cell r="N795" t="str">
            <v>Not Available</v>
          </cell>
          <cell r="O795">
            <v>0</v>
          </cell>
          <cell r="P795">
            <v>5</v>
          </cell>
          <cell r="Q795">
            <v>0</v>
          </cell>
          <cell r="R795">
            <v>47625</v>
          </cell>
          <cell r="S795">
            <v>31000</v>
          </cell>
          <cell r="T795">
            <v>0</v>
          </cell>
          <cell r="U795">
            <v>0</v>
          </cell>
          <cell r="V795">
            <v>0</v>
          </cell>
          <cell r="X795" t="str">
            <v>Sardar Tanveer Ilyas</v>
          </cell>
        </row>
        <row r="796">
          <cell r="K796">
            <v>2182</v>
          </cell>
          <cell r="M796" t="str">
            <v>Intiqal</v>
          </cell>
          <cell r="N796" t="str">
            <v>Not Available</v>
          </cell>
          <cell r="O796">
            <v>1</v>
          </cell>
          <cell r="P796">
            <v>5</v>
          </cell>
          <cell r="Q796">
            <v>0</v>
          </cell>
          <cell r="R796">
            <v>238750</v>
          </cell>
          <cell r="S796">
            <v>155000</v>
          </cell>
          <cell r="T796">
            <v>0</v>
          </cell>
          <cell r="U796">
            <v>0</v>
          </cell>
          <cell r="V796">
            <v>0</v>
          </cell>
          <cell r="X796" t="str">
            <v>Sardar Tanveer Ilyas</v>
          </cell>
        </row>
        <row r="797">
          <cell r="K797">
            <v>2171</v>
          </cell>
          <cell r="M797" t="str">
            <v>Intiqal</v>
          </cell>
          <cell r="N797" t="str">
            <v>Not Available</v>
          </cell>
          <cell r="O797">
            <v>0</v>
          </cell>
          <cell r="P797">
            <v>3</v>
          </cell>
          <cell r="Q797">
            <v>6.75</v>
          </cell>
          <cell r="R797">
            <v>2200000</v>
          </cell>
          <cell r="S797">
            <v>60874</v>
          </cell>
          <cell r="T797">
            <v>0</v>
          </cell>
          <cell r="U797">
            <v>0</v>
          </cell>
          <cell r="V797">
            <v>0</v>
          </cell>
          <cell r="X797" t="str">
            <v>Sardar Tanveer Ilyas</v>
          </cell>
        </row>
        <row r="798">
          <cell r="K798">
            <v>361</v>
          </cell>
          <cell r="M798" t="str">
            <v>Intiqal</v>
          </cell>
          <cell r="N798" t="str">
            <v>Not Available</v>
          </cell>
          <cell r="O798">
            <v>0</v>
          </cell>
          <cell r="P798">
            <v>3</v>
          </cell>
          <cell r="Q798">
            <v>0</v>
          </cell>
          <cell r="R798">
            <v>0</v>
          </cell>
          <cell r="S798">
            <v>0</v>
          </cell>
          <cell r="T798">
            <v>1</v>
          </cell>
          <cell r="U798">
            <v>-2</v>
          </cell>
          <cell r="V798">
            <v>6</v>
          </cell>
          <cell r="X798" t="str">
            <v>Sardar Tanveer Ilyas</v>
          </cell>
        </row>
        <row r="799">
          <cell r="K799">
            <v>366</v>
          </cell>
          <cell r="M799" t="str">
            <v>Intiqal</v>
          </cell>
          <cell r="N799" t="str">
            <v>Not Available</v>
          </cell>
          <cell r="O799">
            <v>0</v>
          </cell>
          <cell r="P799">
            <v>9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-6</v>
          </cell>
          <cell r="V799">
            <v>0</v>
          </cell>
          <cell r="X799" t="str">
            <v>Sardar Tanveer Ilyas</v>
          </cell>
        </row>
        <row r="800">
          <cell r="K800">
            <v>365</v>
          </cell>
          <cell r="M800" t="str">
            <v>Intiqal</v>
          </cell>
          <cell r="N800" t="str">
            <v>Not Available</v>
          </cell>
          <cell r="O800">
            <v>0</v>
          </cell>
          <cell r="P800">
            <v>1</v>
          </cell>
          <cell r="Q800">
            <v>5</v>
          </cell>
          <cell r="R800">
            <v>0</v>
          </cell>
          <cell r="S800">
            <v>0</v>
          </cell>
          <cell r="T800">
            <v>0</v>
          </cell>
          <cell r="U800">
            <v>8</v>
          </cell>
          <cell r="V800">
            <v>-5</v>
          </cell>
          <cell r="X800" t="str">
            <v>Sardar Tanveer Ilyas</v>
          </cell>
        </row>
        <row r="801">
          <cell r="K801">
            <v>364</v>
          </cell>
          <cell r="M801" t="str">
            <v>Intiqal</v>
          </cell>
          <cell r="N801" t="str">
            <v>Not Available</v>
          </cell>
          <cell r="O801">
            <v>0</v>
          </cell>
          <cell r="P801">
            <v>8</v>
          </cell>
          <cell r="Q801">
            <v>1</v>
          </cell>
          <cell r="R801">
            <v>0</v>
          </cell>
          <cell r="S801">
            <v>0</v>
          </cell>
          <cell r="T801">
            <v>0</v>
          </cell>
          <cell r="U801">
            <v>-7</v>
          </cell>
          <cell r="V801">
            <v>4</v>
          </cell>
          <cell r="X801" t="str">
            <v>Sardar Tanveer Ilyas</v>
          </cell>
        </row>
        <row r="802">
          <cell r="K802">
            <v>333</v>
          </cell>
          <cell r="M802" t="str">
            <v>Not Available</v>
          </cell>
          <cell r="N802" t="str">
            <v>Not Available</v>
          </cell>
          <cell r="O802">
            <v>0</v>
          </cell>
          <cell r="P802">
            <v>11</v>
          </cell>
          <cell r="Q802">
            <v>3</v>
          </cell>
          <cell r="R802">
            <v>0</v>
          </cell>
          <cell r="S802">
            <v>0</v>
          </cell>
          <cell r="T802">
            <v>1</v>
          </cell>
          <cell r="U802">
            <v>-11</v>
          </cell>
          <cell r="V802">
            <v>-3</v>
          </cell>
        </row>
        <row r="803">
          <cell r="K803">
            <v>332</v>
          </cell>
          <cell r="M803" t="str">
            <v>Not Available</v>
          </cell>
          <cell r="N803" t="str">
            <v>Not Available</v>
          </cell>
          <cell r="O803">
            <v>0</v>
          </cell>
          <cell r="P803">
            <v>8</v>
          </cell>
          <cell r="Q803">
            <v>6</v>
          </cell>
          <cell r="R803">
            <v>0</v>
          </cell>
          <cell r="S803">
            <v>0</v>
          </cell>
          <cell r="T803">
            <v>0</v>
          </cell>
          <cell r="U803">
            <v>3</v>
          </cell>
          <cell r="V803">
            <v>-3</v>
          </cell>
        </row>
        <row r="804">
          <cell r="K804">
            <v>2181</v>
          </cell>
          <cell r="M804" t="str">
            <v>Intiqal</v>
          </cell>
          <cell r="N804" t="str">
            <v>Not Available</v>
          </cell>
          <cell r="O804">
            <v>0</v>
          </cell>
          <cell r="P804">
            <v>10</v>
          </cell>
          <cell r="Q804">
            <v>0</v>
          </cell>
          <cell r="R804">
            <v>77500</v>
          </cell>
          <cell r="S804">
            <v>25000</v>
          </cell>
          <cell r="T804">
            <v>0</v>
          </cell>
          <cell r="U804">
            <v>0</v>
          </cell>
          <cell r="V804">
            <v>0</v>
          </cell>
          <cell r="X804" t="str">
            <v>Sardar Tanveer Ilyas</v>
          </cell>
        </row>
        <row r="805">
          <cell r="K805">
            <v>3268</v>
          </cell>
          <cell r="M805" t="str">
            <v>Intiqal</v>
          </cell>
          <cell r="N805" t="str">
            <v>Not Available</v>
          </cell>
          <cell r="O805">
            <v>2</v>
          </cell>
          <cell r="P805">
            <v>3</v>
          </cell>
          <cell r="Q805">
            <v>0</v>
          </cell>
          <cell r="R805">
            <v>0</v>
          </cell>
          <cell r="S805">
            <v>0</v>
          </cell>
          <cell r="T805">
            <v>2</v>
          </cell>
          <cell r="U805">
            <v>3</v>
          </cell>
          <cell r="V805">
            <v>0</v>
          </cell>
          <cell r="X805" t="str">
            <v>Asma Tanveer</v>
          </cell>
        </row>
        <row r="806">
          <cell r="K806">
            <v>3267</v>
          </cell>
          <cell r="M806" t="str">
            <v>Intiqal</v>
          </cell>
          <cell r="N806" t="str">
            <v>Not Available</v>
          </cell>
          <cell r="O806">
            <v>2</v>
          </cell>
          <cell r="P806">
            <v>3</v>
          </cell>
          <cell r="Q806">
            <v>0</v>
          </cell>
          <cell r="R806">
            <v>662200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X806" t="str">
            <v>Asma Tanveer</v>
          </cell>
        </row>
        <row r="807">
          <cell r="K807">
            <v>2410</v>
          </cell>
          <cell r="M807" t="str">
            <v>Intiqal</v>
          </cell>
          <cell r="N807" t="str">
            <v>Not Available</v>
          </cell>
          <cell r="O807">
            <v>0</v>
          </cell>
          <cell r="P807">
            <v>12</v>
          </cell>
          <cell r="Q807">
            <v>1.5</v>
          </cell>
          <cell r="R807">
            <v>60000</v>
          </cell>
          <cell r="S807">
            <v>0</v>
          </cell>
          <cell r="T807">
            <v>4</v>
          </cell>
          <cell r="U807">
            <v>-2</v>
          </cell>
          <cell r="V807">
            <v>0</v>
          </cell>
          <cell r="W807" t="str">
            <v>Sultan Begum</v>
          </cell>
          <cell r="X807" t="str">
            <v>Sardar Tanveer Ilyas</v>
          </cell>
        </row>
        <row r="808">
          <cell r="K808">
            <v>2404</v>
          </cell>
          <cell r="M808" t="str">
            <v>Intiqal</v>
          </cell>
          <cell r="N808" t="str">
            <v>Not Available</v>
          </cell>
          <cell r="O808">
            <v>3</v>
          </cell>
          <cell r="P808">
            <v>18</v>
          </cell>
          <cell r="Q808">
            <v>0</v>
          </cell>
          <cell r="R808">
            <v>710000</v>
          </cell>
          <cell r="S808">
            <v>0</v>
          </cell>
          <cell r="T808">
            <v>-3</v>
          </cell>
          <cell r="U808">
            <v>-6</v>
          </cell>
          <cell r="V808">
            <v>1.5</v>
          </cell>
          <cell r="X808" t="str">
            <v>Sardar Tanveer Ilyas</v>
          </cell>
        </row>
        <row r="809">
          <cell r="K809">
            <v>389</v>
          </cell>
          <cell r="M809" t="str">
            <v>Intiqal</v>
          </cell>
          <cell r="N809" t="str">
            <v>Not Available</v>
          </cell>
          <cell r="O809">
            <v>4</v>
          </cell>
          <cell r="P809">
            <v>2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 t="str">
            <v>Munawar Jan</v>
          </cell>
          <cell r="X809" t="str">
            <v>Sardar Tanveer Ilyas</v>
          </cell>
        </row>
        <row r="810">
          <cell r="K810">
            <v>382</v>
          </cell>
          <cell r="M810" t="str">
            <v>Intiqal</v>
          </cell>
          <cell r="N810" t="str">
            <v>Not Available</v>
          </cell>
          <cell r="O810">
            <v>0</v>
          </cell>
          <cell r="P810">
            <v>15</v>
          </cell>
          <cell r="Q810">
            <v>0</v>
          </cell>
          <cell r="R810">
            <v>0</v>
          </cell>
          <cell r="S810">
            <v>0</v>
          </cell>
          <cell r="T810">
            <v>1</v>
          </cell>
          <cell r="U810">
            <v>4</v>
          </cell>
          <cell r="V810">
            <v>0</v>
          </cell>
          <cell r="W810" t="str">
            <v>Mumraiz Akhtar</v>
          </cell>
          <cell r="X810" t="str">
            <v>Sardar Tanveer Ilyas</v>
          </cell>
        </row>
        <row r="811">
          <cell r="K811">
            <v>378</v>
          </cell>
          <cell r="M811" t="str">
            <v>Intiqal</v>
          </cell>
          <cell r="N811" t="str">
            <v>Not Available</v>
          </cell>
          <cell r="O811">
            <v>0</v>
          </cell>
          <cell r="P811">
            <v>9</v>
          </cell>
          <cell r="Q811">
            <v>5</v>
          </cell>
          <cell r="R811">
            <v>0</v>
          </cell>
          <cell r="S811">
            <v>0</v>
          </cell>
          <cell r="T811">
            <v>0</v>
          </cell>
          <cell r="U811">
            <v>6</v>
          </cell>
          <cell r="V811">
            <v>-5</v>
          </cell>
          <cell r="W811" t="str">
            <v>Asad Shahzad</v>
          </cell>
          <cell r="X811" t="str">
            <v>Sardar Tanveer Ilyas</v>
          </cell>
        </row>
        <row r="812">
          <cell r="K812">
            <v>391</v>
          </cell>
          <cell r="M812" t="str">
            <v>Intiqal</v>
          </cell>
          <cell r="N812" t="str">
            <v>Not Available</v>
          </cell>
          <cell r="O812">
            <v>0</v>
          </cell>
          <cell r="P812">
            <v>14</v>
          </cell>
          <cell r="Q812">
            <v>4</v>
          </cell>
          <cell r="R812">
            <v>0</v>
          </cell>
          <cell r="S812">
            <v>0</v>
          </cell>
          <cell r="T812">
            <v>0</v>
          </cell>
          <cell r="U812">
            <v>-5</v>
          </cell>
          <cell r="V812">
            <v>1</v>
          </cell>
          <cell r="W812" t="str">
            <v>Saleem Akhtar</v>
          </cell>
          <cell r="X812" t="str">
            <v>Sardar Tanveer Ilyas</v>
          </cell>
        </row>
        <row r="813">
          <cell r="M813" t="str">
            <v>Not Available</v>
          </cell>
          <cell r="N813" t="str">
            <v>Not Available</v>
          </cell>
          <cell r="O813">
            <v>0</v>
          </cell>
          <cell r="P813">
            <v>3</v>
          </cell>
          <cell r="Q813">
            <v>0</v>
          </cell>
          <cell r="R813">
            <v>0</v>
          </cell>
          <cell r="S813">
            <v>0</v>
          </cell>
          <cell r="T813">
            <v>2</v>
          </cell>
          <cell r="U813">
            <v>0</v>
          </cell>
          <cell r="V813">
            <v>0</v>
          </cell>
        </row>
        <row r="814">
          <cell r="K814">
            <v>2218</v>
          </cell>
          <cell r="M814" t="str">
            <v>Intiqal</v>
          </cell>
          <cell r="N814" t="str">
            <v>Not Available</v>
          </cell>
          <cell r="O814">
            <v>0</v>
          </cell>
          <cell r="P814">
            <v>10</v>
          </cell>
          <cell r="Q814">
            <v>0</v>
          </cell>
          <cell r="R814">
            <v>66500</v>
          </cell>
          <cell r="S814">
            <v>0</v>
          </cell>
          <cell r="T814">
            <v>0</v>
          </cell>
          <cell r="U814">
            <v>-7</v>
          </cell>
          <cell r="V814">
            <v>0</v>
          </cell>
          <cell r="X814" t="str">
            <v>Sardar Tanveer Ilyas</v>
          </cell>
        </row>
        <row r="815">
          <cell r="K815">
            <v>2180</v>
          </cell>
          <cell r="M815" t="str">
            <v>Intiqal</v>
          </cell>
          <cell r="N815" t="str">
            <v>Not Available</v>
          </cell>
          <cell r="O815">
            <v>1</v>
          </cell>
          <cell r="P815">
            <v>10</v>
          </cell>
          <cell r="Q815">
            <v>0</v>
          </cell>
          <cell r="R815">
            <v>227500</v>
          </cell>
          <cell r="S815">
            <v>0</v>
          </cell>
          <cell r="T815">
            <v>-1</v>
          </cell>
          <cell r="U815">
            <v>0</v>
          </cell>
          <cell r="V815">
            <v>0</v>
          </cell>
          <cell r="X815" t="str">
            <v>Sardar Tanveer Ilyas</v>
          </cell>
        </row>
        <row r="816">
          <cell r="K816">
            <v>2205</v>
          </cell>
          <cell r="M816" t="str">
            <v>Intiqal</v>
          </cell>
          <cell r="N816" t="str">
            <v>Not Available</v>
          </cell>
          <cell r="O816">
            <v>0</v>
          </cell>
          <cell r="P816">
            <v>5</v>
          </cell>
          <cell r="Q816">
            <v>0</v>
          </cell>
          <cell r="R816">
            <v>38750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X816" t="str">
            <v>Sardar Tanveer Ilyas</v>
          </cell>
        </row>
        <row r="817">
          <cell r="K817">
            <v>2998</v>
          </cell>
          <cell r="L817">
            <v>21608</v>
          </cell>
          <cell r="M817" t="str">
            <v>Intiqal</v>
          </cell>
          <cell r="N817" t="str">
            <v>Registry</v>
          </cell>
          <cell r="O817">
            <v>0</v>
          </cell>
          <cell r="P817">
            <v>6</v>
          </cell>
          <cell r="Q817">
            <v>0</v>
          </cell>
          <cell r="R817">
            <v>24700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 t="str">
            <v>Abdul manan</v>
          </cell>
          <cell r="X817" t="str">
            <v>Sardar Tanveer Ilyas</v>
          </cell>
          <cell r="Y817">
            <v>44147</v>
          </cell>
        </row>
        <row r="818">
          <cell r="K818">
            <v>3031</v>
          </cell>
          <cell r="L818">
            <v>20978</v>
          </cell>
          <cell r="M818" t="str">
            <v>Intiqal</v>
          </cell>
          <cell r="N818" t="str">
            <v>Registry</v>
          </cell>
          <cell r="O818">
            <v>0</v>
          </cell>
          <cell r="P818">
            <v>5</v>
          </cell>
          <cell r="Q818">
            <v>0</v>
          </cell>
          <cell r="R818">
            <v>23050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 t="str">
            <v>Iftikhar Ahmed</v>
          </cell>
          <cell r="X818" t="str">
            <v>Sardar Tanveer Ilyas</v>
          </cell>
          <cell r="Y818">
            <v>44142</v>
          </cell>
        </row>
        <row r="819">
          <cell r="K819">
            <v>398</v>
          </cell>
          <cell r="M819" t="str">
            <v>Intiqal</v>
          </cell>
          <cell r="N819" t="str">
            <v>Not Available</v>
          </cell>
          <cell r="O819">
            <v>2</v>
          </cell>
          <cell r="P819">
            <v>0</v>
          </cell>
          <cell r="Q819">
            <v>0</v>
          </cell>
          <cell r="R819">
            <v>195500</v>
          </cell>
          <cell r="S819">
            <v>215000</v>
          </cell>
          <cell r="T819">
            <v>0</v>
          </cell>
          <cell r="U819">
            <v>0</v>
          </cell>
          <cell r="V819">
            <v>0</v>
          </cell>
          <cell r="X819" t="str">
            <v>Sardar Tanveer Ilyas</v>
          </cell>
        </row>
        <row r="820">
          <cell r="K820">
            <v>2239</v>
          </cell>
          <cell r="M820" t="str">
            <v>Intiqal</v>
          </cell>
          <cell r="N820" t="str">
            <v>Not Available</v>
          </cell>
          <cell r="O820">
            <v>0</v>
          </cell>
          <cell r="P820">
            <v>5</v>
          </cell>
          <cell r="Q820">
            <v>0</v>
          </cell>
          <cell r="R820">
            <v>33250</v>
          </cell>
          <cell r="S820">
            <v>38750</v>
          </cell>
          <cell r="T820">
            <v>0</v>
          </cell>
          <cell r="U820">
            <v>0</v>
          </cell>
          <cell r="V820">
            <v>0</v>
          </cell>
          <cell r="X820" t="str">
            <v>Sardar Tanveer Ilyas</v>
          </cell>
        </row>
        <row r="821">
          <cell r="K821">
            <v>2217</v>
          </cell>
          <cell r="M821" t="str">
            <v>Intiqal</v>
          </cell>
          <cell r="N821" t="str">
            <v>Not Available</v>
          </cell>
          <cell r="O821">
            <v>3</v>
          </cell>
          <cell r="P821">
            <v>4</v>
          </cell>
          <cell r="Q821">
            <v>2</v>
          </cell>
          <cell r="R821">
            <v>420700</v>
          </cell>
          <cell r="S821">
            <v>301025</v>
          </cell>
          <cell r="T821">
            <v>0</v>
          </cell>
          <cell r="U821">
            <v>0</v>
          </cell>
          <cell r="V821">
            <v>0</v>
          </cell>
          <cell r="W821" t="str">
            <v>Mazhar Hussain</v>
          </cell>
          <cell r="X821" t="str">
            <v>Sardar Tanveer Ilyas</v>
          </cell>
        </row>
        <row r="822">
          <cell r="K822">
            <v>2267</v>
          </cell>
          <cell r="M822" t="str">
            <v>Intiqal</v>
          </cell>
          <cell r="N822" t="str">
            <v>Not Available</v>
          </cell>
          <cell r="O822">
            <v>0</v>
          </cell>
          <cell r="P822">
            <v>8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X822" t="str">
            <v>Sardar Tanveer Ilyas</v>
          </cell>
        </row>
        <row r="823">
          <cell r="K823">
            <v>4192</v>
          </cell>
          <cell r="M823" t="str">
            <v>Intiqal</v>
          </cell>
          <cell r="N823" t="str">
            <v>Not Available</v>
          </cell>
          <cell r="O823">
            <v>5</v>
          </cell>
          <cell r="P823">
            <v>0</v>
          </cell>
          <cell r="Q823">
            <v>0</v>
          </cell>
          <cell r="R823">
            <v>316000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X823" t="str">
            <v>Sardar Tanveer Ilyas</v>
          </cell>
        </row>
        <row r="824">
          <cell r="K824">
            <v>2277</v>
          </cell>
          <cell r="M824" t="str">
            <v>Intiqal</v>
          </cell>
          <cell r="N824" t="str">
            <v>Not Available</v>
          </cell>
          <cell r="O824">
            <v>0</v>
          </cell>
          <cell r="P824">
            <v>9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X824" t="str">
            <v>Sardar Tanveer Ilyas</v>
          </cell>
        </row>
        <row r="825">
          <cell r="K825">
            <v>4759</v>
          </cell>
          <cell r="L825">
            <v>4576</v>
          </cell>
          <cell r="M825" t="str">
            <v>Intiqal</v>
          </cell>
          <cell r="N825" t="str">
            <v>Registry</v>
          </cell>
          <cell r="O825">
            <v>10</v>
          </cell>
          <cell r="P825">
            <v>0</v>
          </cell>
          <cell r="Q825">
            <v>0</v>
          </cell>
          <cell r="R825">
            <v>545300</v>
          </cell>
          <cell r="S825">
            <v>0</v>
          </cell>
          <cell r="T825">
            <v>1</v>
          </cell>
          <cell r="U825">
            <v>0</v>
          </cell>
          <cell r="V825">
            <v>0</v>
          </cell>
          <cell r="W825" t="str">
            <v>Arsalan ahmed</v>
          </cell>
          <cell r="X825" t="str">
            <v>Sardar Yasir Ilyas</v>
          </cell>
          <cell r="Y825">
            <v>44231</v>
          </cell>
        </row>
        <row r="826">
          <cell r="K826">
            <v>4196</v>
          </cell>
          <cell r="M826" t="str">
            <v>Intiqal</v>
          </cell>
          <cell r="N826" t="str">
            <v>Not Available</v>
          </cell>
          <cell r="O826">
            <v>1</v>
          </cell>
          <cell r="P826">
            <v>0</v>
          </cell>
          <cell r="Q826">
            <v>0</v>
          </cell>
          <cell r="R826">
            <v>44000</v>
          </cell>
          <cell r="S826">
            <v>0</v>
          </cell>
          <cell r="T826">
            <v>9</v>
          </cell>
          <cell r="U826">
            <v>0</v>
          </cell>
          <cell r="V826">
            <v>0</v>
          </cell>
          <cell r="X826" t="str">
            <v>Sardar Tanveer Ilyas</v>
          </cell>
        </row>
        <row r="827">
          <cell r="K827">
            <v>425</v>
          </cell>
          <cell r="M827" t="str">
            <v>Intiqal</v>
          </cell>
          <cell r="N827" t="str">
            <v>Not Available</v>
          </cell>
          <cell r="O827">
            <v>0</v>
          </cell>
          <cell r="P827">
            <v>5</v>
          </cell>
          <cell r="Q827">
            <v>0</v>
          </cell>
          <cell r="R827">
            <v>0</v>
          </cell>
          <cell r="S827">
            <v>0</v>
          </cell>
          <cell r="T827">
            <v>24</v>
          </cell>
          <cell r="U827">
            <v>-3</v>
          </cell>
          <cell r="V827">
            <v>0</v>
          </cell>
          <cell r="W827" t="str">
            <v>Nusrat</v>
          </cell>
          <cell r="X827" t="str">
            <v>Sardar Tanveer Ilyas</v>
          </cell>
        </row>
        <row r="828">
          <cell r="K828">
            <v>424</v>
          </cell>
          <cell r="M828" t="str">
            <v>Intiqal</v>
          </cell>
          <cell r="N828" t="str">
            <v>Not Available</v>
          </cell>
          <cell r="O828">
            <v>0</v>
          </cell>
          <cell r="P828">
            <v>4</v>
          </cell>
          <cell r="Q828">
            <v>3</v>
          </cell>
          <cell r="R828">
            <v>0</v>
          </cell>
          <cell r="S828">
            <v>0</v>
          </cell>
          <cell r="T828">
            <v>0</v>
          </cell>
          <cell r="U828">
            <v>1</v>
          </cell>
          <cell r="V828">
            <v>-3</v>
          </cell>
          <cell r="W828" t="str">
            <v>Muhammad Ashfaq</v>
          </cell>
          <cell r="X828" t="str">
            <v>Sardar Tanveer Ilyas</v>
          </cell>
        </row>
        <row r="829">
          <cell r="K829">
            <v>423</v>
          </cell>
          <cell r="M829" t="str">
            <v>Intiqal</v>
          </cell>
          <cell r="N829" t="str">
            <v>Not Available</v>
          </cell>
          <cell r="O829">
            <v>1</v>
          </cell>
          <cell r="P829">
            <v>5</v>
          </cell>
          <cell r="Q829">
            <v>3</v>
          </cell>
          <cell r="R829">
            <v>0</v>
          </cell>
          <cell r="S829">
            <v>0</v>
          </cell>
          <cell r="T829">
            <v>-1</v>
          </cell>
          <cell r="U829">
            <v>-1</v>
          </cell>
          <cell r="V829">
            <v>0</v>
          </cell>
          <cell r="W829" t="str">
            <v>Muhammad Ashfaq</v>
          </cell>
          <cell r="X829" t="str">
            <v>Sardar Tanveer Ilyas</v>
          </cell>
        </row>
        <row r="830">
          <cell r="K830">
            <v>392</v>
          </cell>
          <cell r="M830" t="str">
            <v>Intiqal</v>
          </cell>
          <cell r="N830" t="str">
            <v>Not Available</v>
          </cell>
          <cell r="O830">
            <v>0</v>
          </cell>
          <cell r="P830">
            <v>9</v>
          </cell>
          <cell r="Q830">
            <v>0</v>
          </cell>
          <cell r="R830">
            <v>0</v>
          </cell>
          <cell r="S830">
            <v>0</v>
          </cell>
          <cell r="T830">
            <v>1</v>
          </cell>
          <cell r="U830">
            <v>-4</v>
          </cell>
          <cell r="V830">
            <v>3</v>
          </cell>
          <cell r="W830" t="str">
            <v>Safoor Jan</v>
          </cell>
          <cell r="X830" t="str">
            <v>Sardar Tanveer Ilyas</v>
          </cell>
        </row>
        <row r="831">
          <cell r="K831">
            <v>396</v>
          </cell>
          <cell r="M831" t="str">
            <v>Intiqal</v>
          </cell>
          <cell r="N831" t="str">
            <v>Not Available</v>
          </cell>
          <cell r="O831">
            <v>0</v>
          </cell>
          <cell r="P831">
            <v>15</v>
          </cell>
          <cell r="Q831">
            <v>0</v>
          </cell>
          <cell r="R831">
            <v>48700</v>
          </cell>
          <cell r="S831">
            <v>0</v>
          </cell>
          <cell r="T831">
            <v>0</v>
          </cell>
          <cell r="U831">
            <v>-6</v>
          </cell>
          <cell r="V831">
            <v>0</v>
          </cell>
          <cell r="X831" t="str">
            <v>Sardar Tanveer Ilyas</v>
          </cell>
        </row>
        <row r="832">
          <cell r="K832">
            <v>408</v>
          </cell>
          <cell r="M832" t="str">
            <v>Intiqal</v>
          </cell>
          <cell r="N832" t="str">
            <v>Not Available</v>
          </cell>
          <cell r="O832">
            <v>20</v>
          </cell>
          <cell r="P832">
            <v>7</v>
          </cell>
          <cell r="Q832">
            <v>0</v>
          </cell>
          <cell r="R832">
            <v>0</v>
          </cell>
          <cell r="S832">
            <v>40000000</v>
          </cell>
          <cell r="T832">
            <v>-20</v>
          </cell>
          <cell r="U832">
            <v>8</v>
          </cell>
          <cell r="V832">
            <v>0</v>
          </cell>
          <cell r="X832" t="str">
            <v>Sardar Tanveer Ilyas</v>
          </cell>
        </row>
        <row r="833">
          <cell r="K833">
            <v>405</v>
          </cell>
          <cell r="M833" t="str">
            <v>Not Available</v>
          </cell>
          <cell r="N833" t="str">
            <v>Not Available</v>
          </cell>
          <cell r="O833">
            <v>0</v>
          </cell>
          <cell r="P833">
            <v>16</v>
          </cell>
          <cell r="Q833">
            <v>3</v>
          </cell>
          <cell r="R833">
            <v>0</v>
          </cell>
          <cell r="S833">
            <v>0</v>
          </cell>
          <cell r="T833">
            <v>20</v>
          </cell>
          <cell r="U833">
            <v>-9</v>
          </cell>
          <cell r="V833">
            <v>-3</v>
          </cell>
        </row>
        <row r="834">
          <cell r="M834" t="str">
            <v>Not Available</v>
          </cell>
          <cell r="N834" t="str">
            <v>Not Available</v>
          </cell>
          <cell r="O834">
            <v>0</v>
          </cell>
          <cell r="P834">
            <v>2</v>
          </cell>
          <cell r="Q834">
            <v>5.0999999999999996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</row>
        <row r="835">
          <cell r="K835">
            <v>2306</v>
          </cell>
          <cell r="M835" t="str">
            <v>Intiqal</v>
          </cell>
          <cell r="N835" t="str">
            <v>Not Available</v>
          </cell>
          <cell r="O835">
            <v>2</v>
          </cell>
          <cell r="P835">
            <v>0</v>
          </cell>
          <cell r="Q835">
            <v>0</v>
          </cell>
          <cell r="R835">
            <v>263500</v>
          </cell>
          <cell r="S835">
            <v>200000</v>
          </cell>
          <cell r="T835">
            <v>0</v>
          </cell>
          <cell r="U835">
            <v>0</v>
          </cell>
          <cell r="V835">
            <v>0</v>
          </cell>
          <cell r="X835" t="str">
            <v>Sardar Tanveer Ilyas</v>
          </cell>
        </row>
        <row r="836">
          <cell r="K836">
            <v>4201</v>
          </cell>
          <cell r="M836" t="str">
            <v>Intiqal</v>
          </cell>
          <cell r="N836" t="str">
            <v>Not Available</v>
          </cell>
          <cell r="O836">
            <v>0</v>
          </cell>
          <cell r="P836">
            <v>15</v>
          </cell>
          <cell r="Q836">
            <v>0</v>
          </cell>
          <cell r="R836">
            <v>134250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X836" t="str">
            <v>Sardar Tanveer Ilyas</v>
          </cell>
        </row>
        <row r="837">
          <cell r="K837">
            <v>552</v>
          </cell>
          <cell r="L837">
            <v>8806</v>
          </cell>
          <cell r="M837" t="str">
            <v>Intiqal</v>
          </cell>
          <cell r="N837" t="str">
            <v>Registry</v>
          </cell>
          <cell r="O837">
            <v>1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 t="str">
            <v>Khuda Dad</v>
          </cell>
          <cell r="X837" t="str">
            <v>Sardar Yasir Ilyas</v>
          </cell>
          <cell r="Y837">
            <v>44560</v>
          </cell>
        </row>
        <row r="838">
          <cell r="K838">
            <v>4212</v>
          </cell>
          <cell r="M838" t="str">
            <v>Intiqal</v>
          </cell>
          <cell r="N838" t="str">
            <v>Not Available</v>
          </cell>
          <cell r="O838">
            <v>0</v>
          </cell>
          <cell r="P838">
            <v>5</v>
          </cell>
          <cell r="Q838">
            <v>0</v>
          </cell>
          <cell r="R838">
            <v>33600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X838" t="str">
            <v>Sardar Tanveer Ilyas</v>
          </cell>
        </row>
        <row r="839">
          <cell r="K839">
            <v>2397</v>
          </cell>
          <cell r="M839" t="str">
            <v>Intiqal</v>
          </cell>
          <cell r="N839" t="str">
            <v>Not Available</v>
          </cell>
          <cell r="O839">
            <v>0</v>
          </cell>
          <cell r="P839">
            <v>17</v>
          </cell>
          <cell r="Q839">
            <v>6</v>
          </cell>
          <cell r="R839">
            <v>151200</v>
          </cell>
          <cell r="S839">
            <v>0</v>
          </cell>
          <cell r="T839">
            <v>11</v>
          </cell>
          <cell r="U839">
            <v>-4</v>
          </cell>
          <cell r="V839">
            <v>2.85</v>
          </cell>
          <cell r="X839" t="str">
            <v>Sardar Tanveer Ilyas</v>
          </cell>
        </row>
        <row r="840">
          <cell r="K840">
            <v>2396</v>
          </cell>
          <cell r="M840" t="str">
            <v>Intiqal</v>
          </cell>
          <cell r="N840" t="str">
            <v>Not Available</v>
          </cell>
          <cell r="O840">
            <v>10</v>
          </cell>
          <cell r="P840">
            <v>16</v>
          </cell>
          <cell r="Q840">
            <v>2.85</v>
          </cell>
          <cell r="R840">
            <v>1660000</v>
          </cell>
          <cell r="S840">
            <v>0</v>
          </cell>
          <cell r="T840">
            <v>-10</v>
          </cell>
          <cell r="U840">
            <v>1</v>
          </cell>
          <cell r="V840">
            <v>3.15</v>
          </cell>
          <cell r="X840" t="str">
            <v>Sardar Tanveer Ilyas</v>
          </cell>
        </row>
        <row r="841">
          <cell r="K841">
            <v>482</v>
          </cell>
          <cell r="L841">
            <v>20335</v>
          </cell>
          <cell r="M841" t="str">
            <v>Intiqal</v>
          </cell>
          <cell r="N841" t="str">
            <v>Registry</v>
          </cell>
          <cell r="O841">
            <v>5</v>
          </cell>
          <cell r="P841">
            <v>0</v>
          </cell>
          <cell r="Q841">
            <v>0</v>
          </cell>
          <cell r="R841">
            <v>511300</v>
          </cell>
          <cell r="S841">
            <v>0</v>
          </cell>
          <cell r="T841">
            <v>18</v>
          </cell>
          <cell r="U841">
            <v>0</v>
          </cell>
          <cell r="V841">
            <v>0</v>
          </cell>
          <cell r="W841" t="str">
            <v>Syed Zulfiqar hussain Shah</v>
          </cell>
          <cell r="X841" t="str">
            <v>Sardar Tanveer Ilyas</v>
          </cell>
          <cell r="Y841">
            <v>44138</v>
          </cell>
        </row>
        <row r="842">
          <cell r="K842">
            <v>407</v>
          </cell>
          <cell r="M842" t="str">
            <v>Intiqal</v>
          </cell>
          <cell r="N842" t="str">
            <v>Not Available</v>
          </cell>
          <cell r="O842">
            <v>5</v>
          </cell>
          <cell r="P842">
            <v>0</v>
          </cell>
          <cell r="Q842">
            <v>0</v>
          </cell>
          <cell r="R842">
            <v>456000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X842" t="str">
            <v>Sardar Tanveer Ilyas</v>
          </cell>
        </row>
        <row r="843">
          <cell r="K843">
            <v>464</v>
          </cell>
          <cell r="L843">
            <v>21699</v>
          </cell>
          <cell r="M843" t="str">
            <v>Intiqal</v>
          </cell>
          <cell r="N843" t="str">
            <v>Registry</v>
          </cell>
          <cell r="O843">
            <v>13</v>
          </cell>
          <cell r="P843">
            <v>0</v>
          </cell>
          <cell r="Q843">
            <v>0</v>
          </cell>
          <cell r="R843">
            <v>1396300</v>
          </cell>
          <cell r="S843">
            <v>0</v>
          </cell>
          <cell r="T843">
            <v>-8</v>
          </cell>
          <cell r="U843">
            <v>0</v>
          </cell>
          <cell r="V843">
            <v>0</v>
          </cell>
          <cell r="W843" t="str">
            <v>Niaz hussain</v>
          </cell>
          <cell r="X843" t="str">
            <v>Sardar Tanveer Ilyas</v>
          </cell>
          <cell r="Y843">
            <v>44148</v>
          </cell>
        </row>
        <row r="844">
          <cell r="K844">
            <v>3085</v>
          </cell>
          <cell r="L844">
            <v>21606</v>
          </cell>
          <cell r="M844" t="str">
            <v>Intiqal</v>
          </cell>
          <cell r="N844" t="str">
            <v>Registry</v>
          </cell>
          <cell r="O844">
            <v>5</v>
          </cell>
          <cell r="P844">
            <v>16</v>
          </cell>
          <cell r="Q844">
            <v>4.5</v>
          </cell>
          <cell r="R844">
            <v>262525</v>
          </cell>
          <cell r="S844">
            <v>1975000</v>
          </cell>
          <cell r="T844">
            <v>0</v>
          </cell>
          <cell r="U844">
            <v>0</v>
          </cell>
          <cell r="V844">
            <v>0</v>
          </cell>
          <cell r="W844" t="str">
            <v>Muhammad Qasim</v>
          </cell>
          <cell r="X844" t="str">
            <v>Sardar Tanveer Ilyas</v>
          </cell>
          <cell r="Y844">
            <v>44147</v>
          </cell>
        </row>
        <row r="845">
          <cell r="K845">
            <v>2358</v>
          </cell>
          <cell r="M845" t="str">
            <v>Intiqal</v>
          </cell>
          <cell r="N845" t="str">
            <v>Not Available</v>
          </cell>
          <cell r="O845">
            <v>12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4</v>
          </cell>
          <cell r="U845">
            <v>4</v>
          </cell>
          <cell r="V845">
            <v>0</v>
          </cell>
          <cell r="X845" t="str">
            <v>Sardar Tanveer Ilyas</v>
          </cell>
        </row>
        <row r="846">
          <cell r="K846">
            <v>2272</v>
          </cell>
          <cell r="M846" t="str">
            <v>Intiqal</v>
          </cell>
          <cell r="N846" t="str">
            <v>Not Available</v>
          </cell>
          <cell r="O846">
            <v>4</v>
          </cell>
          <cell r="P846">
            <v>4</v>
          </cell>
          <cell r="Q846">
            <v>0</v>
          </cell>
          <cell r="R846">
            <v>0</v>
          </cell>
          <cell r="S846">
            <v>0</v>
          </cell>
          <cell r="T846">
            <v>8</v>
          </cell>
          <cell r="U846">
            <v>-4</v>
          </cell>
          <cell r="V846">
            <v>0</v>
          </cell>
          <cell r="X846" t="str">
            <v>Sardar Tanveer Ilyas</v>
          </cell>
        </row>
        <row r="847">
          <cell r="M847" t="str">
            <v>Intiqal</v>
          </cell>
          <cell r="N847" t="str">
            <v>Not Available</v>
          </cell>
          <cell r="O847">
            <v>2</v>
          </cell>
          <cell r="P847">
            <v>9</v>
          </cell>
          <cell r="Q847">
            <v>0</v>
          </cell>
          <cell r="R847">
            <v>0</v>
          </cell>
          <cell r="S847">
            <v>0</v>
          </cell>
          <cell r="T847">
            <v>4</v>
          </cell>
          <cell r="U847">
            <v>6</v>
          </cell>
          <cell r="V847">
            <v>0</v>
          </cell>
          <cell r="X847" t="str">
            <v>Sardar Tanveer Ilyas</v>
          </cell>
        </row>
        <row r="848">
          <cell r="K848">
            <v>419</v>
          </cell>
          <cell r="M848" t="str">
            <v>Intiqal</v>
          </cell>
          <cell r="N848" t="str">
            <v>Not Available</v>
          </cell>
          <cell r="O848">
            <v>4</v>
          </cell>
          <cell r="P848">
            <v>6</v>
          </cell>
          <cell r="Q848">
            <v>0</v>
          </cell>
          <cell r="R848">
            <v>394506</v>
          </cell>
          <cell r="S848">
            <v>0</v>
          </cell>
          <cell r="T848">
            <v>-2</v>
          </cell>
          <cell r="U848">
            <v>3</v>
          </cell>
          <cell r="V848">
            <v>0</v>
          </cell>
          <cell r="X848" t="str">
            <v>Sardar Tanveer Ilyas</v>
          </cell>
        </row>
        <row r="849">
          <cell r="K849">
            <v>430</v>
          </cell>
          <cell r="M849" t="str">
            <v>Intiqal</v>
          </cell>
          <cell r="N849" t="str">
            <v>Not Available</v>
          </cell>
          <cell r="O849">
            <v>10</v>
          </cell>
          <cell r="P849">
            <v>0</v>
          </cell>
          <cell r="Q849">
            <v>0</v>
          </cell>
          <cell r="R849">
            <v>811000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X849" t="str">
            <v>Sardar Tanveer Ilyas</v>
          </cell>
        </row>
        <row r="850">
          <cell r="K850">
            <v>410</v>
          </cell>
          <cell r="M850" t="str">
            <v>Intiqal</v>
          </cell>
          <cell r="N850" t="str">
            <v>Not Available</v>
          </cell>
          <cell r="O850">
            <v>2</v>
          </cell>
          <cell r="P850">
            <v>5</v>
          </cell>
          <cell r="Q850">
            <v>0</v>
          </cell>
          <cell r="R850">
            <v>205750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X850" t="str">
            <v>Sardar Tanveer Ilyas</v>
          </cell>
        </row>
        <row r="851">
          <cell r="K851">
            <v>2342</v>
          </cell>
          <cell r="M851" t="str">
            <v>Intiqal</v>
          </cell>
          <cell r="N851" t="str">
            <v>Not Available</v>
          </cell>
          <cell r="O851">
            <v>3</v>
          </cell>
          <cell r="P851">
            <v>1</v>
          </cell>
          <cell r="Q851">
            <v>6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X851" t="str">
            <v>Sardar Tanveer Ilyas</v>
          </cell>
        </row>
        <row r="852">
          <cell r="K852">
            <v>4245</v>
          </cell>
          <cell r="M852" t="str">
            <v>Intiqal</v>
          </cell>
          <cell r="N852" t="str">
            <v>Not Available</v>
          </cell>
          <cell r="O852">
            <v>3</v>
          </cell>
          <cell r="P852">
            <v>0</v>
          </cell>
          <cell r="Q852">
            <v>0</v>
          </cell>
          <cell r="R852">
            <v>520000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X852" t="str">
            <v>Sardar Tanveer Ilyas</v>
          </cell>
        </row>
        <row r="853">
          <cell r="K853">
            <v>4255</v>
          </cell>
          <cell r="M853" t="str">
            <v>Intiqal</v>
          </cell>
          <cell r="N853" t="str">
            <v>Not Available</v>
          </cell>
          <cell r="O853">
            <v>0</v>
          </cell>
          <cell r="P853">
            <v>10</v>
          </cell>
          <cell r="Q853">
            <v>0</v>
          </cell>
          <cell r="R853">
            <v>46500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X853" t="str">
            <v>Sardar Tanveer Ilyas</v>
          </cell>
        </row>
        <row r="854">
          <cell r="K854">
            <v>4256</v>
          </cell>
          <cell r="M854" t="str">
            <v>Intiqal</v>
          </cell>
          <cell r="N854" t="str">
            <v>Not Available</v>
          </cell>
          <cell r="O854">
            <v>0</v>
          </cell>
          <cell r="P854">
            <v>5</v>
          </cell>
          <cell r="Q854">
            <v>0</v>
          </cell>
          <cell r="R854">
            <v>23750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X854" t="str">
            <v>Sardar Tanveer Ilyas</v>
          </cell>
        </row>
        <row r="855">
          <cell r="K855">
            <v>2357</v>
          </cell>
          <cell r="M855" t="str">
            <v>Intiqal</v>
          </cell>
          <cell r="N855" t="str">
            <v>Not Available</v>
          </cell>
          <cell r="O855">
            <v>0</v>
          </cell>
          <cell r="P855">
            <v>2</v>
          </cell>
          <cell r="Q855">
            <v>5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X855" t="str">
            <v>Sardar Tanveer Ilyas</v>
          </cell>
        </row>
        <row r="856">
          <cell r="K856">
            <v>2403</v>
          </cell>
          <cell r="M856" t="str">
            <v>Intiqal</v>
          </cell>
          <cell r="N856" t="str">
            <v>Not Available</v>
          </cell>
          <cell r="O856">
            <v>4</v>
          </cell>
          <cell r="P856">
            <v>11</v>
          </cell>
          <cell r="Q856">
            <v>8.77</v>
          </cell>
          <cell r="R856">
            <v>0</v>
          </cell>
          <cell r="S856">
            <v>2500000</v>
          </cell>
          <cell r="T856">
            <v>0</v>
          </cell>
          <cell r="U856">
            <v>0</v>
          </cell>
          <cell r="V856">
            <v>0</v>
          </cell>
          <cell r="X856" t="str">
            <v>Sardar Tanveer Ilyas</v>
          </cell>
        </row>
        <row r="857">
          <cell r="K857">
            <v>433</v>
          </cell>
          <cell r="M857" t="str">
            <v>Intiqal</v>
          </cell>
          <cell r="N857" t="str">
            <v>Not Available</v>
          </cell>
          <cell r="O857">
            <v>1</v>
          </cell>
          <cell r="P857">
            <v>10</v>
          </cell>
          <cell r="Q857">
            <v>0</v>
          </cell>
          <cell r="R857">
            <v>168000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X857" t="str">
            <v>Sardar Tanveer Ilyas</v>
          </cell>
        </row>
        <row r="858">
          <cell r="K858">
            <v>4689</v>
          </cell>
          <cell r="L858">
            <v>30047</v>
          </cell>
          <cell r="M858" t="str">
            <v>Intiqal</v>
          </cell>
          <cell r="N858" t="str">
            <v>Registry</v>
          </cell>
          <cell r="O858">
            <v>0</v>
          </cell>
          <cell r="P858">
            <v>12</v>
          </cell>
          <cell r="Q858">
            <v>1.73</v>
          </cell>
          <cell r="R858">
            <v>0</v>
          </cell>
          <cell r="S858">
            <v>0</v>
          </cell>
          <cell r="T858">
            <v>10</v>
          </cell>
          <cell r="U858">
            <v>-4</v>
          </cell>
          <cell r="V858">
            <v>7.0000000000000007E-2</v>
          </cell>
          <cell r="W858" t="str">
            <v>Qazi Mumtaz Hussain Qureshi</v>
          </cell>
          <cell r="X858" t="str">
            <v>Sardar Yasir Ilyas</v>
          </cell>
          <cell r="Y858">
            <v>44908</v>
          </cell>
        </row>
        <row r="859">
          <cell r="K859">
            <v>3249</v>
          </cell>
          <cell r="L859">
            <v>13359</v>
          </cell>
          <cell r="M859" t="str">
            <v>Intiqal</v>
          </cell>
          <cell r="N859" t="str">
            <v>Registry</v>
          </cell>
          <cell r="O859">
            <v>0</v>
          </cell>
          <cell r="P859">
            <v>3</v>
          </cell>
          <cell r="Q859">
            <v>1.29</v>
          </cell>
          <cell r="R859">
            <v>22050</v>
          </cell>
          <cell r="S859">
            <v>0</v>
          </cell>
          <cell r="T859">
            <v>0</v>
          </cell>
          <cell r="U859">
            <v>9</v>
          </cell>
          <cell r="V859">
            <v>0.44</v>
          </cell>
          <cell r="W859" t="str">
            <v>M kamal</v>
          </cell>
          <cell r="X859" t="str">
            <v>Sardar Yasir Ilyas</v>
          </cell>
          <cell r="Y859">
            <v>44293</v>
          </cell>
        </row>
        <row r="860">
          <cell r="K860">
            <v>3250</v>
          </cell>
          <cell r="L860">
            <v>13361</v>
          </cell>
          <cell r="M860" t="str">
            <v>Intiqal</v>
          </cell>
          <cell r="N860" t="str">
            <v>Registry</v>
          </cell>
          <cell r="O860">
            <v>0</v>
          </cell>
          <cell r="P860">
            <v>15</v>
          </cell>
          <cell r="Q860">
            <v>5.98</v>
          </cell>
          <cell r="R860">
            <v>43700</v>
          </cell>
          <cell r="S860">
            <v>0</v>
          </cell>
          <cell r="T860">
            <v>0</v>
          </cell>
          <cell r="U860">
            <v>-12</v>
          </cell>
          <cell r="V860">
            <v>-4.6900000000000004</v>
          </cell>
          <cell r="W860" t="str">
            <v>Zakia bibi</v>
          </cell>
          <cell r="X860" t="str">
            <v>Sardar Yasir Ilyas</v>
          </cell>
          <cell r="Y860">
            <v>44293</v>
          </cell>
        </row>
        <row r="861">
          <cell r="K861">
            <v>2538</v>
          </cell>
          <cell r="M861" t="str">
            <v>Intiqal</v>
          </cell>
          <cell r="N861" t="str">
            <v>Not Available</v>
          </cell>
          <cell r="O861">
            <v>0</v>
          </cell>
          <cell r="P861">
            <v>15</v>
          </cell>
          <cell r="Q861">
            <v>0</v>
          </cell>
          <cell r="R861">
            <v>61750</v>
          </cell>
          <cell r="S861">
            <v>0</v>
          </cell>
          <cell r="T861">
            <v>0</v>
          </cell>
          <cell r="U861">
            <v>0</v>
          </cell>
          <cell r="V861">
            <v>5.98</v>
          </cell>
          <cell r="X861" t="str">
            <v>Sardar Tanveer Ilyas</v>
          </cell>
        </row>
        <row r="862">
          <cell r="K862">
            <v>2537</v>
          </cell>
          <cell r="M862" t="str">
            <v>Intiqal</v>
          </cell>
          <cell r="N862" t="str">
            <v>Not Available</v>
          </cell>
          <cell r="O862">
            <v>7</v>
          </cell>
          <cell r="P862">
            <v>12</v>
          </cell>
          <cell r="Q862">
            <v>3.8</v>
          </cell>
          <cell r="R862">
            <v>434600</v>
          </cell>
          <cell r="S862">
            <v>0</v>
          </cell>
          <cell r="T862">
            <v>-7</v>
          </cell>
          <cell r="U862">
            <v>3</v>
          </cell>
          <cell r="V862">
            <v>-3.8</v>
          </cell>
          <cell r="X862" t="str">
            <v>Sardar Tanveer Ilyas</v>
          </cell>
        </row>
        <row r="863">
          <cell r="K863">
            <v>2536</v>
          </cell>
          <cell r="M863" t="str">
            <v>Intiqal</v>
          </cell>
          <cell r="N863" t="str">
            <v>Not Available</v>
          </cell>
          <cell r="O863">
            <v>0</v>
          </cell>
          <cell r="P863">
            <v>9</v>
          </cell>
          <cell r="Q863">
            <v>7</v>
          </cell>
          <cell r="R863">
            <v>41370</v>
          </cell>
          <cell r="S863">
            <v>0</v>
          </cell>
          <cell r="T863">
            <v>7</v>
          </cell>
          <cell r="U863">
            <v>3</v>
          </cell>
          <cell r="V863">
            <v>-3.2</v>
          </cell>
          <cell r="X863" t="str">
            <v>Sardar Tanveer Ilyas</v>
          </cell>
        </row>
        <row r="864">
          <cell r="K864">
            <v>2535</v>
          </cell>
          <cell r="M864" t="str">
            <v>Intiqal</v>
          </cell>
          <cell r="N864" t="str">
            <v>Not Available</v>
          </cell>
          <cell r="O864">
            <v>0</v>
          </cell>
          <cell r="P864">
            <v>13</v>
          </cell>
          <cell r="Q864">
            <v>1</v>
          </cell>
          <cell r="R864">
            <v>43150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X864" t="str">
            <v>Sardar Tanveer Ilyas</v>
          </cell>
        </row>
        <row r="865">
          <cell r="K865">
            <v>2542</v>
          </cell>
          <cell r="M865" t="str">
            <v>Intiqal</v>
          </cell>
          <cell r="N865" t="str">
            <v>Not Available</v>
          </cell>
          <cell r="O865">
            <v>0</v>
          </cell>
          <cell r="P865">
            <v>15</v>
          </cell>
          <cell r="Q865">
            <v>0</v>
          </cell>
          <cell r="R865">
            <v>123400</v>
          </cell>
          <cell r="S865">
            <v>50000</v>
          </cell>
          <cell r="T865">
            <v>0</v>
          </cell>
          <cell r="U865">
            <v>0</v>
          </cell>
          <cell r="V865">
            <v>0</v>
          </cell>
          <cell r="X865" t="str">
            <v>Sardar Tanveer Ilyas</v>
          </cell>
        </row>
        <row r="866">
          <cell r="K866">
            <v>5483</v>
          </cell>
          <cell r="L866">
            <v>6408</v>
          </cell>
          <cell r="M866" t="str">
            <v>Intiqal</v>
          </cell>
          <cell r="N866" t="str">
            <v>Registry</v>
          </cell>
          <cell r="O866">
            <v>0</v>
          </cell>
          <cell r="P866">
            <v>5</v>
          </cell>
          <cell r="Q866">
            <v>2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 t="str">
            <v>Zahid gul</v>
          </cell>
          <cell r="X866" t="str">
            <v>Sardar Tanveer Ilyas</v>
          </cell>
          <cell r="Y866">
            <v>44019</v>
          </cell>
        </row>
        <row r="867">
          <cell r="K867">
            <v>3033</v>
          </cell>
          <cell r="L867">
            <v>22235</v>
          </cell>
          <cell r="M867" t="str">
            <v>Intiqal</v>
          </cell>
          <cell r="N867" t="str">
            <v>Registry</v>
          </cell>
          <cell r="O867">
            <v>0</v>
          </cell>
          <cell r="P867">
            <v>5</v>
          </cell>
          <cell r="Q867">
            <v>0</v>
          </cell>
          <cell r="R867">
            <v>223050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 t="str">
            <v>Anber Bibi</v>
          </cell>
          <cell r="X867" t="str">
            <v>Sardar Tanveer Ilyas</v>
          </cell>
          <cell r="Y867">
            <v>44153</v>
          </cell>
        </row>
        <row r="868">
          <cell r="L868">
            <v>5421</v>
          </cell>
          <cell r="M868" t="str">
            <v>Not Available</v>
          </cell>
          <cell r="N868" t="str">
            <v>Registry</v>
          </cell>
          <cell r="O868">
            <v>0</v>
          </cell>
          <cell r="P868">
            <v>5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 t="str">
            <v>Luqman Khan</v>
          </cell>
          <cell r="X868" t="str">
            <v>Sardar Tanveer Ilyas</v>
          </cell>
          <cell r="Y868">
            <v>43892</v>
          </cell>
        </row>
        <row r="869">
          <cell r="K869">
            <v>4752</v>
          </cell>
          <cell r="L869">
            <v>5489</v>
          </cell>
          <cell r="M869" t="str">
            <v>Intiqal</v>
          </cell>
          <cell r="N869" t="str">
            <v>Registry</v>
          </cell>
          <cell r="O869">
            <v>1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 t="str">
            <v>M yousaf</v>
          </cell>
          <cell r="X869" t="str">
            <v>Sardar Tanveer Ilyas</v>
          </cell>
          <cell r="Y869">
            <v>44376</v>
          </cell>
        </row>
        <row r="870">
          <cell r="K870">
            <v>4278</v>
          </cell>
          <cell r="M870" t="str">
            <v>Intiqal</v>
          </cell>
          <cell r="N870" t="str">
            <v>Not Available</v>
          </cell>
          <cell r="O870">
            <v>0</v>
          </cell>
          <cell r="P870">
            <v>13</v>
          </cell>
          <cell r="Q870">
            <v>0</v>
          </cell>
          <cell r="R870">
            <v>0</v>
          </cell>
          <cell r="S870">
            <v>0</v>
          </cell>
          <cell r="T870">
            <v>1</v>
          </cell>
          <cell r="U870">
            <v>3</v>
          </cell>
          <cell r="V870">
            <v>0</v>
          </cell>
          <cell r="X870" t="str">
            <v>Sardar Tanveer Ilyas</v>
          </cell>
        </row>
        <row r="871">
          <cell r="K871">
            <v>4286</v>
          </cell>
          <cell r="M871" t="str">
            <v>Intiqal</v>
          </cell>
          <cell r="N871" t="str">
            <v>Not Available</v>
          </cell>
          <cell r="O871">
            <v>1</v>
          </cell>
          <cell r="P871">
            <v>3</v>
          </cell>
          <cell r="Q871">
            <v>0</v>
          </cell>
          <cell r="R871">
            <v>101950</v>
          </cell>
          <cell r="S871">
            <v>0</v>
          </cell>
          <cell r="T871">
            <v>-1</v>
          </cell>
          <cell r="U871">
            <v>10</v>
          </cell>
          <cell r="V871">
            <v>0</v>
          </cell>
          <cell r="X871" t="str">
            <v>Sardar Tanveer Ilyas</v>
          </cell>
        </row>
        <row r="872">
          <cell r="K872">
            <v>2201</v>
          </cell>
          <cell r="M872" t="str">
            <v>Intiqal</v>
          </cell>
          <cell r="N872" t="str">
            <v>Not Available</v>
          </cell>
          <cell r="O872">
            <v>0</v>
          </cell>
          <cell r="P872">
            <v>7</v>
          </cell>
          <cell r="Q872">
            <v>0</v>
          </cell>
          <cell r="R872">
            <v>46911</v>
          </cell>
          <cell r="S872">
            <v>54250</v>
          </cell>
          <cell r="T872">
            <v>0</v>
          </cell>
          <cell r="U872">
            <v>0</v>
          </cell>
          <cell r="V872">
            <v>0</v>
          </cell>
          <cell r="X872" t="str">
            <v>Sardar Tanveer Ilyas</v>
          </cell>
        </row>
        <row r="873">
          <cell r="K873">
            <v>2210</v>
          </cell>
          <cell r="M873" t="str">
            <v>Intiqal</v>
          </cell>
          <cell r="N873" t="str">
            <v>Not Available</v>
          </cell>
          <cell r="O873">
            <v>0</v>
          </cell>
          <cell r="P873">
            <v>5</v>
          </cell>
          <cell r="Q873">
            <v>0</v>
          </cell>
          <cell r="R873">
            <v>33250</v>
          </cell>
          <cell r="S873">
            <v>31000</v>
          </cell>
          <cell r="T873">
            <v>0</v>
          </cell>
          <cell r="U873">
            <v>0</v>
          </cell>
          <cell r="V873">
            <v>0</v>
          </cell>
          <cell r="X873" t="str">
            <v>Sardar Tanveer Ilyas</v>
          </cell>
        </row>
        <row r="874">
          <cell r="K874">
            <v>292</v>
          </cell>
          <cell r="M874" t="str">
            <v>Not Available</v>
          </cell>
          <cell r="N874" t="str">
            <v>Not Available</v>
          </cell>
          <cell r="O874">
            <v>0</v>
          </cell>
          <cell r="P874">
            <v>15</v>
          </cell>
          <cell r="Q874">
            <v>0</v>
          </cell>
          <cell r="R874">
            <v>51400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</row>
        <row r="875">
          <cell r="K875">
            <v>2544</v>
          </cell>
          <cell r="M875" t="str">
            <v>Intiqal</v>
          </cell>
          <cell r="N875" t="str">
            <v>Not Available</v>
          </cell>
          <cell r="O875">
            <v>3</v>
          </cell>
          <cell r="P875">
            <v>14</v>
          </cell>
          <cell r="Q875">
            <v>1</v>
          </cell>
          <cell r="R875">
            <v>322950</v>
          </cell>
          <cell r="S875">
            <v>300000</v>
          </cell>
          <cell r="T875">
            <v>0</v>
          </cell>
          <cell r="U875">
            <v>0</v>
          </cell>
          <cell r="V875">
            <v>0</v>
          </cell>
          <cell r="X875" t="str">
            <v>Sardar Tanveer Ilyas</v>
          </cell>
        </row>
        <row r="876">
          <cell r="K876">
            <v>3024</v>
          </cell>
          <cell r="L876">
            <v>21607</v>
          </cell>
          <cell r="M876" t="str">
            <v>Intiqal</v>
          </cell>
          <cell r="N876" t="str">
            <v>Registry</v>
          </cell>
          <cell r="O876">
            <v>0</v>
          </cell>
          <cell r="P876">
            <v>10</v>
          </cell>
          <cell r="Q876">
            <v>0</v>
          </cell>
          <cell r="R876">
            <v>31800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 t="str">
            <v>talat khan</v>
          </cell>
          <cell r="X876" t="str">
            <v>Sardar Tanveer Ilyas</v>
          </cell>
          <cell r="Y876">
            <v>44147</v>
          </cell>
        </row>
        <row r="877">
          <cell r="K877">
            <v>2216</v>
          </cell>
          <cell r="M877" t="str">
            <v>Intiqal</v>
          </cell>
          <cell r="N877" t="str">
            <v>Not Available</v>
          </cell>
          <cell r="O877">
            <v>0</v>
          </cell>
          <cell r="P877">
            <v>4</v>
          </cell>
          <cell r="Q877">
            <v>0</v>
          </cell>
          <cell r="R877">
            <v>0</v>
          </cell>
          <cell r="S877">
            <v>70000</v>
          </cell>
          <cell r="T877">
            <v>0</v>
          </cell>
          <cell r="U877">
            <v>0</v>
          </cell>
          <cell r="V877">
            <v>0</v>
          </cell>
          <cell r="X877" t="str">
            <v>Sardar Tanveer Ilyas</v>
          </cell>
        </row>
        <row r="878">
          <cell r="K878">
            <v>2241</v>
          </cell>
          <cell r="M878" t="str">
            <v>Intiqal</v>
          </cell>
          <cell r="N878" t="str">
            <v>Not Available</v>
          </cell>
          <cell r="O878">
            <v>0</v>
          </cell>
          <cell r="P878">
            <v>5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12</v>
          </cell>
          <cell r="V878">
            <v>0</v>
          </cell>
          <cell r="X878" t="str">
            <v>Sardar Tanveer Ilyas</v>
          </cell>
        </row>
        <row r="879">
          <cell r="K879">
            <v>2240</v>
          </cell>
          <cell r="M879" t="str">
            <v>Intiqal</v>
          </cell>
          <cell r="N879" t="str">
            <v>Not Available</v>
          </cell>
          <cell r="O879">
            <v>0</v>
          </cell>
          <cell r="P879">
            <v>12</v>
          </cell>
          <cell r="Q879">
            <v>0</v>
          </cell>
          <cell r="R879">
            <v>112725</v>
          </cell>
          <cell r="S879">
            <v>131750</v>
          </cell>
          <cell r="T879">
            <v>0</v>
          </cell>
          <cell r="U879">
            <v>-7</v>
          </cell>
          <cell r="V879">
            <v>0</v>
          </cell>
          <cell r="X879" t="str">
            <v>Sardar Tanveer Ilyas</v>
          </cell>
        </row>
        <row r="880">
          <cell r="K880">
            <v>3479</v>
          </cell>
          <cell r="L880">
            <v>19999</v>
          </cell>
          <cell r="M880" t="str">
            <v>Intiqal</v>
          </cell>
          <cell r="N880" t="str">
            <v>Registry</v>
          </cell>
          <cell r="O880">
            <v>0</v>
          </cell>
          <cell r="P880">
            <v>1</v>
          </cell>
          <cell r="Q880">
            <v>3</v>
          </cell>
          <cell r="R880">
            <v>19300</v>
          </cell>
          <cell r="S880">
            <v>0</v>
          </cell>
          <cell r="T880">
            <v>0</v>
          </cell>
          <cell r="U880">
            <v>6</v>
          </cell>
          <cell r="V880">
            <v>-3</v>
          </cell>
          <cell r="W880" t="str">
            <v>Mumtaz begum</v>
          </cell>
          <cell r="X880" t="str">
            <v>Sardar Tanveer Ilyas</v>
          </cell>
          <cell r="Y880">
            <v>44133</v>
          </cell>
        </row>
        <row r="881">
          <cell r="K881">
            <v>3107</v>
          </cell>
          <cell r="L881">
            <v>19996</v>
          </cell>
          <cell r="M881" t="str">
            <v>Intiqal</v>
          </cell>
          <cell r="N881" t="str">
            <v>Registry</v>
          </cell>
          <cell r="O881">
            <v>0</v>
          </cell>
          <cell r="P881">
            <v>1</v>
          </cell>
          <cell r="Q881">
            <v>2</v>
          </cell>
          <cell r="R881">
            <v>17800</v>
          </cell>
          <cell r="S881">
            <v>0</v>
          </cell>
          <cell r="T881">
            <v>0</v>
          </cell>
          <cell r="U881">
            <v>0</v>
          </cell>
          <cell r="V881">
            <v>1</v>
          </cell>
          <cell r="W881" t="str">
            <v>Nighat sultana</v>
          </cell>
          <cell r="X881" t="str">
            <v>Sardar Tanveer Ilyas</v>
          </cell>
          <cell r="Y881">
            <v>44133</v>
          </cell>
        </row>
        <row r="882">
          <cell r="K882">
            <v>3059</v>
          </cell>
          <cell r="L882">
            <v>19997</v>
          </cell>
          <cell r="M882" t="str">
            <v>Intiqal</v>
          </cell>
          <cell r="N882" t="str">
            <v>Registry</v>
          </cell>
          <cell r="O882">
            <v>0</v>
          </cell>
          <cell r="P882">
            <v>4</v>
          </cell>
          <cell r="Q882">
            <v>4</v>
          </cell>
          <cell r="R882">
            <v>22300</v>
          </cell>
          <cell r="S882">
            <v>0</v>
          </cell>
          <cell r="T882">
            <v>0</v>
          </cell>
          <cell r="U882">
            <v>-3</v>
          </cell>
          <cell r="V882">
            <v>-2</v>
          </cell>
          <cell r="W882" t="str">
            <v>Iffat sultana</v>
          </cell>
          <cell r="X882" t="str">
            <v>Sardar Tanveer Ilyas</v>
          </cell>
          <cell r="Y882">
            <v>44646</v>
          </cell>
        </row>
        <row r="883">
          <cell r="M883" t="str">
            <v>Not Available</v>
          </cell>
          <cell r="N883" t="str">
            <v>Not Available</v>
          </cell>
          <cell r="O883">
            <v>1</v>
          </cell>
          <cell r="P883">
            <v>16</v>
          </cell>
          <cell r="Q883">
            <v>4.5</v>
          </cell>
          <cell r="R883">
            <v>0</v>
          </cell>
          <cell r="S883">
            <v>0</v>
          </cell>
          <cell r="T883">
            <v>1</v>
          </cell>
          <cell r="U883">
            <v>-15</v>
          </cell>
          <cell r="V883">
            <v>0</v>
          </cell>
        </row>
        <row r="884">
          <cell r="K884">
            <v>2981</v>
          </cell>
          <cell r="L884">
            <v>13424</v>
          </cell>
          <cell r="M884" t="str">
            <v>Intiqal</v>
          </cell>
          <cell r="N884" t="str">
            <v>Registry</v>
          </cell>
          <cell r="O884">
            <v>0</v>
          </cell>
          <cell r="P884">
            <v>5</v>
          </cell>
          <cell r="Q884">
            <v>0</v>
          </cell>
          <cell r="R884">
            <v>3680</v>
          </cell>
          <cell r="S884">
            <v>0</v>
          </cell>
          <cell r="T884">
            <v>1</v>
          </cell>
          <cell r="U884">
            <v>11</v>
          </cell>
          <cell r="V884">
            <v>4.5</v>
          </cell>
          <cell r="W884" t="str">
            <v>Zaheer al din</v>
          </cell>
          <cell r="X884" t="str">
            <v>Sardar Tanveer Ilyas</v>
          </cell>
          <cell r="Y884">
            <v>44086</v>
          </cell>
        </row>
        <row r="885">
          <cell r="K885">
            <v>4758</v>
          </cell>
          <cell r="L885">
            <v>15770</v>
          </cell>
          <cell r="M885" t="str">
            <v>Intiqal</v>
          </cell>
          <cell r="N885" t="str">
            <v>Registry</v>
          </cell>
          <cell r="O885">
            <v>0</v>
          </cell>
          <cell r="P885">
            <v>18</v>
          </cell>
          <cell r="Q885">
            <v>0</v>
          </cell>
          <cell r="R885">
            <v>52940</v>
          </cell>
          <cell r="S885">
            <v>0</v>
          </cell>
          <cell r="T885">
            <v>2</v>
          </cell>
          <cell r="U885">
            <v>-6</v>
          </cell>
          <cell r="V885">
            <v>0</v>
          </cell>
          <cell r="W885" t="str">
            <v>Muhammad Mumtaz Khan</v>
          </cell>
          <cell r="X885" t="str">
            <v>Sardar Yasir Ilyas</v>
          </cell>
          <cell r="Y885">
            <v>44309</v>
          </cell>
        </row>
        <row r="886">
          <cell r="K886">
            <v>4757</v>
          </cell>
          <cell r="L886">
            <v>15769</v>
          </cell>
          <cell r="M886" t="str">
            <v>Intiqal</v>
          </cell>
          <cell r="N886" t="str">
            <v>Registry</v>
          </cell>
          <cell r="O886">
            <v>1</v>
          </cell>
          <cell r="P886">
            <v>0</v>
          </cell>
          <cell r="Q886">
            <v>0</v>
          </cell>
          <cell r="R886">
            <v>58900</v>
          </cell>
          <cell r="S886">
            <v>0</v>
          </cell>
          <cell r="T886">
            <v>-1</v>
          </cell>
          <cell r="U886">
            <v>18</v>
          </cell>
          <cell r="V886">
            <v>0</v>
          </cell>
          <cell r="W886" t="str">
            <v>Muhammad Mumtaz Khan</v>
          </cell>
          <cell r="X886" t="str">
            <v>Sardar Yasir Ilyas</v>
          </cell>
          <cell r="Y886">
            <v>44309</v>
          </cell>
        </row>
        <row r="887">
          <cell r="K887">
            <v>5495</v>
          </cell>
          <cell r="L887">
            <v>8515</v>
          </cell>
          <cell r="M887" t="str">
            <v>Intiqal</v>
          </cell>
          <cell r="N887" t="str">
            <v>Registry</v>
          </cell>
          <cell r="O887">
            <v>0</v>
          </cell>
          <cell r="P887">
            <v>4</v>
          </cell>
          <cell r="Q887">
            <v>0</v>
          </cell>
          <cell r="R887">
            <v>24720</v>
          </cell>
          <cell r="S887">
            <v>0</v>
          </cell>
          <cell r="T887">
            <v>1</v>
          </cell>
          <cell r="U887">
            <v>-4</v>
          </cell>
          <cell r="V887">
            <v>0</v>
          </cell>
          <cell r="W887" t="str">
            <v>M mumtaz khan</v>
          </cell>
          <cell r="X887" t="str">
            <v>Sardar Yasir Ilyas</v>
          </cell>
          <cell r="Y887">
            <v>44258</v>
          </cell>
        </row>
        <row r="888">
          <cell r="K888">
            <v>4751</v>
          </cell>
          <cell r="L888">
            <v>8514</v>
          </cell>
          <cell r="M888" t="str">
            <v>Intiqal</v>
          </cell>
          <cell r="N888" t="str">
            <v>Registry</v>
          </cell>
          <cell r="O888">
            <v>0</v>
          </cell>
          <cell r="P888">
            <v>10</v>
          </cell>
          <cell r="Q888">
            <v>0</v>
          </cell>
          <cell r="R888">
            <v>59300</v>
          </cell>
          <cell r="S888">
            <v>0</v>
          </cell>
          <cell r="T888">
            <v>0</v>
          </cell>
          <cell r="U888">
            <v>-6</v>
          </cell>
          <cell r="V888">
            <v>0</v>
          </cell>
          <cell r="W888" t="str">
            <v>Muhammad Mumtaz Khan</v>
          </cell>
          <cell r="X888" t="str">
            <v>Sardar Yasir Ilyas</v>
          </cell>
          <cell r="Y888">
            <v>44259</v>
          </cell>
        </row>
        <row r="889">
          <cell r="K889">
            <v>5485</v>
          </cell>
          <cell r="L889">
            <v>21044</v>
          </cell>
          <cell r="M889" t="str">
            <v>Intiqal</v>
          </cell>
          <cell r="N889" t="str">
            <v>Registry</v>
          </cell>
          <cell r="O889">
            <v>1</v>
          </cell>
          <cell r="P889">
            <v>18</v>
          </cell>
          <cell r="Q889">
            <v>0</v>
          </cell>
          <cell r="R889">
            <v>98500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 t="str">
            <v>Muhammad Afzal</v>
          </cell>
          <cell r="X889" t="str">
            <v>Sardar Yasir Ilyas</v>
          </cell>
          <cell r="Y889">
            <v>44371</v>
          </cell>
        </row>
        <row r="890">
          <cell r="K890">
            <v>5484</v>
          </cell>
          <cell r="L890">
            <v>18345</v>
          </cell>
          <cell r="M890" t="str">
            <v>Intiqal</v>
          </cell>
          <cell r="N890" t="str">
            <v>Registry</v>
          </cell>
          <cell r="O890">
            <v>2</v>
          </cell>
          <cell r="P890">
            <v>0</v>
          </cell>
          <cell r="Q890">
            <v>0</v>
          </cell>
          <cell r="R890">
            <v>98500</v>
          </cell>
          <cell r="S890">
            <v>0</v>
          </cell>
          <cell r="T890">
            <v>11</v>
          </cell>
          <cell r="U890">
            <v>2</v>
          </cell>
          <cell r="V890">
            <v>4.5</v>
          </cell>
          <cell r="W890" t="str">
            <v>Muslim Khan</v>
          </cell>
          <cell r="X890" t="str">
            <v>Sardar Yasir Ilyas</v>
          </cell>
          <cell r="Y890">
            <v>44349</v>
          </cell>
        </row>
        <row r="891">
          <cell r="K891">
            <v>4706</v>
          </cell>
          <cell r="L891">
            <v>6456</v>
          </cell>
          <cell r="M891" t="str">
            <v>Intiqal</v>
          </cell>
          <cell r="N891" t="str">
            <v>Registry</v>
          </cell>
          <cell r="O891">
            <v>10</v>
          </cell>
          <cell r="P891">
            <v>14</v>
          </cell>
          <cell r="Q891">
            <v>0</v>
          </cell>
          <cell r="R891">
            <v>687860</v>
          </cell>
          <cell r="S891">
            <v>0</v>
          </cell>
          <cell r="T891">
            <v>-8</v>
          </cell>
          <cell r="U891">
            <v>-14</v>
          </cell>
          <cell r="V891">
            <v>0</v>
          </cell>
          <cell r="W891" t="str">
            <v>Muslim Khan</v>
          </cell>
          <cell r="X891" t="str">
            <v>Sardar Yasir Ilyas</v>
          </cell>
          <cell r="Y891">
            <v>44245</v>
          </cell>
        </row>
        <row r="892">
          <cell r="K892">
            <v>4754</v>
          </cell>
          <cell r="L892">
            <v>5513</v>
          </cell>
          <cell r="M892" t="str">
            <v>Intiqal</v>
          </cell>
          <cell r="N892" t="str">
            <v>Registry</v>
          </cell>
          <cell r="O892">
            <v>0</v>
          </cell>
          <cell r="P892">
            <v>8</v>
          </cell>
          <cell r="Q892">
            <v>4.5</v>
          </cell>
          <cell r="R892">
            <v>32130</v>
          </cell>
          <cell r="S892">
            <v>0</v>
          </cell>
          <cell r="T892">
            <v>10</v>
          </cell>
          <cell r="U892">
            <v>6</v>
          </cell>
          <cell r="V892">
            <v>-4.5</v>
          </cell>
          <cell r="W892" t="str">
            <v>Zaheer shehzad</v>
          </cell>
          <cell r="X892" t="str">
            <v>Sardar Yasir Ilyas</v>
          </cell>
          <cell r="Y892">
            <v>44238</v>
          </cell>
        </row>
        <row r="893">
          <cell r="K893">
            <v>4753</v>
          </cell>
          <cell r="L893">
            <v>14355</v>
          </cell>
          <cell r="M893" t="str">
            <v>Intiqal</v>
          </cell>
          <cell r="N893" t="str">
            <v>Registry</v>
          </cell>
          <cell r="O893">
            <v>1</v>
          </cell>
          <cell r="P893">
            <v>5</v>
          </cell>
          <cell r="Q893">
            <v>0</v>
          </cell>
          <cell r="R893">
            <v>68800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 t="str">
            <v>Qulzam</v>
          </cell>
          <cell r="X893" t="str">
            <v>Sardar Yasir Ilyas</v>
          </cell>
          <cell r="Y893">
            <v>44298</v>
          </cell>
        </row>
        <row r="894">
          <cell r="K894">
            <v>503</v>
          </cell>
          <cell r="L894">
            <v>15964</v>
          </cell>
          <cell r="M894" t="str">
            <v>Intiqal</v>
          </cell>
          <cell r="N894" t="str">
            <v>Registry</v>
          </cell>
          <cell r="O894">
            <v>10</v>
          </cell>
          <cell r="P894">
            <v>4</v>
          </cell>
          <cell r="Q894">
            <v>0</v>
          </cell>
          <cell r="R894">
            <v>826300</v>
          </cell>
          <cell r="S894">
            <v>1173000</v>
          </cell>
          <cell r="T894">
            <v>0</v>
          </cell>
          <cell r="U894">
            <v>0</v>
          </cell>
          <cell r="V894">
            <v>0</v>
          </cell>
          <cell r="W894" t="str">
            <v>Allah ditta</v>
          </cell>
          <cell r="X894" t="str">
            <v>Sardar Tanveer Ilyas</v>
          </cell>
          <cell r="Y894">
            <v>44105</v>
          </cell>
        </row>
        <row r="895">
          <cell r="K895">
            <v>3852</v>
          </cell>
          <cell r="L895">
            <v>17915</v>
          </cell>
          <cell r="M895" t="str">
            <v>Intiqal</v>
          </cell>
          <cell r="N895" t="str">
            <v>Registry</v>
          </cell>
          <cell r="O895">
            <v>9</v>
          </cell>
          <cell r="P895">
            <v>11</v>
          </cell>
          <cell r="Q895">
            <v>0</v>
          </cell>
          <cell r="R895">
            <v>1451800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 t="str">
            <v>Abdul Rahim</v>
          </cell>
          <cell r="X895" t="str">
            <v>Sardar Yasir Ilyas</v>
          </cell>
          <cell r="Y895">
            <v>44343</v>
          </cell>
        </row>
        <row r="896">
          <cell r="K896">
            <v>348834893490</v>
          </cell>
          <cell r="L896">
            <v>20358</v>
          </cell>
          <cell r="M896" t="str">
            <v>Intiqal</v>
          </cell>
          <cell r="N896" t="str">
            <v>Registry</v>
          </cell>
          <cell r="O896">
            <v>1</v>
          </cell>
          <cell r="P896">
            <v>11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 t="str">
            <v>Hassan Akhtar</v>
          </cell>
          <cell r="X896" t="str">
            <v>Sardar Tanveer Ilyas</v>
          </cell>
          <cell r="Y896">
            <v>44138</v>
          </cell>
        </row>
        <row r="897">
          <cell r="K897">
            <v>3036</v>
          </cell>
          <cell r="L897">
            <v>21235</v>
          </cell>
          <cell r="M897" t="str">
            <v>Intiqal</v>
          </cell>
          <cell r="N897" t="str">
            <v>Registry</v>
          </cell>
          <cell r="O897">
            <v>4</v>
          </cell>
          <cell r="P897">
            <v>0</v>
          </cell>
          <cell r="Q897">
            <v>0</v>
          </cell>
          <cell r="R897">
            <v>159300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 t="str">
            <v>Qazi Abdul Aziz</v>
          </cell>
          <cell r="X897" t="str">
            <v>Sardar Tanveer Ilyas</v>
          </cell>
          <cell r="Y897">
            <v>44145</v>
          </cell>
        </row>
        <row r="898">
          <cell r="K898" t="str">
            <v>Can't Transfer (treat as adv to Qaiser)</v>
          </cell>
          <cell r="M898" t="str">
            <v>Not Available</v>
          </cell>
          <cell r="N898" t="str">
            <v>Not Available</v>
          </cell>
          <cell r="O898">
            <v>0</v>
          </cell>
          <cell r="P898">
            <v>7</v>
          </cell>
          <cell r="Q898">
            <v>4</v>
          </cell>
          <cell r="R898">
            <v>60600</v>
          </cell>
          <cell r="S898">
            <v>0</v>
          </cell>
          <cell r="T898">
            <v>1</v>
          </cell>
          <cell r="U898">
            <v>-5</v>
          </cell>
          <cell r="V898">
            <v>0</v>
          </cell>
        </row>
        <row r="899">
          <cell r="K899">
            <v>554</v>
          </cell>
          <cell r="L899">
            <v>6773</v>
          </cell>
          <cell r="M899" t="str">
            <v>Intiqal</v>
          </cell>
          <cell r="N899" t="str">
            <v>Registry</v>
          </cell>
          <cell r="O899">
            <v>0</v>
          </cell>
          <cell r="P899">
            <v>15</v>
          </cell>
          <cell r="Q899">
            <v>0</v>
          </cell>
          <cell r="R899">
            <v>132800</v>
          </cell>
          <cell r="S899">
            <v>0</v>
          </cell>
          <cell r="T899">
            <v>0</v>
          </cell>
          <cell r="U899">
            <v>-8</v>
          </cell>
          <cell r="V899">
            <v>4</v>
          </cell>
          <cell r="W899" t="str">
            <v>Saqlain Mehmood</v>
          </cell>
          <cell r="X899" t="str">
            <v>Sardar Yasir Ilyas</v>
          </cell>
          <cell r="Y899">
            <v>44248</v>
          </cell>
        </row>
        <row r="900">
          <cell r="K900">
            <v>2488</v>
          </cell>
          <cell r="M900" t="str">
            <v>Intiqal</v>
          </cell>
          <cell r="N900" t="str">
            <v>Not Available</v>
          </cell>
          <cell r="O900">
            <v>2</v>
          </cell>
          <cell r="P900">
            <v>0</v>
          </cell>
          <cell r="Q900">
            <v>0</v>
          </cell>
          <cell r="R900">
            <v>610000</v>
          </cell>
          <cell r="S900">
            <v>500000</v>
          </cell>
          <cell r="T900">
            <v>0</v>
          </cell>
          <cell r="U900">
            <v>0</v>
          </cell>
          <cell r="V900">
            <v>0</v>
          </cell>
          <cell r="X900" t="str">
            <v>Sardar Tanveer Ilyas</v>
          </cell>
        </row>
        <row r="901">
          <cell r="K901">
            <v>3025</v>
          </cell>
          <cell r="L901">
            <v>12321</v>
          </cell>
          <cell r="M901" t="str">
            <v>Intiqal</v>
          </cell>
          <cell r="N901" t="str">
            <v>Registry</v>
          </cell>
          <cell r="O901">
            <v>0</v>
          </cell>
          <cell r="P901">
            <v>10</v>
          </cell>
          <cell r="Q901">
            <v>0</v>
          </cell>
          <cell r="R901">
            <v>31800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 t="str">
            <v>Hakeem Khan</v>
          </cell>
          <cell r="X901" t="str">
            <v>Sardar Tanveer Ilyas</v>
          </cell>
          <cell r="Y901">
            <v>44077</v>
          </cell>
        </row>
        <row r="902">
          <cell r="K902">
            <v>2978</v>
          </cell>
          <cell r="L902">
            <v>12353</v>
          </cell>
          <cell r="M902" t="str">
            <v>Intiqal</v>
          </cell>
          <cell r="N902" t="str">
            <v>Registry</v>
          </cell>
          <cell r="O902">
            <v>0</v>
          </cell>
          <cell r="P902">
            <v>8</v>
          </cell>
          <cell r="Q902">
            <v>0</v>
          </cell>
          <cell r="R902">
            <v>28000</v>
          </cell>
          <cell r="S902">
            <v>0</v>
          </cell>
          <cell r="T902">
            <v>26</v>
          </cell>
          <cell r="U902">
            <v>5</v>
          </cell>
          <cell r="V902">
            <v>3</v>
          </cell>
          <cell r="W902" t="str">
            <v>Mst naveed kausar</v>
          </cell>
          <cell r="X902" t="str">
            <v>Sardar Tanveer Ilyas</v>
          </cell>
          <cell r="Y902">
            <v>44077</v>
          </cell>
        </row>
        <row r="903">
          <cell r="K903" t="str">
            <v>1924/1925/1926</v>
          </cell>
          <cell r="L903">
            <v>2812</v>
          </cell>
          <cell r="M903" t="str">
            <v>Intiqal</v>
          </cell>
          <cell r="N903" t="str">
            <v>Registry</v>
          </cell>
          <cell r="O903">
            <v>6</v>
          </cell>
          <cell r="P903">
            <v>19</v>
          </cell>
          <cell r="Q903">
            <v>6</v>
          </cell>
          <cell r="R903">
            <v>3084600</v>
          </cell>
          <cell r="S903">
            <v>0</v>
          </cell>
          <cell r="T903">
            <v>-6</v>
          </cell>
          <cell r="U903">
            <v>-11</v>
          </cell>
          <cell r="V903">
            <v>-6</v>
          </cell>
          <cell r="W903" t="str">
            <v>Asifa Naseer</v>
          </cell>
          <cell r="X903" t="str">
            <v>Sardar Tanveer Ilyas</v>
          </cell>
          <cell r="Y903">
            <v>44070</v>
          </cell>
        </row>
        <row r="904">
          <cell r="K904">
            <v>34853486</v>
          </cell>
          <cell r="L904">
            <v>11832</v>
          </cell>
          <cell r="M904" t="str">
            <v>Intiqal</v>
          </cell>
          <cell r="N904" t="str">
            <v>Registry</v>
          </cell>
          <cell r="O904">
            <v>19</v>
          </cell>
          <cell r="P904">
            <v>5</v>
          </cell>
          <cell r="Q904">
            <v>6</v>
          </cell>
          <cell r="R904">
            <v>5326300</v>
          </cell>
          <cell r="S904">
            <v>0</v>
          </cell>
          <cell r="T904">
            <v>-13</v>
          </cell>
          <cell r="U904">
            <v>14</v>
          </cell>
          <cell r="V904">
            <v>0</v>
          </cell>
          <cell r="W904" t="str">
            <v>M nasir jamal</v>
          </cell>
          <cell r="X904" t="str">
            <v>Sardar Tanveer Ilyas</v>
          </cell>
          <cell r="Y904">
            <v>44071</v>
          </cell>
        </row>
        <row r="905">
          <cell r="K905">
            <v>4216</v>
          </cell>
          <cell r="M905" t="str">
            <v>Intiqal</v>
          </cell>
          <cell r="N905" t="str">
            <v>Not Available</v>
          </cell>
          <cell r="O905">
            <v>0</v>
          </cell>
          <cell r="P905">
            <v>6</v>
          </cell>
          <cell r="Q905">
            <v>4</v>
          </cell>
          <cell r="R905">
            <v>0</v>
          </cell>
          <cell r="S905">
            <v>0</v>
          </cell>
          <cell r="T905">
            <v>10</v>
          </cell>
          <cell r="U905">
            <v>6</v>
          </cell>
          <cell r="V905">
            <v>-4</v>
          </cell>
          <cell r="W905" t="str">
            <v>Ansar Bibi</v>
          </cell>
          <cell r="X905" t="str">
            <v>Sardar Tanveer Ilyas</v>
          </cell>
        </row>
        <row r="906">
          <cell r="K906">
            <v>4344</v>
          </cell>
          <cell r="M906" t="str">
            <v>Intiqal</v>
          </cell>
          <cell r="N906" t="str">
            <v>Not Available</v>
          </cell>
          <cell r="O906">
            <v>2</v>
          </cell>
          <cell r="P906">
            <v>0</v>
          </cell>
          <cell r="Q906">
            <v>0</v>
          </cell>
          <cell r="R906">
            <v>173000</v>
          </cell>
          <cell r="S906">
            <v>0</v>
          </cell>
          <cell r="T906">
            <v>-2</v>
          </cell>
          <cell r="U906">
            <v>6</v>
          </cell>
          <cell r="V906">
            <v>4</v>
          </cell>
          <cell r="X906" t="str">
            <v>Sardar Tanveer Ilyas</v>
          </cell>
        </row>
        <row r="907">
          <cell r="K907" t="str">
            <v>5481/5482</v>
          </cell>
          <cell r="L907">
            <v>23428</v>
          </cell>
          <cell r="M907" t="str">
            <v>Not Available</v>
          </cell>
          <cell r="N907" t="str">
            <v>Registry</v>
          </cell>
          <cell r="O907">
            <v>8</v>
          </cell>
          <cell r="P907">
            <v>5</v>
          </cell>
          <cell r="Q907">
            <v>5</v>
          </cell>
          <cell r="R907">
            <v>930300</v>
          </cell>
          <cell r="S907">
            <v>0</v>
          </cell>
          <cell r="T907">
            <v>-6</v>
          </cell>
          <cell r="U907">
            <v>-5</v>
          </cell>
          <cell r="V907">
            <v>-5</v>
          </cell>
          <cell r="W907" t="str">
            <v>Muhammad Saleem</v>
          </cell>
          <cell r="X907" t="str">
            <v>Sardar Tanveer Ilyas</v>
          </cell>
          <cell r="Y907">
            <v>44163</v>
          </cell>
        </row>
        <row r="908">
          <cell r="K908">
            <v>3101</v>
          </cell>
          <cell r="L908">
            <v>26306</v>
          </cell>
          <cell r="M908" t="str">
            <v>Intiqal</v>
          </cell>
          <cell r="N908" t="str">
            <v>Registry</v>
          </cell>
          <cell r="O908">
            <v>1</v>
          </cell>
          <cell r="P908">
            <v>0</v>
          </cell>
          <cell r="Q908">
            <v>0</v>
          </cell>
          <cell r="R908">
            <v>50300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 t="str">
            <v>Azam Elahi</v>
          </cell>
          <cell r="X908" t="str">
            <v>Sardar Tanveer Ilyas</v>
          </cell>
          <cell r="Y908">
            <v>44187</v>
          </cell>
        </row>
        <row r="909">
          <cell r="K909" t="str">
            <v>3102/3103</v>
          </cell>
          <cell r="L909">
            <v>13175</v>
          </cell>
          <cell r="M909" t="str">
            <v>Intiqal</v>
          </cell>
          <cell r="N909" t="str">
            <v>Registry</v>
          </cell>
          <cell r="O909">
            <v>0</v>
          </cell>
          <cell r="P909">
            <v>7</v>
          </cell>
          <cell r="Q909">
            <v>2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 t="str">
            <v>Mst shehnaz begum</v>
          </cell>
          <cell r="X909" t="str">
            <v>Sardar Tanveer Ilyas</v>
          </cell>
          <cell r="Y909">
            <v>44084</v>
          </cell>
        </row>
        <row r="910">
          <cell r="K910">
            <v>2546</v>
          </cell>
          <cell r="M910" t="str">
            <v>Intiqal</v>
          </cell>
          <cell r="N910" t="str">
            <v>Not Available</v>
          </cell>
          <cell r="O910">
            <v>0</v>
          </cell>
          <cell r="P910">
            <v>4</v>
          </cell>
          <cell r="Q910">
            <v>3.78</v>
          </cell>
          <cell r="R910">
            <v>45000</v>
          </cell>
          <cell r="S910">
            <v>0</v>
          </cell>
          <cell r="T910">
            <v>0</v>
          </cell>
          <cell r="U910">
            <v>6</v>
          </cell>
          <cell r="V910">
            <v>-1</v>
          </cell>
          <cell r="X910" t="str">
            <v>Sardar Tanveer Ilyas</v>
          </cell>
        </row>
        <row r="911">
          <cell r="K911">
            <v>2450</v>
          </cell>
          <cell r="M911" t="str">
            <v>Intiqal</v>
          </cell>
          <cell r="N911" t="str">
            <v>Not Available</v>
          </cell>
          <cell r="O911">
            <v>0</v>
          </cell>
          <cell r="P911">
            <v>5</v>
          </cell>
          <cell r="Q911">
            <v>8</v>
          </cell>
          <cell r="R911">
            <v>74680</v>
          </cell>
          <cell r="S911">
            <v>0</v>
          </cell>
          <cell r="T911">
            <v>0</v>
          </cell>
          <cell r="U911">
            <v>-1</v>
          </cell>
          <cell r="V911">
            <v>-4.22</v>
          </cell>
          <cell r="X911" t="str">
            <v>Sardar Tanveer Ilyas</v>
          </cell>
        </row>
        <row r="912">
          <cell r="K912">
            <v>3527</v>
          </cell>
          <cell r="L912">
            <v>12995</v>
          </cell>
          <cell r="M912" t="str">
            <v>Intiqal</v>
          </cell>
          <cell r="N912" t="str">
            <v>Registry</v>
          </cell>
          <cell r="O912">
            <v>0</v>
          </cell>
          <cell r="P912">
            <v>5</v>
          </cell>
          <cell r="Q912">
            <v>0</v>
          </cell>
          <cell r="R912">
            <v>23050</v>
          </cell>
          <cell r="S912">
            <v>0</v>
          </cell>
          <cell r="T912">
            <v>0</v>
          </cell>
          <cell r="U912">
            <v>8</v>
          </cell>
          <cell r="V912">
            <v>3</v>
          </cell>
          <cell r="W912" t="str">
            <v>Rahim bakhsh</v>
          </cell>
          <cell r="X912" t="str">
            <v>Sardar Tanveer Ilyas</v>
          </cell>
          <cell r="Y912">
            <v>44083</v>
          </cell>
        </row>
        <row r="913">
          <cell r="K913">
            <v>4598</v>
          </cell>
          <cell r="L913">
            <v>12996</v>
          </cell>
          <cell r="M913" t="str">
            <v>Intiqal</v>
          </cell>
          <cell r="N913" t="str">
            <v>Registry</v>
          </cell>
          <cell r="O913">
            <v>0</v>
          </cell>
          <cell r="P913">
            <v>5</v>
          </cell>
          <cell r="Q913">
            <v>0</v>
          </cell>
          <cell r="R913">
            <v>23050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 t="str">
            <v>tahir mehmood</v>
          </cell>
          <cell r="X913" t="str">
            <v>Sardar Tanveer Ilyas</v>
          </cell>
          <cell r="Y913">
            <v>44083</v>
          </cell>
        </row>
        <row r="914">
          <cell r="K914">
            <v>3023</v>
          </cell>
          <cell r="L914">
            <v>13010</v>
          </cell>
          <cell r="M914" t="str">
            <v>Intiqal</v>
          </cell>
          <cell r="N914" t="str">
            <v>Registry</v>
          </cell>
          <cell r="O914">
            <v>0</v>
          </cell>
          <cell r="P914">
            <v>3</v>
          </cell>
          <cell r="Q914">
            <v>3</v>
          </cell>
          <cell r="R914">
            <v>20320</v>
          </cell>
          <cell r="S914">
            <v>0</v>
          </cell>
          <cell r="T914">
            <v>0</v>
          </cell>
          <cell r="U914">
            <v>2</v>
          </cell>
          <cell r="V914">
            <v>-3</v>
          </cell>
          <cell r="W914" t="str">
            <v>Rahim bakhsh</v>
          </cell>
          <cell r="X914" t="str">
            <v>Sardar Tanveer Ilyas</v>
          </cell>
          <cell r="Y914">
            <v>44083</v>
          </cell>
        </row>
        <row r="915">
          <cell r="K915">
            <v>2399</v>
          </cell>
          <cell r="M915" t="str">
            <v>Intiqal</v>
          </cell>
          <cell r="N915" t="str">
            <v>Not Available</v>
          </cell>
          <cell r="O915">
            <v>0</v>
          </cell>
          <cell r="P915">
            <v>9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X915" t="str">
            <v>Sardar Tanveer Ilyas</v>
          </cell>
        </row>
        <row r="916">
          <cell r="K916" t="str">
            <v>Can't Transfer (treat as adv to Qaiser)</v>
          </cell>
          <cell r="M916" t="str">
            <v>Not Available</v>
          </cell>
          <cell r="N916" t="str">
            <v>Not Available</v>
          </cell>
          <cell r="O916">
            <v>0</v>
          </cell>
          <cell r="P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1</v>
          </cell>
          <cell r="U916">
            <v>10</v>
          </cell>
          <cell r="V916">
            <v>2</v>
          </cell>
        </row>
        <row r="917">
          <cell r="K917">
            <v>568</v>
          </cell>
          <cell r="L917">
            <v>5595</v>
          </cell>
          <cell r="M917" t="str">
            <v>Intiqal</v>
          </cell>
          <cell r="N917" t="str">
            <v>Registry</v>
          </cell>
          <cell r="O917">
            <v>0</v>
          </cell>
          <cell r="P917">
            <v>10</v>
          </cell>
          <cell r="Q917">
            <v>2</v>
          </cell>
          <cell r="R917">
            <v>64300</v>
          </cell>
          <cell r="S917">
            <v>0</v>
          </cell>
          <cell r="T917">
            <v>0</v>
          </cell>
          <cell r="U917">
            <v>-9</v>
          </cell>
          <cell r="V917">
            <v>-2</v>
          </cell>
          <cell r="W917" t="str">
            <v>Yasir Mehmood</v>
          </cell>
          <cell r="X917" t="str">
            <v>Sardar Yasir Ilyas</v>
          </cell>
          <cell r="Y917">
            <v>44530</v>
          </cell>
        </row>
        <row r="918">
          <cell r="K918">
            <v>615</v>
          </cell>
          <cell r="L918">
            <v>2010</v>
          </cell>
          <cell r="M918" t="str">
            <v>Intiqal</v>
          </cell>
          <cell r="N918" t="str">
            <v>Registry</v>
          </cell>
          <cell r="O918">
            <v>1</v>
          </cell>
          <cell r="P918">
            <v>0</v>
          </cell>
          <cell r="Q918">
            <v>0</v>
          </cell>
          <cell r="R918">
            <v>107300</v>
          </cell>
          <cell r="S918">
            <v>0</v>
          </cell>
          <cell r="T918">
            <v>-1</v>
          </cell>
          <cell r="U918">
            <v>10</v>
          </cell>
          <cell r="V918">
            <v>2</v>
          </cell>
          <cell r="W918" t="str">
            <v>Abdul Qayyum Khan</v>
          </cell>
          <cell r="X918" t="str">
            <v>Sardar Tanveer Ilyas</v>
          </cell>
          <cell r="Y918">
            <v>44214</v>
          </cell>
        </row>
        <row r="919">
          <cell r="K919" t="str">
            <v>Can't Transfer (treat as adv to Qaiser)</v>
          </cell>
          <cell r="M919" t="str">
            <v>Not Available</v>
          </cell>
          <cell r="N919" t="str">
            <v>Not Available</v>
          </cell>
          <cell r="O919">
            <v>0</v>
          </cell>
          <cell r="P919">
            <v>5</v>
          </cell>
          <cell r="Q919">
            <v>0</v>
          </cell>
          <cell r="R919">
            <v>0</v>
          </cell>
          <cell r="S919">
            <v>0</v>
          </cell>
          <cell r="T919">
            <v>6</v>
          </cell>
          <cell r="U919">
            <v>-5</v>
          </cell>
          <cell r="V919">
            <v>0</v>
          </cell>
        </row>
        <row r="920">
          <cell r="K920">
            <v>500</v>
          </cell>
          <cell r="L920">
            <v>20744</v>
          </cell>
          <cell r="M920" t="str">
            <v>Intiqal</v>
          </cell>
          <cell r="N920" t="str">
            <v>Registry</v>
          </cell>
          <cell r="O920">
            <v>0</v>
          </cell>
          <cell r="P920">
            <v>8</v>
          </cell>
          <cell r="Q920">
            <v>7</v>
          </cell>
          <cell r="R920">
            <v>0</v>
          </cell>
          <cell r="S920">
            <v>0</v>
          </cell>
          <cell r="T920">
            <v>0</v>
          </cell>
          <cell r="U920">
            <v>-3</v>
          </cell>
          <cell r="V920">
            <v>-7</v>
          </cell>
          <cell r="W920" t="str">
            <v>Rameez raja</v>
          </cell>
          <cell r="X920" t="str">
            <v>Sardar Yasir Ilyas</v>
          </cell>
          <cell r="Y920">
            <v>44369</v>
          </cell>
        </row>
        <row r="921">
          <cell r="K921" t="str">
            <v>Can't Transfer (treat as adv to Qaiser)</v>
          </cell>
          <cell r="M921" t="str">
            <v>Not Available</v>
          </cell>
          <cell r="N921" t="str">
            <v>Not Available</v>
          </cell>
          <cell r="O921">
            <v>1</v>
          </cell>
          <cell r="P921">
            <v>0</v>
          </cell>
          <cell r="Q921">
            <v>6</v>
          </cell>
          <cell r="R921">
            <v>0</v>
          </cell>
          <cell r="S921">
            <v>0</v>
          </cell>
          <cell r="T921">
            <v>-1</v>
          </cell>
          <cell r="U921">
            <v>8</v>
          </cell>
          <cell r="V921">
            <v>1</v>
          </cell>
        </row>
        <row r="922">
          <cell r="K922">
            <v>544</v>
          </cell>
          <cell r="L922">
            <v>24166</v>
          </cell>
          <cell r="M922" t="str">
            <v>Intiqal</v>
          </cell>
          <cell r="N922" t="str">
            <v>Registry</v>
          </cell>
          <cell r="O922">
            <v>1</v>
          </cell>
          <cell r="P922">
            <v>17</v>
          </cell>
          <cell r="Q922">
            <v>5</v>
          </cell>
          <cell r="R922">
            <v>312800</v>
          </cell>
          <cell r="S922">
            <v>0</v>
          </cell>
          <cell r="T922">
            <v>0</v>
          </cell>
          <cell r="U922">
            <v>-17</v>
          </cell>
          <cell r="V922">
            <v>1</v>
          </cell>
          <cell r="W922" t="str">
            <v>M saeed</v>
          </cell>
          <cell r="X922" t="str">
            <v>Sardar Yasir Ilyas</v>
          </cell>
          <cell r="Y922">
            <v>44392</v>
          </cell>
        </row>
        <row r="923">
          <cell r="K923">
            <v>456</v>
          </cell>
          <cell r="L923">
            <v>19418</v>
          </cell>
          <cell r="M923" t="str">
            <v>Intiqal</v>
          </cell>
          <cell r="N923" t="str">
            <v>Registry</v>
          </cell>
          <cell r="O923">
            <v>2</v>
          </cell>
          <cell r="P923">
            <v>8</v>
          </cell>
          <cell r="Q923">
            <v>0</v>
          </cell>
          <cell r="R923">
            <v>233300</v>
          </cell>
          <cell r="S923">
            <v>0</v>
          </cell>
          <cell r="T923">
            <v>-1</v>
          </cell>
          <cell r="U923">
            <v>9</v>
          </cell>
          <cell r="V923">
            <v>5</v>
          </cell>
          <cell r="W923" t="str">
            <v>M yasin</v>
          </cell>
          <cell r="X923" t="str">
            <v>Sardar Tanveer Ilyas</v>
          </cell>
          <cell r="Y923">
            <v>44130</v>
          </cell>
        </row>
        <row r="924">
          <cell r="K924">
            <v>473</v>
          </cell>
          <cell r="L924">
            <v>10933</v>
          </cell>
          <cell r="M924" t="str">
            <v>Intiqal</v>
          </cell>
          <cell r="N924" t="str">
            <v>Registry</v>
          </cell>
          <cell r="O924">
            <v>4</v>
          </cell>
          <cell r="P924">
            <v>5</v>
          </cell>
          <cell r="Q924">
            <v>2</v>
          </cell>
          <cell r="R924">
            <v>430550</v>
          </cell>
          <cell r="S924">
            <v>0</v>
          </cell>
          <cell r="T924">
            <v>0</v>
          </cell>
          <cell r="U924">
            <v>13</v>
          </cell>
          <cell r="V924">
            <v>-2</v>
          </cell>
          <cell r="W924" t="str">
            <v>Muhammad Gulzar Khan</v>
          </cell>
          <cell r="X924" t="str">
            <v>Sardar Yasir Ilyas</v>
          </cell>
          <cell r="Y924">
            <v>44274</v>
          </cell>
        </row>
        <row r="925">
          <cell r="K925">
            <v>545</v>
          </cell>
          <cell r="L925">
            <v>8339</v>
          </cell>
          <cell r="M925" t="str">
            <v>Intiqal</v>
          </cell>
          <cell r="N925" t="str">
            <v>Registry</v>
          </cell>
          <cell r="O925">
            <v>0</v>
          </cell>
          <cell r="P925">
            <v>12</v>
          </cell>
          <cell r="Q925">
            <v>7</v>
          </cell>
          <cell r="R925">
            <v>84300</v>
          </cell>
          <cell r="S925">
            <v>0</v>
          </cell>
          <cell r="T925">
            <v>4</v>
          </cell>
          <cell r="U925">
            <v>-7</v>
          </cell>
          <cell r="V925">
            <v>-5</v>
          </cell>
          <cell r="W925" t="str">
            <v>M zarar ul gulzar</v>
          </cell>
          <cell r="X925" t="str">
            <v>Sardar Yasir Ilyas</v>
          </cell>
          <cell r="Y925">
            <v>44557</v>
          </cell>
        </row>
        <row r="926">
          <cell r="K926">
            <v>466</v>
          </cell>
          <cell r="L926">
            <v>20713</v>
          </cell>
          <cell r="M926" t="str">
            <v>Intiqal</v>
          </cell>
          <cell r="N926" t="str">
            <v>Registry</v>
          </cell>
          <cell r="O926">
            <v>1</v>
          </cell>
          <cell r="P926">
            <v>11</v>
          </cell>
          <cell r="Q926">
            <v>4.5</v>
          </cell>
          <cell r="R926">
            <v>157800</v>
          </cell>
          <cell r="S926">
            <v>0</v>
          </cell>
          <cell r="T926">
            <v>3</v>
          </cell>
          <cell r="U926">
            <v>7</v>
          </cell>
          <cell r="V926">
            <v>0</v>
          </cell>
          <cell r="W926" t="str">
            <v>Muhammad Zain Noor</v>
          </cell>
          <cell r="X926" t="str">
            <v>Sardar Tanveer Ilyas</v>
          </cell>
          <cell r="Y926">
            <v>44140</v>
          </cell>
        </row>
        <row r="927">
          <cell r="K927">
            <v>463</v>
          </cell>
          <cell r="L927">
            <v>20715</v>
          </cell>
          <cell r="M927" t="str">
            <v>Intiqal</v>
          </cell>
          <cell r="N927" t="str">
            <v>Registry</v>
          </cell>
          <cell r="O927">
            <v>1</v>
          </cell>
          <cell r="P927">
            <v>13</v>
          </cell>
          <cell r="Q927">
            <v>4.5</v>
          </cell>
          <cell r="R927">
            <v>167800</v>
          </cell>
          <cell r="S927">
            <v>0</v>
          </cell>
          <cell r="T927">
            <v>0</v>
          </cell>
          <cell r="U927">
            <v>-2</v>
          </cell>
          <cell r="V927">
            <v>0</v>
          </cell>
          <cell r="W927" t="str">
            <v>Sher afzal</v>
          </cell>
          <cell r="X927" t="str">
            <v>Sardar Tanveer Ilyas</v>
          </cell>
          <cell r="Y927">
            <v>44140</v>
          </cell>
        </row>
        <row r="928">
          <cell r="K928">
            <v>467</v>
          </cell>
          <cell r="L928">
            <v>20714</v>
          </cell>
          <cell r="M928" t="str">
            <v>Intiqal</v>
          </cell>
          <cell r="N928" t="str">
            <v>Registry</v>
          </cell>
          <cell r="O928">
            <v>1</v>
          </cell>
          <cell r="P928">
            <v>13</v>
          </cell>
          <cell r="Q928">
            <v>4.5</v>
          </cell>
          <cell r="R928">
            <v>167800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 t="str">
            <v>Sabir khan</v>
          </cell>
          <cell r="X928" t="str">
            <v>Sardar Tanveer Ilyas</v>
          </cell>
          <cell r="Y928">
            <v>44140</v>
          </cell>
        </row>
        <row r="929">
          <cell r="K929">
            <v>3028</v>
          </cell>
          <cell r="L929">
            <v>17055</v>
          </cell>
          <cell r="M929" t="str">
            <v>Intiqal</v>
          </cell>
          <cell r="N929" t="str">
            <v>Registry</v>
          </cell>
          <cell r="O929">
            <v>0</v>
          </cell>
          <cell r="P929">
            <v>10</v>
          </cell>
          <cell r="Q929">
            <v>0</v>
          </cell>
          <cell r="R929">
            <v>28450</v>
          </cell>
          <cell r="S929">
            <v>0</v>
          </cell>
          <cell r="T929">
            <v>2</v>
          </cell>
          <cell r="U929">
            <v>-5</v>
          </cell>
          <cell r="V929">
            <v>0</v>
          </cell>
          <cell r="W929" t="str">
            <v>M zaheer khan</v>
          </cell>
          <cell r="X929" t="str">
            <v>Sardar Tanveer Ilyas</v>
          </cell>
          <cell r="Y929">
            <v>44113</v>
          </cell>
        </row>
        <row r="930">
          <cell r="K930">
            <v>3030</v>
          </cell>
          <cell r="L930">
            <v>17286</v>
          </cell>
          <cell r="M930" t="str">
            <v>Intiqal</v>
          </cell>
          <cell r="N930" t="str">
            <v>Registry</v>
          </cell>
          <cell r="O930">
            <v>0</v>
          </cell>
          <cell r="P930">
            <v>5</v>
          </cell>
          <cell r="Q930">
            <v>0</v>
          </cell>
          <cell r="R930">
            <v>450000</v>
          </cell>
          <cell r="S930">
            <v>0</v>
          </cell>
          <cell r="T930">
            <v>0</v>
          </cell>
          <cell r="U930">
            <v>5</v>
          </cell>
          <cell r="V930">
            <v>0</v>
          </cell>
          <cell r="W930" t="str">
            <v>Nazim hussain</v>
          </cell>
          <cell r="X930" t="str">
            <v>Sardar Tanveer Ilyas</v>
          </cell>
          <cell r="Y930">
            <v>44116</v>
          </cell>
        </row>
        <row r="931">
          <cell r="K931">
            <v>3029</v>
          </cell>
          <cell r="L931">
            <v>17285</v>
          </cell>
          <cell r="M931" t="str">
            <v>Intiqal</v>
          </cell>
          <cell r="N931" t="str">
            <v>Registry</v>
          </cell>
          <cell r="O931">
            <v>0</v>
          </cell>
          <cell r="P931">
            <v>5</v>
          </cell>
          <cell r="Q931">
            <v>0</v>
          </cell>
          <cell r="R931">
            <v>19050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 t="str">
            <v>Sadaqat hussain</v>
          </cell>
          <cell r="X931" t="str">
            <v>Sardar Tanveer Ilyas</v>
          </cell>
          <cell r="Y931">
            <v>44116</v>
          </cell>
        </row>
        <row r="932">
          <cell r="K932">
            <v>3027</v>
          </cell>
          <cell r="L932">
            <v>17052</v>
          </cell>
          <cell r="M932" t="str">
            <v>Intiqal</v>
          </cell>
          <cell r="N932" t="str">
            <v>Registry</v>
          </cell>
          <cell r="O932">
            <v>0</v>
          </cell>
          <cell r="P932">
            <v>5</v>
          </cell>
          <cell r="Q932">
            <v>0</v>
          </cell>
          <cell r="R932">
            <v>19050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 t="str">
            <v>M imtiaz</v>
          </cell>
          <cell r="X932" t="str">
            <v>Sardar Tanveer Ilyas</v>
          </cell>
          <cell r="Y932">
            <v>44113</v>
          </cell>
        </row>
        <row r="933">
          <cell r="K933">
            <v>3026</v>
          </cell>
          <cell r="L933">
            <v>17051</v>
          </cell>
          <cell r="M933" t="str">
            <v>Intiqal</v>
          </cell>
          <cell r="N933" t="str">
            <v>Registry</v>
          </cell>
          <cell r="O933">
            <v>0</v>
          </cell>
          <cell r="P933">
            <v>5</v>
          </cell>
          <cell r="Q933">
            <v>0</v>
          </cell>
          <cell r="R933">
            <v>19050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 t="str">
            <v>Saeed Anwar</v>
          </cell>
          <cell r="X933" t="str">
            <v>Sardar Tanveer Ilyas</v>
          </cell>
          <cell r="Y933">
            <v>44113</v>
          </cell>
        </row>
        <row r="934">
          <cell r="K934">
            <v>3034</v>
          </cell>
          <cell r="L934">
            <v>17054</v>
          </cell>
          <cell r="M934" t="str">
            <v>Intiqal</v>
          </cell>
          <cell r="N934" t="str">
            <v>Registry</v>
          </cell>
          <cell r="O934">
            <v>0</v>
          </cell>
          <cell r="P934">
            <v>15</v>
          </cell>
          <cell r="Q934">
            <v>0</v>
          </cell>
          <cell r="R934">
            <v>36050</v>
          </cell>
          <cell r="S934">
            <v>0</v>
          </cell>
          <cell r="T934">
            <v>0</v>
          </cell>
          <cell r="U934">
            <v>-10</v>
          </cell>
          <cell r="V934">
            <v>0</v>
          </cell>
          <cell r="W934" t="str">
            <v>Hafiz Ejaz Hussain</v>
          </cell>
          <cell r="X934" t="str">
            <v>Sardar Tanveer Ilyas</v>
          </cell>
          <cell r="Y934">
            <v>44113</v>
          </cell>
        </row>
        <row r="935">
          <cell r="K935">
            <v>3432</v>
          </cell>
          <cell r="L935">
            <v>13391</v>
          </cell>
          <cell r="M935" t="str">
            <v>Intiqal</v>
          </cell>
          <cell r="N935" t="str">
            <v>Registry</v>
          </cell>
          <cell r="O935">
            <v>0</v>
          </cell>
          <cell r="P935">
            <v>5</v>
          </cell>
          <cell r="Q935">
            <v>8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 t="str">
            <v>ameer afsar</v>
          </cell>
          <cell r="X935" t="str">
            <v>Sardar Tanveer Ilyas</v>
          </cell>
          <cell r="Y935">
            <v>44086</v>
          </cell>
        </row>
        <row r="936">
          <cell r="K936">
            <v>457</v>
          </cell>
          <cell r="L936">
            <v>17274</v>
          </cell>
          <cell r="M936" t="str">
            <v>Intiqal</v>
          </cell>
          <cell r="N936" t="str">
            <v>Registry</v>
          </cell>
          <cell r="O936">
            <v>0</v>
          </cell>
          <cell r="P936">
            <v>8</v>
          </cell>
          <cell r="Q936">
            <v>8</v>
          </cell>
          <cell r="R936">
            <v>19300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 t="str">
            <v>Nisar ahmed</v>
          </cell>
          <cell r="X936" t="str">
            <v>Sardar Tanveer Ilyas</v>
          </cell>
          <cell r="Y936">
            <v>44114</v>
          </cell>
        </row>
        <row r="937">
          <cell r="K937">
            <v>3478</v>
          </cell>
          <cell r="L937">
            <v>17273</v>
          </cell>
          <cell r="M937" t="str">
            <v>Intiqal</v>
          </cell>
          <cell r="N937" t="str">
            <v>Registry</v>
          </cell>
          <cell r="O937">
            <v>0</v>
          </cell>
          <cell r="P937">
            <v>1</v>
          </cell>
          <cell r="Q937">
            <v>3</v>
          </cell>
          <cell r="R937">
            <v>2800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 t="str">
            <v>Nisar ahmed</v>
          </cell>
          <cell r="X937" t="str">
            <v>Sardar Tanveer Ilyas</v>
          </cell>
          <cell r="Y937">
            <v>44114</v>
          </cell>
        </row>
        <row r="938">
          <cell r="K938">
            <v>3032</v>
          </cell>
          <cell r="L938">
            <v>21834</v>
          </cell>
          <cell r="M938" t="str">
            <v>Intiqal</v>
          </cell>
          <cell r="N938" t="str">
            <v>Registry</v>
          </cell>
          <cell r="O938">
            <v>0</v>
          </cell>
          <cell r="P938">
            <v>5</v>
          </cell>
          <cell r="Q938">
            <v>0</v>
          </cell>
          <cell r="R938">
            <v>56300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 t="str">
            <v>Shabana Aftab</v>
          </cell>
          <cell r="X938" t="str">
            <v>Sardar Tanveer Ilyas</v>
          </cell>
          <cell r="Y938">
            <v>44149</v>
          </cell>
        </row>
        <row r="939">
          <cell r="K939">
            <v>497</v>
          </cell>
          <cell r="L939">
            <v>18631</v>
          </cell>
          <cell r="M939" t="str">
            <v>Intiqal</v>
          </cell>
          <cell r="N939" t="str">
            <v>Registry</v>
          </cell>
          <cell r="O939">
            <v>23</v>
          </cell>
          <cell r="P939">
            <v>18</v>
          </cell>
          <cell r="Q939">
            <v>7</v>
          </cell>
          <cell r="R939">
            <v>2219300</v>
          </cell>
          <cell r="S939">
            <v>1196944</v>
          </cell>
          <cell r="T939">
            <v>36</v>
          </cell>
          <cell r="U939">
            <v>-1</v>
          </cell>
          <cell r="V939">
            <v>-5</v>
          </cell>
          <cell r="W939" t="str">
            <v>Shamim akhtar</v>
          </cell>
          <cell r="X939" t="str">
            <v>Sardar Yasir Ilyas</v>
          </cell>
          <cell r="Y939">
            <v>44351</v>
          </cell>
        </row>
        <row r="940">
          <cell r="K940">
            <v>618</v>
          </cell>
          <cell r="L940">
            <v>11782</v>
          </cell>
          <cell r="M940" t="str">
            <v>Intiqal</v>
          </cell>
          <cell r="N940" t="str">
            <v>Registry</v>
          </cell>
          <cell r="O940">
            <v>0</v>
          </cell>
          <cell r="P940">
            <v>16</v>
          </cell>
          <cell r="Q940">
            <v>0</v>
          </cell>
          <cell r="R940">
            <v>92300</v>
          </cell>
          <cell r="S940">
            <v>0</v>
          </cell>
          <cell r="T940">
            <v>23</v>
          </cell>
          <cell r="U940">
            <v>2</v>
          </cell>
          <cell r="V940">
            <v>7</v>
          </cell>
          <cell r="W940" t="str">
            <v>shehzad mehmood</v>
          </cell>
          <cell r="X940" t="str">
            <v>Sardar Yasir Ilyas</v>
          </cell>
          <cell r="Y940">
            <v>44282</v>
          </cell>
        </row>
        <row r="941">
          <cell r="K941">
            <v>606</v>
          </cell>
          <cell r="L941">
            <v>11783</v>
          </cell>
          <cell r="M941" t="str">
            <v>Not Available</v>
          </cell>
          <cell r="N941" t="str">
            <v>Registry</v>
          </cell>
          <cell r="O941">
            <v>23</v>
          </cell>
          <cell r="P941">
            <v>1</v>
          </cell>
          <cell r="Q941">
            <v>6</v>
          </cell>
          <cell r="R941">
            <v>2298815</v>
          </cell>
          <cell r="S941">
            <v>3000000</v>
          </cell>
          <cell r="T941">
            <v>-23</v>
          </cell>
          <cell r="U941">
            <v>15</v>
          </cell>
          <cell r="V941">
            <v>-6</v>
          </cell>
          <cell r="W941" t="str">
            <v>Muhammad Rabnawaz</v>
          </cell>
          <cell r="X941" t="str">
            <v>Sardar Yasir Ilyas</v>
          </cell>
          <cell r="Y941">
            <v>44282</v>
          </cell>
        </row>
        <row r="942">
          <cell r="K942">
            <v>502</v>
          </cell>
          <cell r="L942">
            <v>12285</v>
          </cell>
          <cell r="M942" t="str">
            <v>Intiqal</v>
          </cell>
          <cell r="N942" t="str">
            <v>Registry</v>
          </cell>
          <cell r="O942">
            <v>4</v>
          </cell>
          <cell r="P942">
            <v>0</v>
          </cell>
          <cell r="Q942">
            <v>0</v>
          </cell>
          <cell r="R942">
            <v>489300</v>
          </cell>
          <cell r="S942">
            <v>0</v>
          </cell>
          <cell r="T942">
            <v>19</v>
          </cell>
          <cell r="U942">
            <v>1</v>
          </cell>
          <cell r="V942">
            <v>6</v>
          </cell>
          <cell r="W942" t="str">
            <v>shazia shehzad</v>
          </cell>
          <cell r="X942" t="str">
            <v>Sardar Yasir Ilyas</v>
          </cell>
          <cell r="Y942">
            <v>44286</v>
          </cell>
        </row>
        <row r="943">
          <cell r="K943">
            <v>493</v>
          </cell>
          <cell r="L943">
            <v>12284</v>
          </cell>
          <cell r="M943" t="str">
            <v>Intiqal</v>
          </cell>
          <cell r="N943" t="str">
            <v>Registry</v>
          </cell>
          <cell r="O943">
            <v>1</v>
          </cell>
          <cell r="P943">
            <v>0</v>
          </cell>
          <cell r="Q943">
            <v>0</v>
          </cell>
          <cell r="R943">
            <v>119300</v>
          </cell>
          <cell r="S943">
            <v>0</v>
          </cell>
          <cell r="T943">
            <v>3</v>
          </cell>
          <cell r="U943">
            <v>0</v>
          </cell>
          <cell r="V943">
            <v>0</v>
          </cell>
          <cell r="W943" t="str">
            <v>Bilal qayyum</v>
          </cell>
          <cell r="X943" t="str">
            <v>Sardar Yasir Ilyas</v>
          </cell>
          <cell r="Y943">
            <v>44286</v>
          </cell>
        </row>
        <row r="944">
          <cell r="K944">
            <v>494</v>
          </cell>
          <cell r="L944">
            <v>12283</v>
          </cell>
          <cell r="M944" t="str">
            <v>Intiqal</v>
          </cell>
          <cell r="N944" t="str">
            <v>Registry</v>
          </cell>
          <cell r="O944">
            <v>7</v>
          </cell>
          <cell r="P944">
            <v>0</v>
          </cell>
          <cell r="Q944">
            <v>7</v>
          </cell>
          <cell r="R944">
            <v>672810</v>
          </cell>
          <cell r="S944">
            <v>0</v>
          </cell>
          <cell r="T944">
            <v>-6</v>
          </cell>
          <cell r="U944">
            <v>0</v>
          </cell>
          <cell r="V944">
            <v>-7</v>
          </cell>
          <cell r="W944" t="str">
            <v>Zaib un nisa</v>
          </cell>
          <cell r="X944" t="str">
            <v>Sardar Yasir Ilyas</v>
          </cell>
          <cell r="Y944">
            <v>44276</v>
          </cell>
        </row>
        <row r="945">
          <cell r="K945">
            <v>465</v>
          </cell>
          <cell r="L945">
            <v>5514</v>
          </cell>
          <cell r="M945" t="str">
            <v>Intiqal</v>
          </cell>
          <cell r="N945" t="str">
            <v>Registry</v>
          </cell>
          <cell r="O945">
            <v>0</v>
          </cell>
          <cell r="P945">
            <v>10</v>
          </cell>
          <cell r="Q945">
            <v>0</v>
          </cell>
          <cell r="R945">
            <v>80300</v>
          </cell>
          <cell r="S945">
            <v>0</v>
          </cell>
          <cell r="T945">
            <v>23</v>
          </cell>
          <cell r="U945">
            <v>7</v>
          </cell>
          <cell r="V945">
            <v>5</v>
          </cell>
          <cell r="W945" t="str">
            <v>Ajmal Mehmood</v>
          </cell>
          <cell r="X945" t="str">
            <v>Sardar Yasir Ilyas</v>
          </cell>
          <cell r="Y945">
            <v>44238</v>
          </cell>
        </row>
        <row r="946">
          <cell r="K946" t="str">
            <v>501/509</v>
          </cell>
          <cell r="L946">
            <v>4056</v>
          </cell>
          <cell r="M946" t="str">
            <v>Intiqal</v>
          </cell>
          <cell r="N946" t="str">
            <v>Registry</v>
          </cell>
          <cell r="O946">
            <v>23</v>
          </cell>
          <cell r="P946">
            <v>7</v>
          </cell>
          <cell r="Q946">
            <v>5</v>
          </cell>
          <cell r="R946">
            <v>2159500</v>
          </cell>
          <cell r="S946">
            <v>0</v>
          </cell>
          <cell r="T946">
            <v>-23</v>
          </cell>
          <cell r="U946">
            <v>3</v>
          </cell>
          <cell r="V946">
            <v>-5</v>
          </cell>
          <cell r="W946" t="str">
            <v>Saeed abbas</v>
          </cell>
          <cell r="X946" t="str">
            <v>Sardar Yasir Ilyas</v>
          </cell>
          <cell r="Y946">
            <v>44228</v>
          </cell>
        </row>
        <row r="947">
          <cell r="K947">
            <v>740</v>
          </cell>
          <cell r="L947">
            <v>20369</v>
          </cell>
          <cell r="M947" t="str">
            <v>Intiqal</v>
          </cell>
          <cell r="N947" t="str">
            <v>Registry</v>
          </cell>
          <cell r="O947">
            <v>0</v>
          </cell>
          <cell r="P947">
            <v>12</v>
          </cell>
          <cell r="Q947">
            <v>7</v>
          </cell>
          <cell r="R947">
            <v>0</v>
          </cell>
          <cell r="S947">
            <v>0</v>
          </cell>
          <cell r="T947">
            <v>19</v>
          </cell>
          <cell r="U947">
            <v>1</v>
          </cell>
          <cell r="V947">
            <v>0</v>
          </cell>
          <cell r="W947" t="str">
            <v>Waqar Ul Gulzar</v>
          </cell>
          <cell r="X947" t="str">
            <v>Sardar Yasir Ilyas</v>
          </cell>
          <cell r="Y947">
            <v>44803</v>
          </cell>
        </row>
        <row r="948">
          <cell r="K948">
            <v>566</v>
          </cell>
          <cell r="L948">
            <v>8338</v>
          </cell>
          <cell r="M948" t="str">
            <v>Intiqal</v>
          </cell>
          <cell r="N948" t="str">
            <v>Registry</v>
          </cell>
          <cell r="O948">
            <v>19</v>
          </cell>
          <cell r="P948">
            <v>1</v>
          </cell>
          <cell r="Q948">
            <v>0</v>
          </cell>
          <cell r="R948">
            <v>1814300</v>
          </cell>
          <cell r="S948">
            <v>1143000</v>
          </cell>
          <cell r="T948">
            <v>-19</v>
          </cell>
          <cell r="U948">
            <v>11</v>
          </cell>
          <cell r="V948">
            <v>7</v>
          </cell>
          <cell r="W948" t="str">
            <v>Muhammad Gulzar Khan</v>
          </cell>
          <cell r="X948" t="str">
            <v>Sardar Yasir Ilyas</v>
          </cell>
          <cell r="Y948">
            <v>44557</v>
          </cell>
        </row>
        <row r="949">
          <cell r="K949">
            <v>1804</v>
          </cell>
          <cell r="L949">
            <v>6663</v>
          </cell>
          <cell r="M949" t="str">
            <v>Intiqal</v>
          </cell>
          <cell r="N949" t="str">
            <v>Registry</v>
          </cell>
          <cell r="O949">
            <v>0</v>
          </cell>
          <cell r="P949">
            <v>1</v>
          </cell>
          <cell r="Q949">
            <v>8</v>
          </cell>
          <cell r="R949">
            <v>116000</v>
          </cell>
          <cell r="S949">
            <v>0</v>
          </cell>
          <cell r="T949">
            <v>0</v>
          </cell>
          <cell r="U949">
            <v>6</v>
          </cell>
          <cell r="V949">
            <v>-8</v>
          </cell>
          <cell r="W949" t="str">
            <v>Muhammad Musa Kiyani</v>
          </cell>
          <cell r="X949" t="str">
            <v>Sardar Yasir Ilyas</v>
          </cell>
          <cell r="Y949">
            <v>44910</v>
          </cell>
        </row>
        <row r="950">
          <cell r="K950">
            <v>1876</v>
          </cell>
          <cell r="L950">
            <v>605</v>
          </cell>
          <cell r="M950" t="str">
            <v>Intiqal</v>
          </cell>
          <cell r="N950" t="str">
            <v>Registry</v>
          </cell>
          <cell r="O950">
            <v>0</v>
          </cell>
          <cell r="P950">
            <v>5</v>
          </cell>
          <cell r="Q950">
            <v>1</v>
          </cell>
          <cell r="R950">
            <v>63000</v>
          </cell>
          <cell r="S950">
            <v>0</v>
          </cell>
          <cell r="T950">
            <v>0</v>
          </cell>
          <cell r="U950">
            <v>-4</v>
          </cell>
          <cell r="V950">
            <v>7</v>
          </cell>
          <cell r="W950" t="str">
            <v>M talha ahmed</v>
          </cell>
          <cell r="X950" t="str">
            <v>Sardar Yasir Ilyas</v>
          </cell>
          <cell r="Y950">
            <v>44223</v>
          </cell>
        </row>
        <row r="951">
          <cell r="K951">
            <v>3522</v>
          </cell>
          <cell r="L951">
            <v>27744</v>
          </cell>
          <cell r="M951" t="str">
            <v>Intiqal</v>
          </cell>
          <cell r="N951" t="str">
            <v>Registry</v>
          </cell>
          <cell r="O951">
            <v>0</v>
          </cell>
          <cell r="P951">
            <v>19</v>
          </cell>
          <cell r="Q951">
            <v>4.71</v>
          </cell>
          <cell r="R951">
            <v>72300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 t="str">
            <v>Muhammad Younis</v>
          </cell>
          <cell r="X951" t="str">
            <v>Sardar Yasir Ilyas</v>
          </cell>
          <cell r="Y951">
            <v>44196</v>
          </cell>
        </row>
        <row r="952">
          <cell r="K952">
            <v>455</v>
          </cell>
          <cell r="L952">
            <v>26387</v>
          </cell>
          <cell r="M952" t="str">
            <v>Intiqal</v>
          </cell>
          <cell r="N952" t="str">
            <v>Registry</v>
          </cell>
          <cell r="O952">
            <v>1</v>
          </cell>
          <cell r="P952">
            <v>0</v>
          </cell>
          <cell r="Q952">
            <v>0</v>
          </cell>
          <cell r="R952">
            <v>107300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 t="str">
            <v>Yasir mehmood</v>
          </cell>
          <cell r="X952" t="str">
            <v>Sardar Tanveer Ilyas</v>
          </cell>
          <cell r="Y952">
            <v>44187</v>
          </cell>
        </row>
        <row r="953">
          <cell r="K953">
            <v>3530</v>
          </cell>
          <cell r="L953">
            <v>1940</v>
          </cell>
          <cell r="M953" t="str">
            <v>Intiqal</v>
          </cell>
          <cell r="N953" t="str">
            <v>Registry</v>
          </cell>
          <cell r="O953">
            <v>0</v>
          </cell>
          <cell r="P953">
            <v>3</v>
          </cell>
          <cell r="Q953">
            <v>3</v>
          </cell>
          <cell r="R953">
            <v>20320</v>
          </cell>
          <cell r="S953">
            <v>0</v>
          </cell>
          <cell r="T953">
            <v>1</v>
          </cell>
          <cell r="U953">
            <v>-3</v>
          </cell>
          <cell r="V953">
            <v>-2</v>
          </cell>
          <cell r="W953" t="str">
            <v>Asad mehmood</v>
          </cell>
          <cell r="X953" t="str">
            <v>Sardar Yasir Ilyas</v>
          </cell>
          <cell r="Y953">
            <v>44214</v>
          </cell>
        </row>
        <row r="954">
          <cell r="K954">
            <v>3253</v>
          </cell>
          <cell r="L954">
            <v>27567</v>
          </cell>
          <cell r="M954" t="str">
            <v>Intiqal</v>
          </cell>
          <cell r="N954" t="str">
            <v>Registry</v>
          </cell>
          <cell r="O954">
            <v>0</v>
          </cell>
          <cell r="P954">
            <v>7</v>
          </cell>
          <cell r="Q954">
            <v>8</v>
          </cell>
          <cell r="R954">
            <v>28000</v>
          </cell>
          <cell r="S954">
            <v>0</v>
          </cell>
          <cell r="T954">
            <v>0</v>
          </cell>
          <cell r="U954">
            <v>-4</v>
          </cell>
          <cell r="V954">
            <v>-5</v>
          </cell>
          <cell r="W954" t="str">
            <v>qazi ijaz hussain</v>
          </cell>
          <cell r="X954" t="str">
            <v>Sardar Yasir Ilyas</v>
          </cell>
          <cell r="Y954">
            <v>44195</v>
          </cell>
        </row>
        <row r="955">
          <cell r="K955">
            <v>3251</v>
          </cell>
          <cell r="L955">
            <v>27224</v>
          </cell>
          <cell r="M955" t="str">
            <v>Intiqal</v>
          </cell>
          <cell r="N955" t="str">
            <v>Registry</v>
          </cell>
          <cell r="O955">
            <v>0</v>
          </cell>
          <cell r="P955">
            <v>8</v>
          </cell>
          <cell r="Q955">
            <v>8</v>
          </cell>
          <cell r="R955">
            <v>39550</v>
          </cell>
          <cell r="S955">
            <v>0</v>
          </cell>
          <cell r="T955">
            <v>0</v>
          </cell>
          <cell r="U955">
            <v>-1</v>
          </cell>
          <cell r="V955">
            <v>0</v>
          </cell>
          <cell r="W955" t="str">
            <v>Qazi mazhar hussain</v>
          </cell>
          <cell r="X955" t="str">
            <v>Sardar Yasir Ilyas</v>
          </cell>
          <cell r="Y955">
            <v>44194</v>
          </cell>
        </row>
        <row r="956">
          <cell r="K956">
            <v>1349</v>
          </cell>
          <cell r="L956">
            <v>48</v>
          </cell>
          <cell r="M956" t="str">
            <v>Intiqal</v>
          </cell>
          <cell r="N956" t="str">
            <v>Registry</v>
          </cell>
          <cell r="O956">
            <v>0</v>
          </cell>
          <cell r="P956">
            <v>4</v>
          </cell>
          <cell r="Q956">
            <v>8</v>
          </cell>
          <cell r="R956">
            <v>53400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 t="str">
            <v>Zahid Qayyum</v>
          </cell>
          <cell r="X956" t="str">
            <v>Sardar Yasir Ilyas</v>
          </cell>
          <cell r="Y956">
            <v>44201</v>
          </cell>
        </row>
        <row r="957">
          <cell r="K957">
            <v>3427</v>
          </cell>
          <cell r="L957">
            <v>4771</v>
          </cell>
          <cell r="M957" t="str">
            <v>Intiqal</v>
          </cell>
          <cell r="N957" t="str">
            <v>Registry</v>
          </cell>
          <cell r="O957">
            <v>1</v>
          </cell>
          <cell r="P957">
            <v>14</v>
          </cell>
          <cell r="Q957">
            <v>0</v>
          </cell>
          <cell r="R957">
            <v>73400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 t="str">
            <v>Mst naveed kausar</v>
          </cell>
          <cell r="X957" t="str">
            <v>Sardar Yasir Ilyas</v>
          </cell>
          <cell r="Y957">
            <v>44233</v>
          </cell>
        </row>
        <row r="958">
          <cell r="K958">
            <v>3838</v>
          </cell>
          <cell r="L958">
            <v>1079</v>
          </cell>
          <cell r="M958" t="str">
            <v>Intiqal</v>
          </cell>
          <cell r="N958" t="str">
            <v>Registry</v>
          </cell>
          <cell r="O958">
            <v>5</v>
          </cell>
          <cell r="P958">
            <v>10</v>
          </cell>
          <cell r="Q958">
            <v>5</v>
          </cell>
          <cell r="R958">
            <v>451300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 t="str">
            <v>Ahmed waheed akhtar</v>
          </cell>
          <cell r="X958" t="str">
            <v>Sardar Yasir Ilyas</v>
          </cell>
          <cell r="Y958">
            <v>44207</v>
          </cell>
        </row>
        <row r="959">
          <cell r="K959">
            <v>2301</v>
          </cell>
          <cell r="M959" t="str">
            <v>Intiqal</v>
          </cell>
          <cell r="N959" t="str">
            <v>Not Available</v>
          </cell>
          <cell r="O959">
            <v>0</v>
          </cell>
          <cell r="P959">
            <v>4</v>
          </cell>
          <cell r="Q959">
            <v>0.28000000000000003</v>
          </cell>
          <cell r="R959">
            <v>0</v>
          </cell>
          <cell r="S959">
            <v>0</v>
          </cell>
          <cell r="T959">
            <v>3</v>
          </cell>
          <cell r="U959">
            <v>10</v>
          </cell>
          <cell r="V959">
            <v>-1.8</v>
          </cell>
          <cell r="X959" t="str">
            <v>Sardar Tanveer Ilyas</v>
          </cell>
        </row>
        <row r="960">
          <cell r="K960">
            <v>3449</v>
          </cell>
          <cell r="L960">
            <v>3486</v>
          </cell>
          <cell r="M960" t="str">
            <v>Intiqal</v>
          </cell>
          <cell r="N960" t="str">
            <v>Registry</v>
          </cell>
          <cell r="O960">
            <v>0</v>
          </cell>
          <cell r="P960">
            <v>3</v>
          </cell>
          <cell r="Q960">
            <v>4.5</v>
          </cell>
          <cell r="R960">
            <v>20590</v>
          </cell>
          <cell r="S960">
            <v>0</v>
          </cell>
          <cell r="T960">
            <v>0</v>
          </cell>
          <cell r="U960">
            <v>0</v>
          </cell>
          <cell r="V960">
            <v>4.78</v>
          </cell>
          <cell r="W960" t="str">
            <v>M bashir</v>
          </cell>
          <cell r="X960" t="str">
            <v>Sardar Yasir Ilyas</v>
          </cell>
          <cell r="Y960">
            <v>44223</v>
          </cell>
        </row>
        <row r="961">
          <cell r="K961">
            <v>3436</v>
          </cell>
          <cell r="L961">
            <v>3481</v>
          </cell>
          <cell r="M961" t="str">
            <v>Intiqal</v>
          </cell>
          <cell r="N961" t="str">
            <v>Registry</v>
          </cell>
          <cell r="O961">
            <v>0</v>
          </cell>
          <cell r="P961">
            <v>5</v>
          </cell>
          <cell r="Q961">
            <v>0</v>
          </cell>
          <cell r="R961">
            <v>23050</v>
          </cell>
          <cell r="S961">
            <v>0</v>
          </cell>
          <cell r="T961">
            <v>0</v>
          </cell>
          <cell r="U961">
            <v>-2</v>
          </cell>
          <cell r="V961">
            <v>4.5</v>
          </cell>
          <cell r="W961" t="str">
            <v>Mazhar Hussain</v>
          </cell>
          <cell r="X961" t="str">
            <v>Sardar Yasir Ilyas</v>
          </cell>
          <cell r="Y961">
            <v>44223</v>
          </cell>
        </row>
        <row r="962">
          <cell r="K962">
            <v>3447</v>
          </cell>
          <cell r="L962">
            <v>3485</v>
          </cell>
          <cell r="M962" t="str">
            <v>Intiqal</v>
          </cell>
          <cell r="N962" t="str">
            <v>Registry</v>
          </cell>
          <cell r="O962">
            <v>0</v>
          </cell>
          <cell r="P962">
            <v>12</v>
          </cell>
          <cell r="Q962">
            <v>0</v>
          </cell>
          <cell r="R962">
            <v>35100</v>
          </cell>
          <cell r="S962">
            <v>0</v>
          </cell>
          <cell r="T962">
            <v>0</v>
          </cell>
          <cell r="U962">
            <v>-7</v>
          </cell>
          <cell r="V962">
            <v>0</v>
          </cell>
          <cell r="W962" t="str">
            <v>Azhar Mehmood</v>
          </cell>
          <cell r="X962" t="str">
            <v>Sardar Yasir Ilyas</v>
          </cell>
          <cell r="Y962">
            <v>44223</v>
          </cell>
        </row>
        <row r="963">
          <cell r="K963">
            <v>3442</v>
          </cell>
          <cell r="L963">
            <v>3484</v>
          </cell>
          <cell r="M963" t="str">
            <v>Intiqal</v>
          </cell>
          <cell r="N963" t="str">
            <v>Registry</v>
          </cell>
          <cell r="O963">
            <v>0</v>
          </cell>
          <cell r="P963">
            <v>14</v>
          </cell>
          <cell r="Q963">
            <v>0</v>
          </cell>
          <cell r="R963">
            <v>38400</v>
          </cell>
          <cell r="S963">
            <v>0</v>
          </cell>
          <cell r="T963">
            <v>0</v>
          </cell>
          <cell r="U963">
            <v>-2</v>
          </cell>
          <cell r="V963">
            <v>0</v>
          </cell>
          <cell r="W963" t="str">
            <v>Azhar Mehmood</v>
          </cell>
          <cell r="X963" t="str">
            <v>Sardar Yasir Ilyas</v>
          </cell>
          <cell r="Y963">
            <v>44223</v>
          </cell>
        </row>
        <row r="964">
          <cell r="K964">
            <v>4602</v>
          </cell>
          <cell r="L964">
            <v>3483</v>
          </cell>
          <cell r="M964" t="str">
            <v>Intiqal</v>
          </cell>
          <cell r="N964" t="str">
            <v>Registry</v>
          </cell>
          <cell r="O964">
            <v>1</v>
          </cell>
          <cell r="P964">
            <v>10</v>
          </cell>
          <cell r="Q964">
            <v>2.7</v>
          </cell>
          <cell r="R964">
            <v>67550</v>
          </cell>
          <cell r="S964">
            <v>0</v>
          </cell>
          <cell r="T964">
            <v>-1</v>
          </cell>
          <cell r="U964">
            <v>4</v>
          </cell>
          <cell r="V964">
            <v>-2.7</v>
          </cell>
          <cell r="W964" t="str">
            <v>Mazhar Hussain</v>
          </cell>
          <cell r="X964" t="str">
            <v>Sardar Yasir Ilyas</v>
          </cell>
          <cell r="Y964">
            <v>44223</v>
          </cell>
        </row>
        <row r="965">
          <cell r="K965">
            <v>3437</v>
          </cell>
          <cell r="L965">
            <v>3482</v>
          </cell>
          <cell r="M965" t="str">
            <v>Intiqal</v>
          </cell>
          <cell r="N965" t="str">
            <v>Registry</v>
          </cell>
          <cell r="O965">
            <v>0</v>
          </cell>
          <cell r="P965">
            <v>5</v>
          </cell>
          <cell r="Q965">
            <v>0</v>
          </cell>
          <cell r="R965">
            <v>23050</v>
          </cell>
          <cell r="S965">
            <v>0</v>
          </cell>
          <cell r="T965">
            <v>1</v>
          </cell>
          <cell r="U965">
            <v>5</v>
          </cell>
          <cell r="V965">
            <v>2.7</v>
          </cell>
          <cell r="W965" t="str">
            <v>Mazhar Hussain</v>
          </cell>
          <cell r="X965" t="str">
            <v>Sardar Yasir Ilyas</v>
          </cell>
          <cell r="Y965">
            <v>44223</v>
          </cell>
        </row>
        <row r="966">
          <cell r="K966">
            <v>3443</v>
          </cell>
          <cell r="L966">
            <v>5285</v>
          </cell>
          <cell r="M966" t="str">
            <v>Intiqal</v>
          </cell>
          <cell r="N966" t="str">
            <v>Registry</v>
          </cell>
          <cell r="O966">
            <v>1</v>
          </cell>
          <cell r="P966">
            <v>0</v>
          </cell>
          <cell r="Q966">
            <v>0</v>
          </cell>
          <cell r="R966">
            <v>50300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 t="str">
            <v>Azam Elahi</v>
          </cell>
          <cell r="X966" t="str">
            <v>Sardar Yasir Ilyas</v>
          </cell>
          <cell r="Y966">
            <v>44237</v>
          </cell>
        </row>
        <row r="967">
          <cell r="K967">
            <v>4744</v>
          </cell>
          <cell r="L967">
            <v>4401</v>
          </cell>
          <cell r="M967" t="str">
            <v>Intiqal</v>
          </cell>
          <cell r="N967" t="str">
            <v>Registry</v>
          </cell>
          <cell r="O967">
            <v>0</v>
          </cell>
          <cell r="P967">
            <v>10</v>
          </cell>
          <cell r="Q967">
            <v>0</v>
          </cell>
          <cell r="R967">
            <v>35100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 t="str">
            <v>Sikandar ali</v>
          </cell>
          <cell r="X967" t="str">
            <v>Sardar Yasir Ilyas</v>
          </cell>
          <cell r="Y967">
            <v>44230</v>
          </cell>
        </row>
        <row r="968">
          <cell r="K968">
            <v>1875</v>
          </cell>
          <cell r="L968">
            <v>1707</v>
          </cell>
          <cell r="M968" t="str">
            <v>Intiqal</v>
          </cell>
          <cell r="N968" t="str">
            <v>Registry</v>
          </cell>
          <cell r="O968">
            <v>0</v>
          </cell>
          <cell r="P968">
            <v>3</v>
          </cell>
          <cell r="Q968">
            <v>0</v>
          </cell>
          <cell r="R968">
            <v>39000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 t="str">
            <v>Musarrat</v>
          </cell>
          <cell r="X968" t="str">
            <v>Sardar Yasir Ilyas</v>
          </cell>
          <cell r="Y968">
            <v>44270</v>
          </cell>
        </row>
        <row r="969">
          <cell r="K969">
            <v>3856</v>
          </cell>
          <cell r="L969">
            <v>10435</v>
          </cell>
          <cell r="M969" t="str">
            <v>Intiqal</v>
          </cell>
          <cell r="N969" t="str">
            <v>Registry</v>
          </cell>
          <cell r="O969">
            <v>0</v>
          </cell>
          <cell r="P969">
            <v>5</v>
          </cell>
          <cell r="Q969">
            <v>0</v>
          </cell>
          <cell r="R969">
            <v>30660</v>
          </cell>
          <cell r="S969">
            <v>0</v>
          </cell>
          <cell r="T969">
            <v>0</v>
          </cell>
          <cell r="U969">
            <v>5</v>
          </cell>
          <cell r="V969">
            <v>0</v>
          </cell>
          <cell r="W969" t="str">
            <v>tahir mehmood</v>
          </cell>
          <cell r="X969" t="str">
            <v>Sardar Yasir Ilyas</v>
          </cell>
          <cell r="Y969">
            <v>44271</v>
          </cell>
        </row>
        <row r="970">
          <cell r="K970">
            <v>3864</v>
          </cell>
          <cell r="L970">
            <v>10436</v>
          </cell>
          <cell r="M970" t="str">
            <v>Intiqal</v>
          </cell>
          <cell r="N970" t="str">
            <v>Registry</v>
          </cell>
          <cell r="O970">
            <v>0</v>
          </cell>
          <cell r="P970">
            <v>5</v>
          </cell>
          <cell r="Q970">
            <v>0</v>
          </cell>
          <cell r="R970">
            <v>30660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 t="str">
            <v>tahir mehmood</v>
          </cell>
          <cell r="X970" t="str">
            <v>Sardar Yasir Ilyas</v>
          </cell>
          <cell r="Y970">
            <v>44271</v>
          </cell>
        </row>
        <row r="971">
          <cell r="K971">
            <v>3575</v>
          </cell>
          <cell r="L971">
            <v>5572</v>
          </cell>
          <cell r="M971" t="str">
            <v>Intiqal</v>
          </cell>
          <cell r="N971" t="str">
            <v>Registry</v>
          </cell>
          <cell r="O971">
            <v>2</v>
          </cell>
          <cell r="P971">
            <v>0</v>
          </cell>
          <cell r="Q971">
            <v>0</v>
          </cell>
          <cell r="R971">
            <v>142300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 t="str">
            <v>Feroz Ud Din</v>
          </cell>
          <cell r="X971" t="str">
            <v>Sardar Yasir Ilyas</v>
          </cell>
          <cell r="Y971">
            <v>44239</v>
          </cell>
        </row>
        <row r="972">
          <cell r="K972">
            <v>3853</v>
          </cell>
          <cell r="L972">
            <v>9556</v>
          </cell>
          <cell r="M972" t="str">
            <v>Intiqal</v>
          </cell>
          <cell r="N972" t="str">
            <v>Registry</v>
          </cell>
          <cell r="O972">
            <v>2</v>
          </cell>
          <cell r="P972">
            <v>19</v>
          </cell>
          <cell r="Q972">
            <v>6.78</v>
          </cell>
          <cell r="R972">
            <v>319300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 t="str">
            <v>Raheela Bibi</v>
          </cell>
          <cell r="X972" t="str">
            <v>Sardar Yasir Ilyas</v>
          </cell>
          <cell r="Y972">
            <v>44265</v>
          </cell>
        </row>
        <row r="973">
          <cell r="K973" t="str">
            <v>Can't Transfer (treat as adv to Qaiser)</v>
          </cell>
          <cell r="M973" t="str">
            <v>Not Available</v>
          </cell>
          <cell r="N973" t="str">
            <v>Not Available</v>
          </cell>
          <cell r="O973">
            <v>0</v>
          </cell>
          <cell r="P973">
            <v>1</v>
          </cell>
          <cell r="Q973">
            <v>3.99</v>
          </cell>
          <cell r="R973">
            <v>0</v>
          </cell>
          <cell r="S973">
            <v>0</v>
          </cell>
          <cell r="T973">
            <v>1</v>
          </cell>
          <cell r="U973">
            <v>17</v>
          </cell>
          <cell r="V973">
            <v>-1.33</v>
          </cell>
        </row>
        <row r="974">
          <cell r="K974" t="str">
            <v>3254/3255/3256/3257</v>
          </cell>
          <cell r="L974">
            <v>13362</v>
          </cell>
          <cell r="M974" t="str">
            <v>Intiqal</v>
          </cell>
          <cell r="N974" t="str">
            <v>Registry</v>
          </cell>
          <cell r="O974">
            <v>1</v>
          </cell>
          <cell r="P974">
            <v>7</v>
          </cell>
          <cell r="Q974">
            <v>1.42</v>
          </cell>
          <cell r="R974">
            <v>65500</v>
          </cell>
          <cell r="S974">
            <v>0</v>
          </cell>
          <cell r="T974">
            <v>-1</v>
          </cell>
          <cell r="U974">
            <v>-6</v>
          </cell>
          <cell r="V974">
            <v>2.57</v>
          </cell>
          <cell r="W974" t="str">
            <v>Atiq ur rehman</v>
          </cell>
          <cell r="X974" t="str">
            <v>Sardar Yasir Ilyas</v>
          </cell>
          <cell r="Y974">
            <v>44293</v>
          </cell>
        </row>
        <row r="975">
          <cell r="K975">
            <v>3274</v>
          </cell>
          <cell r="L975">
            <v>36337</v>
          </cell>
          <cell r="M975" t="str">
            <v>Intiqal</v>
          </cell>
          <cell r="N975" t="str">
            <v>Registry</v>
          </cell>
          <cell r="O975">
            <v>0</v>
          </cell>
          <cell r="P975">
            <v>1</v>
          </cell>
          <cell r="Q975">
            <v>2.25</v>
          </cell>
          <cell r="R975">
            <v>18900</v>
          </cell>
          <cell r="S975">
            <v>0</v>
          </cell>
          <cell r="T975">
            <v>1</v>
          </cell>
          <cell r="U975">
            <v>6</v>
          </cell>
          <cell r="V975">
            <v>-0.83</v>
          </cell>
          <cell r="W975" t="str">
            <v>Nusrat iqbal</v>
          </cell>
          <cell r="X975" t="str">
            <v>Sardar Yasir Ilyas</v>
          </cell>
          <cell r="Y975">
            <v>44523</v>
          </cell>
        </row>
        <row r="976">
          <cell r="K976">
            <v>3252</v>
          </cell>
          <cell r="L976">
            <v>11392</v>
          </cell>
          <cell r="M976" t="str">
            <v>Intiqal</v>
          </cell>
          <cell r="N976" t="str">
            <v>Registry</v>
          </cell>
          <cell r="O976">
            <v>0</v>
          </cell>
          <cell r="P976">
            <v>8</v>
          </cell>
          <cell r="Q976">
            <v>4</v>
          </cell>
          <cell r="R976">
            <v>30900</v>
          </cell>
          <cell r="S976">
            <v>0</v>
          </cell>
          <cell r="T976">
            <v>0</v>
          </cell>
          <cell r="U976">
            <v>-7</v>
          </cell>
          <cell r="V976">
            <v>-1.75</v>
          </cell>
          <cell r="W976" t="str">
            <v>qazi ijaz hussain</v>
          </cell>
          <cell r="X976" t="str">
            <v>Sardar Yasir Ilyas</v>
          </cell>
          <cell r="Y976">
            <v>44279</v>
          </cell>
        </row>
        <row r="977">
          <cell r="K977">
            <v>4591</v>
          </cell>
          <cell r="L977">
            <v>16173</v>
          </cell>
          <cell r="M977" t="str">
            <v>Intiqal</v>
          </cell>
          <cell r="N977" t="str">
            <v>Registry</v>
          </cell>
          <cell r="O977">
            <v>1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5</v>
          </cell>
          <cell r="U977">
            <v>9</v>
          </cell>
          <cell r="V977">
            <v>1.29</v>
          </cell>
          <cell r="W977" t="str">
            <v>Chanzaib</v>
          </cell>
          <cell r="X977" t="str">
            <v>Sardar Yasir Ilyas</v>
          </cell>
          <cell r="Y977">
            <v>44313</v>
          </cell>
        </row>
        <row r="978">
          <cell r="K978">
            <v>3515</v>
          </cell>
          <cell r="L978">
            <v>16171</v>
          </cell>
          <cell r="M978" t="str">
            <v>Intiqal</v>
          </cell>
          <cell r="N978" t="str">
            <v>Registry</v>
          </cell>
          <cell r="O978">
            <v>5</v>
          </cell>
          <cell r="P978">
            <v>9</v>
          </cell>
          <cell r="Q978">
            <v>1.29</v>
          </cell>
          <cell r="R978">
            <v>0</v>
          </cell>
          <cell r="S978">
            <v>0</v>
          </cell>
          <cell r="T978">
            <v>-4</v>
          </cell>
          <cell r="U978">
            <v>-9</v>
          </cell>
          <cell r="V978">
            <v>-1.29</v>
          </cell>
          <cell r="W978" t="str">
            <v>Qazi Abdul Aziz</v>
          </cell>
          <cell r="X978" t="str">
            <v>Sardar Yasir Ilyas</v>
          </cell>
          <cell r="Y978">
            <v>44313</v>
          </cell>
        </row>
        <row r="979">
          <cell r="K979">
            <v>537</v>
          </cell>
          <cell r="L979">
            <v>31165</v>
          </cell>
          <cell r="M979" t="str">
            <v>Intiqal</v>
          </cell>
          <cell r="N979" t="str">
            <v>Registry</v>
          </cell>
          <cell r="O979">
            <v>0</v>
          </cell>
          <cell r="P979">
            <v>2</v>
          </cell>
          <cell r="Q979">
            <v>0</v>
          </cell>
          <cell r="R979">
            <v>21850</v>
          </cell>
          <cell r="S979">
            <v>0</v>
          </cell>
          <cell r="T979">
            <v>0</v>
          </cell>
          <cell r="U979">
            <v>14</v>
          </cell>
          <cell r="V979">
            <v>1</v>
          </cell>
          <cell r="W979" t="str">
            <v>Shazia Bibi</v>
          </cell>
          <cell r="X979" t="str">
            <v>Sardar Yasir Ilyas</v>
          </cell>
          <cell r="Y979">
            <v>44464</v>
          </cell>
        </row>
        <row r="980">
          <cell r="K980">
            <v>517</v>
          </cell>
          <cell r="L980">
            <v>31164</v>
          </cell>
          <cell r="M980" t="str">
            <v>Intiqal</v>
          </cell>
          <cell r="N980" t="str">
            <v>Registry</v>
          </cell>
          <cell r="O980">
            <v>0</v>
          </cell>
          <cell r="P980">
            <v>14</v>
          </cell>
          <cell r="Q980">
            <v>1</v>
          </cell>
          <cell r="R980">
            <v>94550</v>
          </cell>
          <cell r="S980">
            <v>0</v>
          </cell>
          <cell r="T980">
            <v>0</v>
          </cell>
          <cell r="U980">
            <v>-12</v>
          </cell>
          <cell r="V980">
            <v>-1</v>
          </cell>
          <cell r="W980" t="str">
            <v>Shazia Bibi</v>
          </cell>
          <cell r="X980" t="str">
            <v>Sardar Yasir Ilyas</v>
          </cell>
          <cell r="Y980">
            <v>44464</v>
          </cell>
        </row>
        <row r="981">
          <cell r="K981">
            <v>3854</v>
          </cell>
          <cell r="L981">
            <v>8395</v>
          </cell>
          <cell r="M981" t="str">
            <v>Intiqal</v>
          </cell>
          <cell r="N981" t="str">
            <v>Registry</v>
          </cell>
          <cell r="O981">
            <v>3</v>
          </cell>
          <cell r="P981">
            <v>16</v>
          </cell>
          <cell r="Q981">
            <v>0</v>
          </cell>
          <cell r="R981">
            <v>419300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 t="str">
            <v>Faheem Khan</v>
          </cell>
          <cell r="X981" t="str">
            <v>Sardar Yasir Ilyas</v>
          </cell>
          <cell r="Y981">
            <v>44258</v>
          </cell>
        </row>
        <row r="982">
          <cell r="K982">
            <v>4589</v>
          </cell>
          <cell r="L982">
            <v>33303</v>
          </cell>
          <cell r="M982" t="str">
            <v>Intiqal</v>
          </cell>
          <cell r="N982" t="str">
            <v>Registry</v>
          </cell>
          <cell r="O982">
            <v>0</v>
          </cell>
          <cell r="P982">
            <v>16</v>
          </cell>
          <cell r="Q982">
            <v>2.41</v>
          </cell>
          <cell r="R982">
            <v>44700</v>
          </cell>
          <cell r="S982">
            <v>0</v>
          </cell>
          <cell r="T982">
            <v>1</v>
          </cell>
          <cell r="U982">
            <v>-2</v>
          </cell>
          <cell r="V982">
            <v>7.02</v>
          </cell>
          <cell r="W982" t="str">
            <v>Noman tariq</v>
          </cell>
          <cell r="X982" t="str">
            <v>Sardar Yasir Ilyas</v>
          </cell>
          <cell r="Y982">
            <v>44481</v>
          </cell>
        </row>
        <row r="983">
          <cell r="K983">
            <v>345634573458</v>
          </cell>
          <cell r="L983">
            <v>20891</v>
          </cell>
          <cell r="M983" t="str">
            <v>Intiqal</v>
          </cell>
          <cell r="N983" t="str">
            <v>Registry</v>
          </cell>
          <cell r="O983">
            <v>0</v>
          </cell>
          <cell r="P983">
            <v>18</v>
          </cell>
          <cell r="Q983">
            <v>7.02</v>
          </cell>
          <cell r="R983">
            <v>52930</v>
          </cell>
          <cell r="S983">
            <v>88000</v>
          </cell>
          <cell r="T983">
            <v>0</v>
          </cell>
          <cell r="U983">
            <v>-2</v>
          </cell>
          <cell r="V983">
            <v>-4.6100000000000003</v>
          </cell>
          <cell r="W983" t="str">
            <v>Noman tariq</v>
          </cell>
          <cell r="X983" t="str">
            <v>Sardar Yasir Ilyas</v>
          </cell>
          <cell r="Y983">
            <v>44370</v>
          </cell>
        </row>
        <row r="984">
          <cell r="K984">
            <v>621</v>
          </cell>
          <cell r="L984">
            <v>8807</v>
          </cell>
          <cell r="M984" t="str">
            <v>Intiqal</v>
          </cell>
          <cell r="N984" t="str">
            <v>Registry</v>
          </cell>
          <cell r="O984">
            <v>1</v>
          </cell>
          <cell r="P984">
            <v>0</v>
          </cell>
          <cell r="Q984">
            <v>0</v>
          </cell>
          <cell r="R984">
            <v>159300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 t="str">
            <v>Khuda Dad</v>
          </cell>
          <cell r="X984" t="str">
            <v>Sardar Yasir Ilyas</v>
          </cell>
          <cell r="Y984">
            <v>44560</v>
          </cell>
        </row>
        <row r="985">
          <cell r="L985">
            <v>29633</v>
          </cell>
          <cell r="M985" t="str">
            <v>Not Available</v>
          </cell>
          <cell r="N985" t="str">
            <v>Registry</v>
          </cell>
          <cell r="O985">
            <v>0</v>
          </cell>
          <cell r="P985">
            <v>6</v>
          </cell>
          <cell r="Q985">
            <v>7</v>
          </cell>
          <cell r="R985">
            <v>38350</v>
          </cell>
          <cell r="S985">
            <v>0</v>
          </cell>
          <cell r="T985">
            <v>1</v>
          </cell>
          <cell r="U985">
            <v>9</v>
          </cell>
          <cell r="V985">
            <v>-4.33</v>
          </cell>
          <cell r="W985" t="str">
            <v>Rehmat Khan</v>
          </cell>
          <cell r="X985" t="str">
            <v>Sardar Yasir Ilyas</v>
          </cell>
          <cell r="Y985">
            <v>44454</v>
          </cell>
        </row>
        <row r="986">
          <cell r="K986">
            <v>3537</v>
          </cell>
          <cell r="L986">
            <v>17224</v>
          </cell>
          <cell r="M986" t="str">
            <v>Intiqal</v>
          </cell>
          <cell r="N986" t="str">
            <v>Registry</v>
          </cell>
          <cell r="O986">
            <v>0</v>
          </cell>
          <cell r="P986">
            <v>18</v>
          </cell>
          <cell r="Q986">
            <v>4.67</v>
          </cell>
          <cell r="R986">
            <v>72300</v>
          </cell>
          <cell r="S986">
            <v>0</v>
          </cell>
          <cell r="T986">
            <v>0</v>
          </cell>
          <cell r="U986">
            <v>-12</v>
          </cell>
          <cell r="V986">
            <v>2.33</v>
          </cell>
          <cell r="W986" t="str">
            <v>Muhammad Asif</v>
          </cell>
          <cell r="X986" t="str">
            <v>Sardar Yasir Ilyas</v>
          </cell>
          <cell r="Y986">
            <v>44323</v>
          </cell>
        </row>
        <row r="987">
          <cell r="K987">
            <v>3440</v>
          </cell>
          <cell r="L987">
            <v>20448</v>
          </cell>
          <cell r="M987" t="str">
            <v>Intiqal</v>
          </cell>
          <cell r="N987" t="str">
            <v>Registry</v>
          </cell>
          <cell r="O987">
            <v>0</v>
          </cell>
          <cell r="P987">
            <v>10</v>
          </cell>
          <cell r="Q987">
            <v>0</v>
          </cell>
          <cell r="R987">
            <v>37850</v>
          </cell>
          <cell r="S987">
            <v>0</v>
          </cell>
          <cell r="T987">
            <v>0</v>
          </cell>
          <cell r="U987">
            <v>8</v>
          </cell>
          <cell r="V987">
            <v>4.67</v>
          </cell>
          <cell r="W987" t="str">
            <v>Makhan khan</v>
          </cell>
          <cell r="X987" t="str">
            <v>Sardar Yasir Ilyas</v>
          </cell>
          <cell r="Y987">
            <v>44366</v>
          </cell>
        </row>
        <row r="988">
          <cell r="K988">
            <v>3420</v>
          </cell>
          <cell r="L988">
            <v>10813</v>
          </cell>
          <cell r="M988" t="str">
            <v>Intiqal</v>
          </cell>
          <cell r="N988" t="str">
            <v>Registry</v>
          </cell>
          <cell r="O988">
            <v>0</v>
          </cell>
          <cell r="P988">
            <v>10</v>
          </cell>
          <cell r="Q988">
            <v>0</v>
          </cell>
          <cell r="R988">
            <v>33800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 t="str">
            <v>Amanat Hussain</v>
          </cell>
          <cell r="X988" t="str">
            <v>Sardar Yasir Ilyas</v>
          </cell>
          <cell r="Y988">
            <v>44273</v>
          </cell>
        </row>
        <row r="989">
          <cell r="K989">
            <v>3453</v>
          </cell>
          <cell r="L989">
            <v>18772</v>
          </cell>
          <cell r="M989" t="str">
            <v>Intiqal</v>
          </cell>
          <cell r="N989" t="str">
            <v>Registry</v>
          </cell>
          <cell r="O989">
            <v>0</v>
          </cell>
          <cell r="P989">
            <v>5</v>
          </cell>
          <cell r="Q989">
            <v>0</v>
          </cell>
          <cell r="R989">
            <v>25050</v>
          </cell>
          <cell r="S989">
            <v>0</v>
          </cell>
          <cell r="T989">
            <v>0</v>
          </cell>
          <cell r="U989">
            <v>5</v>
          </cell>
          <cell r="V989">
            <v>0</v>
          </cell>
          <cell r="W989" t="str">
            <v>Iftikhar mukhtar</v>
          </cell>
          <cell r="X989" t="str">
            <v>Sardar Yasir Ilyas</v>
          </cell>
          <cell r="Y989">
            <v>44352</v>
          </cell>
        </row>
        <row r="990">
          <cell r="K990">
            <v>3452</v>
          </cell>
          <cell r="L990">
            <v>18338</v>
          </cell>
          <cell r="M990" t="str">
            <v>Intiqal</v>
          </cell>
          <cell r="N990" t="str">
            <v>Registry</v>
          </cell>
          <cell r="O990">
            <v>0</v>
          </cell>
          <cell r="P990">
            <v>5</v>
          </cell>
          <cell r="Q990">
            <v>0</v>
          </cell>
          <cell r="R990">
            <v>25050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 t="str">
            <v>Abdul hameed khan</v>
          </cell>
          <cell r="X990" t="str">
            <v>Sardar Yasir Ilyas</v>
          </cell>
          <cell r="Y990">
            <v>44349</v>
          </cell>
        </row>
        <row r="991">
          <cell r="K991">
            <v>4994</v>
          </cell>
          <cell r="L991">
            <v>27632</v>
          </cell>
          <cell r="M991" t="str">
            <v>Intiqal</v>
          </cell>
          <cell r="N991" t="str">
            <v>Registry</v>
          </cell>
          <cell r="O991">
            <v>3</v>
          </cell>
          <cell r="P991">
            <v>0</v>
          </cell>
          <cell r="Q991">
            <v>0</v>
          </cell>
          <cell r="R991">
            <v>195300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 t="str">
            <v>Irfan sajjad</v>
          </cell>
          <cell r="X991" t="str">
            <v>Sardar Yasir Ilyas</v>
          </cell>
          <cell r="Y991">
            <v>44433</v>
          </cell>
        </row>
        <row r="992">
          <cell r="K992">
            <v>4756</v>
          </cell>
          <cell r="L992">
            <v>17299</v>
          </cell>
          <cell r="M992" t="str">
            <v>Intiqal</v>
          </cell>
          <cell r="N992" t="str">
            <v>Registry</v>
          </cell>
          <cell r="O992">
            <v>0</v>
          </cell>
          <cell r="P992">
            <v>10</v>
          </cell>
          <cell r="Q992">
            <v>0</v>
          </cell>
          <cell r="R992">
            <v>37100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 t="str">
            <v>Bahadur khan</v>
          </cell>
          <cell r="X992" t="str">
            <v>Sardar Yasir Ilyas</v>
          </cell>
          <cell r="Y992">
            <v>44324</v>
          </cell>
        </row>
        <row r="993">
          <cell r="K993">
            <v>616</v>
          </cell>
          <cell r="L993">
            <v>22583</v>
          </cell>
          <cell r="M993" t="str">
            <v>Intiqal</v>
          </cell>
          <cell r="N993" t="str">
            <v>Registry</v>
          </cell>
          <cell r="O993">
            <v>0</v>
          </cell>
          <cell r="P993">
            <v>15</v>
          </cell>
          <cell r="Q993">
            <v>0</v>
          </cell>
          <cell r="R993">
            <v>126800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 t="str">
            <v>Noor jahan</v>
          </cell>
          <cell r="X993" t="str">
            <v>Sardar Yasir Ilyas</v>
          </cell>
          <cell r="Y993">
            <v>44382</v>
          </cell>
        </row>
        <row r="994">
          <cell r="K994">
            <v>4600</v>
          </cell>
          <cell r="L994">
            <v>22584</v>
          </cell>
          <cell r="M994" t="str">
            <v>Intiqal</v>
          </cell>
          <cell r="N994" t="str">
            <v>Registry</v>
          </cell>
          <cell r="O994">
            <v>0</v>
          </cell>
          <cell r="P994">
            <v>4</v>
          </cell>
          <cell r="Q994">
            <v>0</v>
          </cell>
          <cell r="R994">
            <v>23400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 t="str">
            <v>Mazhar Hussain</v>
          </cell>
          <cell r="X994" t="str">
            <v>Sardar Yasir Ilyas</v>
          </cell>
          <cell r="Y994">
            <v>44382</v>
          </cell>
        </row>
        <row r="995">
          <cell r="K995">
            <v>3857</v>
          </cell>
          <cell r="L995">
            <v>16230</v>
          </cell>
          <cell r="M995" t="str">
            <v>Intiqal</v>
          </cell>
          <cell r="N995" t="str">
            <v>Registry</v>
          </cell>
          <cell r="O995">
            <v>2</v>
          </cell>
          <cell r="P995">
            <v>0</v>
          </cell>
          <cell r="Q995">
            <v>0</v>
          </cell>
          <cell r="R995">
            <v>219300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 t="str">
            <v>Maqsood Begum</v>
          </cell>
          <cell r="X995" t="str">
            <v>Sardar Yasir Ilyas</v>
          </cell>
          <cell r="Y995">
            <v>44314</v>
          </cell>
        </row>
        <row r="996">
          <cell r="K996">
            <v>4755</v>
          </cell>
          <cell r="L996">
            <v>16534</v>
          </cell>
          <cell r="M996" t="str">
            <v>Intiqal</v>
          </cell>
          <cell r="N996" t="str">
            <v>Registry</v>
          </cell>
          <cell r="O996">
            <v>0</v>
          </cell>
          <cell r="P996">
            <v>10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 t="str">
            <v>Muhammad Mumtaz Khan</v>
          </cell>
          <cell r="X996" t="str">
            <v>Sardar Yasir Ilyas</v>
          </cell>
          <cell r="Y996">
            <v>44316</v>
          </cell>
        </row>
        <row r="997">
          <cell r="K997" t="str">
            <v>519/520</v>
          </cell>
          <cell r="L997">
            <v>25214</v>
          </cell>
          <cell r="M997" t="str">
            <v>Intiqal</v>
          </cell>
          <cell r="N997" t="str">
            <v>Registry</v>
          </cell>
          <cell r="O997">
            <v>1</v>
          </cell>
          <cell r="P997">
            <v>5</v>
          </cell>
          <cell r="Q997">
            <v>0</v>
          </cell>
          <cell r="R997">
            <v>141800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 t="str">
            <v>Yasir mehmood</v>
          </cell>
          <cell r="X997" t="str">
            <v>Sardar Yasir Ilyas</v>
          </cell>
          <cell r="Y997">
            <v>44410</v>
          </cell>
        </row>
        <row r="998">
          <cell r="K998">
            <v>498</v>
          </cell>
          <cell r="L998">
            <v>20657</v>
          </cell>
          <cell r="M998" t="str">
            <v>Intiqal</v>
          </cell>
          <cell r="N998" t="str">
            <v>Registry</v>
          </cell>
          <cell r="O998">
            <v>2</v>
          </cell>
          <cell r="P998">
            <v>0</v>
          </cell>
          <cell r="Q998">
            <v>0</v>
          </cell>
          <cell r="R998">
            <v>384300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 t="str">
            <v>Auranzaib</v>
          </cell>
          <cell r="X998" t="str">
            <v>Sardar Yasir Ilyas</v>
          </cell>
          <cell r="Y998">
            <v>44368</v>
          </cell>
        </row>
        <row r="999">
          <cell r="L999">
            <v>24165</v>
          </cell>
          <cell r="M999" t="str">
            <v>Not Available</v>
          </cell>
          <cell r="N999" t="str">
            <v>Registry</v>
          </cell>
          <cell r="O999">
            <v>5</v>
          </cell>
          <cell r="P999">
            <v>0</v>
          </cell>
          <cell r="Q999">
            <v>0</v>
          </cell>
          <cell r="R999">
            <v>489300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 t="str">
            <v>M sabir</v>
          </cell>
          <cell r="X999" t="str">
            <v>Sardar Yasir Ilyas</v>
          </cell>
          <cell r="Y999">
            <v>44392</v>
          </cell>
        </row>
        <row r="1000">
          <cell r="K1000">
            <v>3830</v>
          </cell>
          <cell r="L1000">
            <v>28372</v>
          </cell>
          <cell r="M1000" t="str">
            <v>Intiqal</v>
          </cell>
          <cell r="N1000" t="str">
            <v>Registry</v>
          </cell>
          <cell r="O1000">
            <v>23</v>
          </cell>
          <cell r="P1000">
            <v>14</v>
          </cell>
          <cell r="Q1000">
            <v>0</v>
          </cell>
          <cell r="R1000">
            <v>2193900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 t="str">
            <v>Muhammad Tahir Qureshi</v>
          </cell>
          <cell r="X1000" t="str">
            <v>Sardar Yasir Ilyas</v>
          </cell>
          <cell r="Y1000">
            <v>44439</v>
          </cell>
        </row>
        <row r="1001">
          <cell r="K1001">
            <v>5488</v>
          </cell>
          <cell r="L1001">
            <v>3295</v>
          </cell>
          <cell r="M1001" t="str">
            <v>Intiqal</v>
          </cell>
          <cell r="N1001" t="str">
            <v>Registry</v>
          </cell>
          <cell r="O1001">
            <v>1</v>
          </cell>
          <cell r="P1001">
            <v>0</v>
          </cell>
          <cell r="Q1001">
            <v>0</v>
          </cell>
          <cell r="R1001">
            <v>94300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 t="str">
            <v>Anwar shah</v>
          </cell>
          <cell r="X1001" t="str">
            <v>Sardar Yasir Ilyas</v>
          </cell>
          <cell r="Y1001">
            <v>44506</v>
          </cell>
        </row>
        <row r="1002">
          <cell r="K1002">
            <v>4835</v>
          </cell>
          <cell r="L1002">
            <v>21160</v>
          </cell>
          <cell r="M1002" t="str">
            <v>Intiqal</v>
          </cell>
          <cell r="N1002" t="str">
            <v>Registry</v>
          </cell>
          <cell r="O1002">
            <v>0</v>
          </cell>
          <cell r="P1002">
            <v>10</v>
          </cell>
          <cell r="Q1002">
            <v>0</v>
          </cell>
          <cell r="R1002">
            <v>50300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 t="str">
            <v>Arooj malik</v>
          </cell>
          <cell r="X1002" t="str">
            <v>Sardar Yasir Ilyas</v>
          </cell>
          <cell r="Y1002">
            <v>44220</v>
          </cell>
        </row>
        <row r="1003">
          <cell r="K1003">
            <v>539</v>
          </cell>
          <cell r="L1003">
            <v>3851</v>
          </cell>
          <cell r="M1003" t="str">
            <v>Intiqal</v>
          </cell>
          <cell r="N1003" t="str">
            <v>Registry</v>
          </cell>
          <cell r="O1003">
            <v>4</v>
          </cell>
          <cell r="P1003">
            <v>5</v>
          </cell>
          <cell r="Q1003">
            <v>0</v>
          </cell>
          <cell r="R1003">
            <v>411300</v>
          </cell>
          <cell r="S1003">
            <v>212500</v>
          </cell>
          <cell r="T1003">
            <v>0</v>
          </cell>
          <cell r="U1003">
            <v>0</v>
          </cell>
          <cell r="V1003">
            <v>0</v>
          </cell>
          <cell r="W1003" t="str">
            <v>Muhammad Arif</v>
          </cell>
          <cell r="X1003" t="str">
            <v>Sardar Yasir Ilyas</v>
          </cell>
          <cell r="Y1003">
            <v>44513</v>
          </cell>
        </row>
        <row r="1004">
          <cell r="K1004">
            <v>582</v>
          </cell>
          <cell r="L1004">
            <v>4196</v>
          </cell>
          <cell r="M1004" t="str">
            <v>Intiqal</v>
          </cell>
          <cell r="N1004" t="str">
            <v>Registry</v>
          </cell>
          <cell r="O1004">
            <v>8</v>
          </cell>
          <cell r="P1004">
            <v>12</v>
          </cell>
          <cell r="Q1004">
            <v>0</v>
          </cell>
          <cell r="R1004">
            <v>729300</v>
          </cell>
          <cell r="S1004">
            <v>430000</v>
          </cell>
          <cell r="T1004">
            <v>0</v>
          </cell>
          <cell r="U1004">
            <v>0</v>
          </cell>
          <cell r="V1004">
            <v>0</v>
          </cell>
          <cell r="W1004" t="str">
            <v>Tahir Mehmood</v>
          </cell>
          <cell r="X1004" t="str">
            <v>Sardar Yasir Ilyas</v>
          </cell>
          <cell r="Y1004">
            <v>44517</v>
          </cell>
        </row>
        <row r="1005">
          <cell r="K1005">
            <v>4452</v>
          </cell>
          <cell r="L1005">
            <v>5907</v>
          </cell>
          <cell r="M1005" t="str">
            <v>Intiqal</v>
          </cell>
          <cell r="N1005" t="str">
            <v>Registry</v>
          </cell>
          <cell r="O1005">
            <v>6</v>
          </cell>
          <cell r="P1005">
            <v>0</v>
          </cell>
          <cell r="Q1005">
            <v>6</v>
          </cell>
          <cell r="R1005">
            <v>695300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 t="str">
            <v>Shazia Parveen</v>
          </cell>
          <cell r="X1005" t="str">
            <v>Sardar Yasir Ilyas</v>
          </cell>
          <cell r="Y1005">
            <v>44532</v>
          </cell>
        </row>
        <row r="1006">
          <cell r="K1006">
            <v>5487</v>
          </cell>
          <cell r="L1006">
            <v>23308</v>
          </cell>
          <cell r="M1006" t="str">
            <v>Intiqal</v>
          </cell>
          <cell r="N1006" t="str">
            <v>Registry</v>
          </cell>
          <cell r="O1006">
            <v>0</v>
          </cell>
          <cell r="P1006">
            <v>10</v>
          </cell>
          <cell r="Q1006">
            <v>0</v>
          </cell>
          <cell r="R1006">
            <v>39500</v>
          </cell>
          <cell r="S1006">
            <v>0</v>
          </cell>
          <cell r="T1006">
            <v>0</v>
          </cell>
          <cell r="U1006">
            <v>9</v>
          </cell>
          <cell r="V1006">
            <v>4.5</v>
          </cell>
          <cell r="W1006" t="str">
            <v>Tahira kulsoom</v>
          </cell>
          <cell r="X1006" t="str">
            <v>Sardar Yasir Ilyas</v>
          </cell>
          <cell r="Y1006">
            <v>44387</v>
          </cell>
        </row>
        <row r="1007">
          <cell r="K1007">
            <v>5486</v>
          </cell>
          <cell r="L1007">
            <v>23307</v>
          </cell>
          <cell r="M1007" t="str">
            <v>Intiqal</v>
          </cell>
          <cell r="N1007" t="str">
            <v>Registry</v>
          </cell>
          <cell r="O1007">
            <v>0</v>
          </cell>
          <cell r="P1007">
            <v>9</v>
          </cell>
          <cell r="Q1007">
            <v>4.5</v>
          </cell>
          <cell r="R1007">
            <v>38300</v>
          </cell>
          <cell r="S1007">
            <v>0</v>
          </cell>
          <cell r="T1007">
            <v>0</v>
          </cell>
          <cell r="U1007">
            <v>1</v>
          </cell>
          <cell r="V1007">
            <v>-4.5</v>
          </cell>
          <cell r="W1007" t="str">
            <v>M zafar iqbal</v>
          </cell>
          <cell r="X1007" t="str">
            <v>Sardar Yasir Ilyas</v>
          </cell>
          <cell r="Y1007">
            <v>44387</v>
          </cell>
        </row>
        <row r="1008">
          <cell r="K1008">
            <v>540</v>
          </cell>
          <cell r="L1008">
            <v>30839</v>
          </cell>
          <cell r="M1008" t="str">
            <v>Intiqal</v>
          </cell>
          <cell r="N1008" t="str">
            <v>Registry</v>
          </cell>
          <cell r="O1008">
            <v>3</v>
          </cell>
          <cell r="P1008">
            <v>8</v>
          </cell>
          <cell r="Q1008">
            <v>0</v>
          </cell>
          <cell r="R1008">
            <v>220300</v>
          </cell>
          <cell r="S1008">
            <v>50000</v>
          </cell>
          <cell r="T1008">
            <v>0</v>
          </cell>
          <cell r="U1008">
            <v>0</v>
          </cell>
          <cell r="V1008">
            <v>0</v>
          </cell>
          <cell r="W1008" t="str">
            <v>Muhammad Qasim</v>
          </cell>
          <cell r="X1008" t="str">
            <v>Sardar Yasir Ilyas</v>
          </cell>
          <cell r="Y1008">
            <v>44462</v>
          </cell>
        </row>
        <row r="1009">
          <cell r="K1009">
            <v>4593</v>
          </cell>
          <cell r="L1009">
            <v>29578</v>
          </cell>
          <cell r="M1009" t="str">
            <v>Intiqal</v>
          </cell>
          <cell r="N1009" t="str">
            <v>Registry</v>
          </cell>
          <cell r="O1009">
            <v>0</v>
          </cell>
          <cell r="P1009">
            <v>8</v>
          </cell>
          <cell r="Q1009">
            <v>0</v>
          </cell>
          <cell r="R1009">
            <v>32650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 t="str">
            <v>Noor zada</v>
          </cell>
          <cell r="X1009" t="str">
            <v>Sardar Yasir Ilyas</v>
          </cell>
          <cell r="Y1009">
            <v>44453</v>
          </cell>
        </row>
        <row r="1010">
          <cell r="K1010">
            <v>3433</v>
          </cell>
          <cell r="L1010">
            <v>25115</v>
          </cell>
          <cell r="M1010" t="str">
            <v>Intiqal</v>
          </cell>
          <cell r="N1010" t="str">
            <v>Registry</v>
          </cell>
          <cell r="O1010">
            <v>0</v>
          </cell>
          <cell r="P1010">
            <v>6</v>
          </cell>
          <cell r="Q1010">
            <v>0</v>
          </cell>
          <cell r="R1010">
            <v>27690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 t="str">
            <v>Yasin Ali</v>
          </cell>
          <cell r="X1010" t="str">
            <v>Sardar Yasir Ilyas</v>
          </cell>
          <cell r="Y1010">
            <v>44408</v>
          </cell>
        </row>
        <row r="1011">
          <cell r="K1011">
            <v>555</v>
          </cell>
          <cell r="L1011">
            <v>4867</v>
          </cell>
          <cell r="M1011" t="str">
            <v>Intiqal</v>
          </cell>
          <cell r="N1011" t="str">
            <v>Registry</v>
          </cell>
          <cell r="O1011">
            <v>0</v>
          </cell>
          <cell r="P1011">
            <v>6</v>
          </cell>
          <cell r="Q1011">
            <v>4</v>
          </cell>
          <cell r="R1011">
            <v>41800</v>
          </cell>
          <cell r="S1011">
            <v>0</v>
          </cell>
          <cell r="T1011">
            <v>0</v>
          </cell>
          <cell r="U1011">
            <v>13</v>
          </cell>
          <cell r="V1011">
            <v>-3</v>
          </cell>
          <cell r="W1011" t="str">
            <v>Akhtar jan</v>
          </cell>
          <cell r="X1011" t="str">
            <v>Sardar Yasir Ilyas</v>
          </cell>
          <cell r="Y1011">
            <v>44523</v>
          </cell>
        </row>
        <row r="1012">
          <cell r="K1012">
            <v>546</v>
          </cell>
          <cell r="L1012">
            <v>3079</v>
          </cell>
          <cell r="M1012" t="str">
            <v>Intiqal</v>
          </cell>
          <cell r="N1012" t="str">
            <v>Registry</v>
          </cell>
          <cell r="O1012">
            <v>0</v>
          </cell>
          <cell r="P1012">
            <v>12</v>
          </cell>
          <cell r="Q1012">
            <v>6</v>
          </cell>
          <cell r="R1012">
            <v>58330</v>
          </cell>
          <cell r="S1012">
            <v>0</v>
          </cell>
          <cell r="T1012">
            <v>0</v>
          </cell>
          <cell r="U1012">
            <v>-6</v>
          </cell>
          <cell r="V1012">
            <v>-2</v>
          </cell>
          <cell r="W1012" t="str">
            <v>Abdul Qayyum Khan</v>
          </cell>
          <cell r="X1012" t="str">
            <v>Sardar Yasir Ilyas</v>
          </cell>
          <cell r="Y1012">
            <v>44504</v>
          </cell>
        </row>
        <row r="1013">
          <cell r="K1013">
            <v>3827</v>
          </cell>
          <cell r="L1013">
            <v>1975</v>
          </cell>
          <cell r="M1013" t="str">
            <v>Intiqal</v>
          </cell>
          <cell r="N1013" t="str">
            <v>Registry</v>
          </cell>
          <cell r="O1013">
            <v>0</v>
          </cell>
          <cell r="P1013">
            <v>13</v>
          </cell>
          <cell r="Q1013">
            <v>5.32</v>
          </cell>
          <cell r="R1013">
            <v>288700</v>
          </cell>
          <cell r="S1013">
            <v>0</v>
          </cell>
          <cell r="T1013">
            <v>8</v>
          </cell>
          <cell r="U1013">
            <v>4</v>
          </cell>
          <cell r="V1013">
            <v>1.29</v>
          </cell>
          <cell r="W1013" t="str">
            <v>Syed Qaiser Mehmood</v>
          </cell>
          <cell r="X1013" t="str">
            <v>Sardar Yasir Ilyas</v>
          </cell>
          <cell r="Y1013">
            <v>44581</v>
          </cell>
        </row>
        <row r="1014">
          <cell r="K1014">
            <v>3828</v>
          </cell>
          <cell r="L1014">
            <v>30671</v>
          </cell>
          <cell r="M1014" t="str">
            <v>Intiqal</v>
          </cell>
          <cell r="N1014" t="str">
            <v>Registry</v>
          </cell>
          <cell r="O1014">
            <v>1</v>
          </cell>
          <cell r="P1014">
            <v>0</v>
          </cell>
          <cell r="Q1014">
            <v>0</v>
          </cell>
          <cell r="R1014">
            <v>95300</v>
          </cell>
          <cell r="S1014">
            <v>0</v>
          </cell>
          <cell r="T1014">
            <v>-1</v>
          </cell>
          <cell r="U1014">
            <v>13</v>
          </cell>
          <cell r="V1014">
            <v>5.32</v>
          </cell>
          <cell r="W1014" t="str">
            <v>Zumurd Khan</v>
          </cell>
          <cell r="X1014" t="str">
            <v>Sardar Yasir Ilyas</v>
          </cell>
          <cell r="Y1014">
            <v>44461</v>
          </cell>
        </row>
        <row r="1015">
          <cell r="L1015">
            <v>31921</v>
          </cell>
          <cell r="M1015" t="str">
            <v>Not Available</v>
          </cell>
          <cell r="N1015" t="str">
            <v>Registry</v>
          </cell>
          <cell r="O1015">
            <v>7</v>
          </cell>
          <cell r="P1015">
            <v>4</v>
          </cell>
          <cell r="Q1015">
            <v>1.29</v>
          </cell>
          <cell r="R1015">
            <v>780300</v>
          </cell>
          <cell r="S1015">
            <v>0</v>
          </cell>
          <cell r="T1015">
            <v>-6</v>
          </cell>
          <cell r="U1015">
            <v>-4</v>
          </cell>
          <cell r="V1015">
            <v>-1.29</v>
          </cell>
          <cell r="W1015" t="str">
            <v>Zahida parveen</v>
          </cell>
          <cell r="X1015" t="str">
            <v>Sardar Yasir Ilyas</v>
          </cell>
          <cell r="Y1015">
            <v>44470</v>
          </cell>
        </row>
        <row r="1016">
          <cell r="K1016">
            <v>3839</v>
          </cell>
          <cell r="L1016">
            <v>35066</v>
          </cell>
          <cell r="M1016" t="str">
            <v>Intiqal</v>
          </cell>
          <cell r="N1016" t="str">
            <v>Registry</v>
          </cell>
          <cell r="O1016">
            <v>0</v>
          </cell>
          <cell r="P1016">
            <v>2</v>
          </cell>
          <cell r="Q1016">
            <v>5.98</v>
          </cell>
          <cell r="R1016">
            <v>32800</v>
          </cell>
          <cell r="S1016">
            <v>0</v>
          </cell>
          <cell r="T1016">
            <v>1</v>
          </cell>
          <cell r="U1016">
            <v>8</v>
          </cell>
          <cell r="V1016">
            <v>2.88</v>
          </cell>
          <cell r="W1016" t="str">
            <v>M saleem</v>
          </cell>
          <cell r="X1016" t="str">
            <v>Sardar Yasir Ilyas</v>
          </cell>
          <cell r="Y1016">
            <v>44496</v>
          </cell>
        </row>
        <row r="1017">
          <cell r="K1017">
            <v>3831</v>
          </cell>
          <cell r="L1017">
            <v>31582</v>
          </cell>
          <cell r="M1017" t="str">
            <v>Intiqal</v>
          </cell>
          <cell r="N1017" t="str">
            <v>Registry</v>
          </cell>
          <cell r="O1017">
            <v>0</v>
          </cell>
          <cell r="P1017">
            <v>3</v>
          </cell>
          <cell r="Q1017">
            <v>1</v>
          </cell>
          <cell r="R1017">
            <v>29800</v>
          </cell>
          <cell r="S1017">
            <v>0</v>
          </cell>
          <cell r="T1017">
            <v>0</v>
          </cell>
          <cell r="U1017">
            <v>-1</v>
          </cell>
          <cell r="V1017">
            <v>4.9800000000000004</v>
          </cell>
          <cell r="W1017" t="str">
            <v>Hina gul</v>
          </cell>
          <cell r="X1017" t="str">
            <v>Sardar Yasir Ilyas</v>
          </cell>
          <cell r="Y1017">
            <v>44468</v>
          </cell>
        </row>
        <row r="1018">
          <cell r="K1018">
            <v>3829</v>
          </cell>
          <cell r="L1018">
            <v>31583</v>
          </cell>
          <cell r="M1018" t="str">
            <v>Intiqal</v>
          </cell>
          <cell r="N1018" t="str">
            <v>Registry</v>
          </cell>
          <cell r="O1018">
            <v>0</v>
          </cell>
          <cell r="P1018">
            <v>6</v>
          </cell>
          <cell r="Q1018">
            <v>0</v>
          </cell>
          <cell r="R1018">
            <v>39300</v>
          </cell>
          <cell r="S1018">
            <v>0</v>
          </cell>
          <cell r="T1018">
            <v>0</v>
          </cell>
          <cell r="U1018">
            <v>-3</v>
          </cell>
          <cell r="V1018">
            <v>1</v>
          </cell>
          <cell r="W1018" t="str">
            <v>Nighat shaheen</v>
          </cell>
          <cell r="X1018" t="str">
            <v>Sardar Yasir Ilyas</v>
          </cell>
          <cell r="Y1018">
            <v>44468</v>
          </cell>
        </row>
        <row r="1019">
          <cell r="K1019">
            <v>3858</v>
          </cell>
          <cell r="L1019">
            <v>33745</v>
          </cell>
          <cell r="M1019" t="str">
            <v>Intiqal</v>
          </cell>
          <cell r="N1019" t="str">
            <v>Registry</v>
          </cell>
          <cell r="O1019">
            <v>0</v>
          </cell>
          <cell r="P1019">
            <v>19</v>
          </cell>
          <cell r="Q1019">
            <v>1.88</v>
          </cell>
          <cell r="R1019">
            <v>85400</v>
          </cell>
          <cell r="S1019">
            <v>0</v>
          </cell>
          <cell r="T1019">
            <v>0</v>
          </cell>
          <cell r="U1019">
            <v>-13</v>
          </cell>
          <cell r="V1019">
            <v>-1.88</v>
          </cell>
          <cell r="W1019" t="str">
            <v>Iraj zaman</v>
          </cell>
          <cell r="X1019" t="str">
            <v>Sardar Yasir Ilyas</v>
          </cell>
          <cell r="Y1019">
            <v>44483</v>
          </cell>
        </row>
        <row r="1020">
          <cell r="K1020">
            <v>4588</v>
          </cell>
          <cell r="L1020">
            <v>30035</v>
          </cell>
          <cell r="M1020" t="str">
            <v>Intiqal</v>
          </cell>
          <cell r="N1020" t="str">
            <v>Registry</v>
          </cell>
          <cell r="O1020">
            <v>0</v>
          </cell>
          <cell r="P1020">
            <v>5</v>
          </cell>
          <cell r="Q1020">
            <v>0</v>
          </cell>
          <cell r="R1020">
            <v>32950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 t="str">
            <v>Zahra</v>
          </cell>
          <cell r="X1020" t="str">
            <v>Sardar Yasir Ilyas</v>
          </cell>
          <cell r="Y1020">
            <v>44455</v>
          </cell>
        </row>
        <row r="1021">
          <cell r="K1021">
            <v>4993</v>
          </cell>
          <cell r="L1021">
            <v>29789</v>
          </cell>
          <cell r="M1021" t="str">
            <v>Intiqal</v>
          </cell>
          <cell r="N1021" t="str">
            <v>Registry</v>
          </cell>
          <cell r="O1021">
            <v>0</v>
          </cell>
          <cell r="P1021">
            <v>10</v>
          </cell>
          <cell r="Q1021">
            <v>0</v>
          </cell>
          <cell r="R1021">
            <v>39080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 t="str">
            <v>Adeel bashir</v>
          </cell>
          <cell r="X1021" t="str">
            <v>Sardar Yasir Ilyas</v>
          </cell>
          <cell r="Y1021">
            <v>44454</v>
          </cell>
        </row>
        <row r="1022">
          <cell r="K1022">
            <v>3837</v>
          </cell>
          <cell r="L1022">
            <v>3262</v>
          </cell>
          <cell r="M1022" t="str">
            <v>Intiqal</v>
          </cell>
          <cell r="N1022" t="str">
            <v>Registry</v>
          </cell>
          <cell r="O1022">
            <v>6</v>
          </cell>
          <cell r="P1022">
            <v>6</v>
          </cell>
          <cell r="Q1022">
            <v>4</v>
          </cell>
          <cell r="R1022">
            <v>940300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 t="str">
            <v>Muhammad Pervaiz</v>
          </cell>
          <cell r="X1022" t="str">
            <v>Sardar Yasir Ilyas</v>
          </cell>
          <cell r="Y1022">
            <v>44506</v>
          </cell>
        </row>
        <row r="1023">
          <cell r="K1023">
            <v>3875</v>
          </cell>
          <cell r="L1023">
            <v>4092</v>
          </cell>
          <cell r="M1023" t="str">
            <v>Intiqal</v>
          </cell>
          <cell r="N1023" t="str">
            <v>Registry</v>
          </cell>
          <cell r="O1023">
            <v>2</v>
          </cell>
          <cell r="P1023">
            <v>0</v>
          </cell>
          <cell r="Q1023">
            <v>0</v>
          </cell>
          <cell r="R1023">
            <v>229300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 t="str">
            <v>Musarat bibi</v>
          </cell>
          <cell r="X1023" t="str">
            <v>Sardar Yasir Ilyas</v>
          </cell>
          <cell r="Y1023">
            <v>44516</v>
          </cell>
        </row>
        <row r="1024">
          <cell r="K1024">
            <v>5032</v>
          </cell>
          <cell r="L1024">
            <v>4889</v>
          </cell>
          <cell r="M1024" t="str">
            <v>Intiqal</v>
          </cell>
          <cell r="N1024" t="str">
            <v>Registry</v>
          </cell>
          <cell r="O1024">
            <v>0</v>
          </cell>
          <cell r="P1024">
            <v>9</v>
          </cell>
          <cell r="Q1024">
            <v>0</v>
          </cell>
          <cell r="R1024">
            <v>53050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 t="str">
            <v>Muhammad Masood Awan</v>
          </cell>
          <cell r="X1024" t="str">
            <v>Sardar Yasir Ilyas</v>
          </cell>
          <cell r="Y1024">
            <v>44523</v>
          </cell>
        </row>
        <row r="1025">
          <cell r="K1025">
            <v>5081</v>
          </cell>
          <cell r="L1025">
            <v>7314</v>
          </cell>
          <cell r="M1025" t="str">
            <v>Intiqal</v>
          </cell>
          <cell r="N1025" t="str">
            <v>Registry</v>
          </cell>
          <cell r="O1025">
            <v>2</v>
          </cell>
          <cell r="P1025">
            <v>0</v>
          </cell>
          <cell r="Q1025">
            <v>0</v>
          </cell>
          <cell r="R1025">
            <v>269300</v>
          </cell>
          <cell r="S1025">
            <v>0</v>
          </cell>
          <cell r="T1025">
            <v>4</v>
          </cell>
          <cell r="U1025">
            <v>0</v>
          </cell>
          <cell r="V1025">
            <v>0</v>
          </cell>
          <cell r="W1025" t="str">
            <v>M noor khan</v>
          </cell>
          <cell r="X1025" t="str">
            <v>Sardar Yasir Ilyas</v>
          </cell>
          <cell r="Y1025">
            <v>44546</v>
          </cell>
        </row>
        <row r="1026">
          <cell r="K1026">
            <v>5082</v>
          </cell>
          <cell r="L1026">
            <v>7315</v>
          </cell>
          <cell r="M1026" t="str">
            <v>Intiqal</v>
          </cell>
          <cell r="N1026" t="str">
            <v>Registry</v>
          </cell>
          <cell r="O1026">
            <v>4</v>
          </cell>
          <cell r="P1026">
            <v>0</v>
          </cell>
          <cell r="Q1026">
            <v>0</v>
          </cell>
          <cell r="R1026">
            <v>509300</v>
          </cell>
          <cell r="S1026">
            <v>0</v>
          </cell>
          <cell r="T1026">
            <v>-2</v>
          </cell>
          <cell r="U1026">
            <v>0</v>
          </cell>
          <cell r="V1026">
            <v>0</v>
          </cell>
          <cell r="W1026" t="str">
            <v>Akbar Khan</v>
          </cell>
          <cell r="X1026" t="str">
            <v>Sardar Yasir Ilyas</v>
          </cell>
          <cell r="Y1026">
            <v>44546</v>
          </cell>
        </row>
        <row r="1027">
          <cell r="K1027">
            <v>5030</v>
          </cell>
          <cell r="L1027">
            <v>5625</v>
          </cell>
          <cell r="M1027" t="str">
            <v>Intiqal</v>
          </cell>
          <cell r="N1027" t="str">
            <v>Registry</v>
          </cell>
          <cell r="O1027">
            <v>0</v>
          </cell>
          <cell r="P1027">
            <v>6</v>
          </cell>
          <cell r="Q1027">
            <v>0</v>
          </cell>
          <cell r="R1027">
            <v>39300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 t="str">
            <v>Gulshan Naveed</v>
          </cell>
          <cell r="X1027" t="str">
            <v>Sardar Yasir Ilyas</v>
          </cell>
          <cell r="Y1027">
            <v>44530</v>
          </cell>
        </row>
        <row r="1028">
          <cell r="K1028">
            <v>3860</v>
          </cell>
          <cell r="L1028">
            <v>5958</v>
          </cell>
          <cell r="M1028" t="str">
            <v>Intiqal</v>
          </cell>
          <cell r="N1028" t="str">
            <v>Registry</v>
          </cell>
          <cell r="O1028">
            <v>1</v>
          </cell>
          <cell r="P1028">
            <v>16</v>
          </cell>
          <cell r="Q1028">
            <v>4.93</v>
          </cell>
          <cell r="R1028">
            <v>220300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 t="str">
            <v>Raheela Bibi</v>
          </cell>
          <cell r="X1028" t="str">
            <v>Sardar Yasir Ilyas</v>
          </cell>
          <cell r="Y1028">
            <v>44533</v>
          </cell>
        </row>
        <row r="1029">
          <cell r="K1029">
            <v>5079</v>
          </cell>
          <cell r="L1029">
            <v>5880</v>
          </cell>
          <cell r="M1029" t="str">
            <v>Intiqal</v>
          </cell>
          <cell r="N1029" t="str">
            <v>Registry</v>
          </cell>
          <cell r="O1029">
            <v>0</v>
          </cell>
          <cell r="P1029">
            <v>10</v>
          </cell>
          <cell r="Q1029">
            <v>0</v>
          </cell>
          <cell r="R1029">
            <v>69800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 t="str">
            <v>Farhana waseem</v>
          </cell>
          <cell r="X1029" t="str">
            <v>Sardar Yasir Ilyas</v>
          </cell>
          <cell r="Y1029">
            <v>44532</v>
          </cell>
        </row>
        <row r="1030">
          <cell r="K1030">
            <v>5028</v>
          </cell>
          <cell r="L1030">
            <v>5978</v>
          </cell>
          <cell r="M1030" t="str">
            <v>Intiqal</v>
          </cell>
          <cell r="N1030" t="str">
            <v>Registry</v>
          </cell>
          <cell r="O1030">
            <v>0</v>
          </cell>
          <cell r="P1030">
            <v>10</v>
          </cell>
          <cell r="Q1030">
            <v>0</v>
          </cell>
          <cell r="R1030">
            <v>54800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 t="str">
            <v>Muhammad Hayyat Khan</v>
          </cell>
          <cell r="X1030" t="str">
            <v>Sardar Yasir Ilyas</v>
          </cell>
          <cell r="Y1030">
            <v>44533</v>
          </cell>
        </row>
        <row r="1031">
          <cell r="K1031">
            <v>5029</v>
          </cell>
          <cell r="L1031">
            <v>5640</v>
          </cell>
          <cell r="M1031" t="str">
            <v>Intiqal</v>
          </cell>
          <cell r="N1031" t="str">
            <v>Registry</v>
          </cell>
          <cell r="O1031">
            <v>0</v>
          </cell>
          <cell r="P1031">
            <v>5</v>
          </cell>
          <cell r="Q1031">
            <v>0</v>
          </cell>
          <cell r="R1031">
            <v>36800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 t="str">
            <v>Shakeel ahmed</v>
          </cell>
          <cell r="X1031" t="str">
            <v>Sardar Yasir Ilyas</v>
          </cell>
          <cell r="Y1031">
            <v>44530</v>
          </cell>
        </row>
        <row r="1032">
          <cell r="K1032">
            <v>3859</v>
          </cell>
          <cell r="L1032">
            <v>201</v>
          </cell>
          <cell r="M1032" t="str">
            <v>Intiqal</v>
          </cell>
          <cell r="N1032" t="str">
            <v>Registry</v>
          </cell>
          <cell r="O1032">
            <v>27</v>
          </cell>
          <cell r="P1032">
            <v>1</v>
          </cell>
          <cell r="Q1032">
            <v>0</v>
          </cell>
          <cell r="R1032">
            <v>7184300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 t="str">
            <v>Muhammad Rafique</v>
          </cell>
          <cell r="X1032" t="str">
            <v>Sardar Yasir Ilyas</v>
          </cell>
          <cell r="Y1032">
            <v>44566</v>
          </cell>
        </row>
        <row r="1033">
          <cell r="K1033">
            <v>571</v>
          </cell>
          <cell r="L1033">
            <v>6964</v>
          </cell>
          <cell r="M1033" t="str">
            <v>Intiqal</v>
          </cell>
          <cell r="N1033" t="str">
            <v>Registry</v>
          </cell>
          <cell r="O1033">
            <v>0</v>
          </cell>
          <cell r="P1033">
            <v>9</v>
          </cell>
          <cell r="Q1033">
            <v>4.5</v>
          </cell>
          <cell r="R1033">
            <v>91050</v>
          </cell>
          <cell r="S1033">
            <v>0</v>
          </cell>
          <cell r="T1033">
            <v>4</v>
          </cell>
          <cell r="U1033">
            <v>-8</v>
          </cell>
          <cell r="V1033">
            <v>0</v>
          </cell>
          <cell r="W1033" t="str">
            <v>Masood Khan</v>
          </cell>
          <cell r="X1033" t="str">
            <v>Sardar Yasir Ilyas</v>
          </cell>
          <cell r="Y1033">
            <v>44628</v>
          </cell>
        </row>
        <row r="1034">
          <cell r="K1034">
            <v>572</v>
          </cell>
          <cell r="L1034">
            <v>6962</v>
          </cell>
          <cell r="M1034" t="str">
            <v>Intiqal</v>
          </cell>
          <cell r="N1034" t="str">
            <v>Registry</v>
          </cell>
          <cell r="O1034">
            <v>0</v>
          </cell>
          <cell r="P1034">
            <v>8</v>
          </cell>
          <cell r="Q1034">
            <v>4</v>
          </cell>
          <cell r="R1034">
            <v>84550</v>
          </cell>
          <cell r="S1034">
            <v>0</v>
          </cell>
          <cell r="T1034">
            <v>0</v>
          </cell>
          <cell r="U1034">
            <v>1</v>
          </cell>
          <cell r="V1034">
            <v>0.5</v>
          </cell>
          <cell r="W1034" t="str">
            <v>Raza Bibi</v>
          </cell>
          <cell r="X1034" t="str">
            <v>Sardar Yasir Ilyas</v>
          </cell>
          <cell r="Y1034">
            <v>44628</v>
          </cell>
        </row>
        <row r="1035">
          <cell r="K1035">
            <v>569</v>
          </cell>
          <cell r="L1035">
            <v>6966</v>
          </cell>
          <cell r="M1035" t="str">
            <v>Intiqal</v>
          </cell>
          <cell r="N1035" t="str">
            <v>Registry</v>
          </cell>
          <cell r="O1035">
            <v>0</v>
          </cell>
          <cell r="P1035">
            <v>4</v>
          </cell>
          <cell r="Q1035">
            <v>0</v>
          </cell>
          <cell r="R1035">
            <v>54800</v>
          </cell>
          <cell r="S1035">
            <v>0</v>
          </cell>
          <cell r="T1035">
            <v>0</v>
          </cell>
          <cell r="U1035">
            <v>4</v>
          </cell>
          <cell r="V1035">
            <v>4</v>
          </cell>
          <cell r="W1035" t="str">
            <v>Muhammad Qadeer</v>
          </cell>
          <cell r="X1035" t="str">
            <v>Sardar Yasir Ilyas</v>
          </cell>
          <cell r="Y1035">
            <v>44623</v>
          </cell>
        </row>
        <row r="1036">
          <cell r="K1036">
            <v>567</v>
          </cell>
          <cell r="L1036">
            <v>6963</v>
          </cell>
          <cell r="M1036" t="str">
            <v>Intiqal</v>
          </cell>
          <cell r="N1036" t="str">
            <v>Registry</v>
          </cell>
          <cell r="O1036">
            <v>0</v>
          </cell>
          <cell r="P1036">
            <v>8</v>
          </cell>
          <cell r="Q1036">
            <v>0</v>
          </cell>
          <cell r="R1036">
            <v>76300</v>
          </cell>
          <cell r="S1036">
            <v>0</v>
          </cell>
          <cell r="T1036">
            <v>0</v>
          </cell>
          <cell r="U1036">
            <v>-3</v>
          </cell>
          <cell r="V1036">
            <v>-9</v>
          </cell>
          <cell r="W1036" t="str">
            <v>Parveen Akhtar</v>
          </cell>
          <cell r="X1036" t="str">
            <v>Sardar Yasir Ilyas</v>
          </cell>
          <cell r="Y1036">
            <v>44628</v>
          </cell>
        </row>
        <row r="1037">
          <cell r="K1037">
            <v>576</v>
          </cell>
          <cell r="L1037">
            <v>6965</v>
          </cell>
          <cell r="M1037" t="str">
            <v>Intiqal</v>
          </cell>
          <cell r="N1037" t="str">
            <v>Registry</v>
          </cell>
          <cell r="O1037">
            <v>2</v>
          </cell>
          <cell r="P1037">
            <v>11</v>
          </cell>
          <cell r="Q1037">
            <v>5</v>
          </cell>
          <cell r="R1037">
            <v>367300</v>
          </cell>
          <cell r="S1037">
            <v>0</v>
          </cell>
          <cell r="T1037">
            <v>-2</v>
          </cell>
          <cell r="U1037">
            <v>-4</v>
          </cell>
          <cell r="V1037">
            <v>4</v>
          </cell>
          <cell r="W1037" t="str">
            <v>M riaz</v>
          </cell>
          <cell r="X1037" t="str">
            <v>Sardar Yasir Ilyas</v>
          </cell>
          <cell r="Y1037">
            <v>44628</v>
          </cell>
        </row>
        <row r="1038">
          <cell r="K1038">
            <v>543</v>
          </cell>
          <cell r="L1038">
            <v>8349</v>
          </cell>
          <cell r="M1038" t="str">
            <v>Intiqal</v>
          </cell>
          <cell r="N1038" t="str">
            <v>Registry</v>
          </cell>
          <cell r="O1038">
            <v>0</v>
          </cell>
          <cell r="P1038">
            <v>10</v>
          </cell>
          <cell r="Q1038">
            <v>0</v>
          </cell>
          <cell r="R1038">
            <v>88050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 t="str">
            <v>Malik Shahzad Yasin</v>
          </cell>
          <cell r="X1038" t="str">
            <v>Sardar Yasir Ilyas</v>
          </cell>
          <cell r="Y1038">
            <v>44553</v>
          </cell>
        </row>
        <row r="1039">
          <cell r="K1039">
            <v>3840</v>
          </cell>
          <cell r="L1039">
            <v>103</v>
          </cell>
          <cell r="M1039" t="str">
            <v>Intiqal</v>
          </cell>
          <cell r="N1039" t="str">
            <v>Registry</v>
          </cell>
          <cell r="O1039">
            <v>1</v>
          </cell>
          <cell r="P1039">
            <v>12</v>
          </cell>
          <cell r="Q1039">
            <v>0</v>
          </cell>
          <cell r="R1039">
            <v>276300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 t="str">
            <v>Muhammad sohail</v>
          </cell>
          <cell r="X1039" t="str">
            <v>Sardar Yasir Ilyas</v>
          </cell>
          <cell r="Y1039">
            <v>44562</v>
          </cell>
        </row>
        <row r="1040">
          <cell r="K1040">
            <v>5192</v>
          </cell>
          <cell r="L1040">
            <v>3414</v>
          </cell>
          <cell r="M1040" t="str">
            <v>Intiqal</v>
          </cell>
          <cell r="N1040" t="str">
            <v>Registry</v>
          </cell>
          <cell r="O1040">
            <v>0</v>
          </cell>
          <cell r="P1040">
            <v>10</v>
          </cell>
          <cell r="Q1040">
            <v>0</v>
          </cell>
          <cell r="R1040">
            <v>56600</v>
          </cell>
          <cell r="S1040">
            <v>0</v>
          </cell>
          <cell r="T1040">
            <v>1</v>
          </cell>
          <cell r="U1040">
            <v>-9</v>
          </cell>
          <cell r="V1040">
            <v>0</v>
          </cell>
          <cell r="W1040" t="str">
            <v>Rab NAwaz</v>
          </cell>
          <cell r="X1040" t="str">
            <v>Sardar Yasir Ilyas</v>
          </cell>
          <cell r="Y1040">
            <v>44639</v>
          </cell>
        </row>
        <row r="1041">
          <cell r="K1041">
            <v>5193</v>
          </cell>
          <cell r="L1041">
            <v>3831</v>
          </cell>
          <cell r="M1041" t="str">
            <v>Intiqal</v>
          </cell>
          <cell r="N1041" t="str">
            <v>Registry</v>
          </cell>
          <cell r="O1041">
            <v>0</v>
          </cell>
          <cell r="P1041">
            <v>11</v>
          </cell>
          <cell r="Q1041">
            <v>0</v>
          </cell>
          <cell r="R1041">
            <v>78800</v>
          </cell>
          <cell r="S1041">
            <v>0</v>
          </cell>
          <cell r="T1041">
            <v>0</v>
          </cell>
          <cell r="U1041">
            <v>-1</v>
          </cell>
          <cell r="V1041">
            <v>0</v>
          </cell>
          <cell r="W1041" t="str">
            <v>Mumraiz Khan</v>
          </cell>
          <cell r="X1041" t="str">
            <v>Sardar Yasir Ilyas</v>
          </cell>
          <cell r="Y1041">
            <v>44599</v>
          </cell>
        </row>
        <row r="1042">
          <cell r="K1042">
            <v>4449</v>
          </cell>
          <cell r="L1042">
            <v>1867</v>
          </cell>
          <cell r="M1042" t="str">
            <v>Intiqal</v>
          </cell>
          <cell r="N1042" t="str">
            <v>Registry</v>
          </cell>
          <cell r="O1042">
            <v>0</v>
          </cell>
          <cell r="P1042">
            <v>7</v>
          </cell>
          <cell r="Q1042">
            <v>8</v>
          </cell>
          <cell r="R1042">
            <v>46800</v>
          </cell>
          <cell r="S1042">
            <v>0</v>
          </cell>
          <cell r="T1042">
            <v>1</v>
          </cell>
          <cell r="U1042">
            <v>-2</v>
          </cell>
          <cell r="V1042">
            <v>-5</v>
          </cell>
          <cell r="W1042" t="str">
            <v>Waseem Sajjad</v>
          </cell>
          <cell r="X1042" t="str">
            <v>Sardar Yasir Ilyas</v>
          </cell>
          <cell r="Y1042">
            <v>44580</v>
          </cell>
        </row>
        <row r="1043">
          <cell r="K1043">
            <v>4020</v>
          </cell>
          <cell r="L1043">
            <v>1602</v>
          </cell>
          <cell r="M1043" t="str">
            <v>Intiqal</v>
          </cell>
          <cell r="N1043" t="str">
            <v>Registry</v>
          </cell>
          <cell r="O1043">
            <v>0</v>
          </cell>
          <cell r="P1043">
            <v>5</v>
          </cell>
          <cell r="Q1043">
            <v>0</v>
          </cell>
          <cell r="R1043">
            <v>36300</v>
          </cell>
          <cell r="S1043">
            <v>0</v>
          </cell>
          <cell r="T1043">
            <v>0</v>
          </cell>
          <cell r="U1043">
            <v>2</v>
          </cell>
          <cell r="V1043">
            <v>8</v>
          </cell>
          <cell r="W1043" t="str">
            <v>Qazi Abdul Mujeed Qureshi</v>
          </cell>
          <cell r="X1043" t="str">
            <v>Sardar Yasir Ilyas</v>
          </cell>
          <cell r="Y1043">
            <v>44578</v>
          </cell>
        </row>
        <row r="1044">
          <cell r="K1044">
            <v>4604</v>
          </cell>
          <cell r="L1044">
            <v>1603</v>
          </cell>
          <cell r="M1044" t="str">
            <v>Intiqal</v>
          </cell>
          <cell r="N1044" t="str">
            <v>Registry</v>
          </cell>
          <cell r="O1044">
            <v>0</v>
          </cell>
          <cell r="P1044">
            <v>12</v>
          </cell>
          <cell r="Q1044">
            <v>4</v>
          </cell>
          <cell r="R1044">
            <v>64300</v>
          </cell>
          <cell r="S1044">
            <v>0</v>
          </cell>
          <cell r="T1044">
            <v>0</v>
          </cell>
          <cell r="U1044">
            <v>-7</v>
          </cell>
          <cell r="V1044">
            <v>-4</v>
          </cell>
          <cell r="W1044" t="str">
            <v>Qazi Abdul Aziz</v>
          </cell>
          <cell r="X1044" t="str">
            <v>Sardar Yasir Ilyas</v>
          </cell>
          <cell r="Y1044">
            <v>44578</v>
          </cell>
        </row>
        <row r="1045">
          <cell r="K1045">
            <v>3741</v>
          </cell>
          <cell r="L1045">
            <v>1046</v>
          </cell>
          <cell r="M1045" t="str">
            <v>Intiqal</v>
          </cell>
          <cell r="N1045" t="str">
            <v>Registry</v>
          </cell>
          <cell r="O1045">
            <v>5</v>
          </cell>
          <cell r="P1045">
            <v>0</v>
          </cell>
          <cell r="Q1045">
            <v>4.5</v>
          </cell>
          <cell r="R1045">
            <v>867300</v>
          </cell>
          <cell r="S1045">
            <v>0</v>
          </cell>
          <cell r="T1045">
            <v>0</v>
          </cell>
          <cell r="U1045">
            <v>17</v>
          </cell>
          <cell r="V1045">
            <v>0</v>
          </cell>
          <cell r="W1045" t="str">
            <v>Faheem Khan</v>
          </cell>
          <cell r="X1045" t="str">
            <v>Sardar Yasir Ilyas</v>
          </cell>
          <cell r="Y1045">
            <v>44573</v>
          </cell>
        </row>
        <row r="1046">
          <cell r="K1046">
            <v>3826</v>
          </cell>
          <cell r="L1046">
            <v>1103</v>
          </cell>
          <cell r="M1046" t="str">
            <v>Intiqal</v>
          </cell>
          <cell r="N1046" t="str">
            <v>Registry</v>
          </cell>
          <cell r="O1046">
            <v>0</v>
          </cell>
          <cell r="P1046">
            <v>17</v>
          </cell>
          <cell r="Q1046">
            <v>0</v>
          </cell>
          <cell r="R1046">
            <v>107300</v>
          </cell>
          <cell r="S1046">
            <v>0</v>
          </cell>
          <cell r="T1046">
            <v>5</v>
          </cell>
          <cell r="U1046">
            <v>-17</v>
          </cell>
          <cell r="V1046">
            <v>4.5</v>
          </cell>
          <cell r="W1046" t="str">
            <v>Ghulam sarwar</v>
          </cell>
          <cell r="X1046" t="str">
            <v>Sardar Yasir Ilyas</v>
          </cell>
          <cell r="Y1046">
            <v>44573</v>
          </cell>
        </row>
        <row r="1047">
          <cell r="K1047">
            <v>1550</v>
          </cell>
          <cell r="M1047" t="str">
            <v>Intiqal</v>
          </cell>
          <cell r="N1047" t="str">
            <v>Not Available</v>
          </cell>
          <cell r="O1047">
            <v>4</v>
          </cell>
          <cell r="P1047">
            <v>0</v>
          </cell>
          <cell r="Q1047">
            <v>7</v>
          </cell>
          <cell r="R1047">
            <v>0</v>
          </cell>
          <cell r="S1047">
            <v>0</v>
          </cell>
          <cell r="T1047">
            <v>41</v>
          </cell>
          <cell r="U1047">
            <v>19</v>
          </cell>
          <cell r="V1047">
            <v>-1.04</v>
          </cell>
          <cell r="W1047" t="str">
            <v>Muhammad Fayaz</v>
          </cell>
          <cell r="X1047" t="str">
            <v>Qaiser Maskeen</v>
          </cell>
        </row>
        <row r="1048">
          <cell r="K1048">
            <v>3825</v>
          </cell>
          <cell r="L1048">
            <v>1780</v>
          </cell>
          <cell r="M1048" t="str">
            <v>Intiqal</v>
          </cell>
          <cell r="N1048" t="str">
            <v>Registry</v>
          </cell>
          <cell r="O1048">
            <v>1</v>
          </cell>
          <cell r="P1048">
            <v>15</v>
          </cell>
          <cell r="Q1048">
            <v>2.98</v>
          </cell>
          <cell r="R1048">
            <v>230300</v>
          </cell>
          <cell r="S1048">
            <v>0</v>
          </cell>
          <cell r="T1048">
            <v>3</v>
          </cell>
          <cell r="U1048">
            <v>-15</v>
          </cell>
          <cell r="V1048">
            <v>4.0199999999999996</v>
          </cell>
          <cell r="W1048" t="str">
            <v>Kaniz fatima</v>
          </cell>
          <cell r="X1048" t="str">
            <v>Sardar Yasir Ilyas</v>
          </cell>
          <cell r="Y1048">
            <v>44580</v>
          </cell>
        </row>
        <row r="1049">
          <cell r="K1049">
            <v>3824</v>
          </cell>
          <cell r="L1049">
            <v>1779</v>
          </cell>
          <cell r="M1049" t="str">
            <v>Intiqal</v>
          </cell>
          <cell r="N1049" t="str">
            <v>Registry</v>
          </cell>
          <cell r="O1049">
            <v>0</v>
          </cell>
          <cell r="P1049">
            <v>17</v>
          </cell>
          <cell r="Q1049">
            <v>5.98</v>
          </cell>
          <cell r="R1049">
            <v>110300</v>
          </cell>
          <cell r="S1049">
            <v>0</v>
          </cell>
          <cell r="T1049">
            <v>1</v>
          </cell>
          <cell r="U1049">
            <v>-2</v>
          </cell>
          <cell r="V1049">
            <v>-3</v>
          </cell>
          <cell r="W1049" t="str">
            <v>Rasheeda begum</v>
          </cell>
          <cell r="X1049" t="str">
            <v>Sardar Yasir Ilyas</v>
          </cell>
          <cell r="Y1049">
            <v>44580</v>
          </cell>
        </row>
        <row r="1050">
          <cell r="K1050">
            <v>3801</v>
          </cell>
          <cell r="L1050">
            <v>2507</v>
          </cell>
          <cell r="M1050" t="str">
            <v>Intiqal</v>
          </cell>
          <cell r="N1050" t="str">
            <v>Registry</v>
          </cell>
          <cell r="O1050">
            <v>39</v>
          </cell>
          <cell r="P1050">
            <v>5</v>
          </cell>
          <cell r="Q1050">
            <v>8</v>
          </cell>
          <cell r="R1050">
            <v>8523100</v>
          </cell>
          <cell r="S1050">
            <v>0</v>
          </cell>
          <cell r="T1050">
            <v>-39</v>
          </cell>
          <cell r="U1050">
            <v>12</v>
          </cell>
          <cell r="V1050">
            <v>-2.02</v>
          </cell>
          <cell r="W1050" t="str">
            <v>Sheikh Sajid Mehmood</v>
          </cell>
          <cell r="X1050" t="str">
            <v>Sardar Yasir Ilyas</v>
          </cell>
          <cell r="Y1050">
            <v>44586</v>
          </cell>
        </row>
        <row r="1051">
          <cell r="K1051">
            <v>5080</v>
          </cell>
          <cell r="L1051">
            <v>3122</v>
          </cell>
          <cell r="M1051" t="str">
            <v>Intiqal</v>
          </cell>
          <cell r="N1051" t="str">
            <v>Registry</v>
          </cell>
          <cell r="O1051">
            <v>0</v>
          </cell>
          <cell r="P1051">
            <v>10</v>
          </cell>
          <cell r="Q1051">
            <v>0</v>
          </cell>
          <cell r="R1051">
            <v>59100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 t="str">
            <v>M sarfraz</v>
          </cell>
          <cell r="X1051" t="str">
            <v>Sardar Yasir Ilyas</v>
          </cell>
          <cell r="Y1051">
            <v>44590</v>
          </cell>
        </row>
        <row r="1052">
          <cell r="K1052">
            <v>5083</v>
          </cell>
          <cell r="L1052">
            <v>8817</v>
          </cell>
          <cell r="M1052" t="str">
            <v>Intiqal</v>
          </cell>
          <cell r="N1052" t="str">
            <v>Registry</v>
          </cell>
          <cell r="O1052">
            <v>0</v>
          </cell>
          <cell r="P1052">
            <v>5</v>
          </cell>
          <cell r="Q1052">
            <v>0</v>
          </cell>
          <cell r="R1052">
            <v>38800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 t="str">
            <v>Kamran Hussain</v>
          </cell>
          <cell r="X1052" t="str">
            <v>Sardar Yasir Ilyas</v>
          </cell>
          <cell r="Y1052">
            <v>44560</v>
          </cell>
        </row>
        <row r="1053">
          <cell r="K1053">
            <v>5159</v>
          </cell>
          <cell r="L1053">
            <v>3155</v>
          </cell>
          <cell r="M1053" t="str">
            <v>Intiqal</v>
          </cell>
          <cell r="N1053" t="str">
            <v>Registry</v>
          </cell>
          <cell r="O1053">
            <v>0</v>
          </cell>
          <cell r="P1053">
            <v>6</v>
          </cell>
          <cell r="Q1053">
            <v>0</v>
          </cell>
          <cell r="R1053">
            <v>43800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 t="str">
            <v>Muhammad Hayyat Khan</v>
          </cell>
          <cell r="X1053" t="str">
            <v>Sardar Yasir Ilyas</v>
          </cell>
          <cell r="Y1053">
            <v>44590</v>
          </cell>
        </row>
        <row r="1054">
          <cell r="K1054">
            <v>106</v>
          </cell>
          <cell r="L1054">
            <v>7009</v>
          </cell>
          <cell r="M1054" t="str">
            <v>Intiqal</v>
          </cell>
          <cell r="N1054" t="str">
            <v>Registry</v>
          </cell>
          <cell r="O1054">
            <v>4</v>
          </cell>
          <cell r="P1054">
            <v>0</v>
          </cell>
          <cell r="Q1054">
            <v>0</v>
          </cell>
          <cell r="R1054">
            <v>759100</v>
          </cell>
          <cell r="S1054">
            <v>0</v>
          </cell>
          <cell r="T1054">
            <v>1</v>
          </cell>
          <cell r="U1054">
            <v>0</v>
          </cell>
          <cell r="V1054">
            <v>0</v>
          </cell>
          <cell r="W1054" t="str">
            <v>Muhammad Sabir</v>
          </cell>
          <cell r="X1054" t="str">
            <v>Sardar Yasir Ilyas</v>
          </cell>
          <cell r="Y1054">
            <v>44629</v>
          </cell>
        </row>
        <row r="1055">
          <cell r="K1055">
            <v>117</v>
          </cell>
          <cell r="L1055">
            <v>3980</v>
          </cell>
          <cell r="M1055" t="str">
            <v>Intiqal</v>
          </cell>
          <cell r="N1055" t="str">
            <v>Registry</v>
          </cell>
          <cell r="O1055">
            <v>1</v>
          </cell>
          <cell r="P1055">
            <v>0</v>
          </cell>
          <cell r="Q1055">
            <v>0</v>
          </cell>
          <cell r="R1055">
            <v>144100</v>
          </cell>
          <cell r="S1055">
            <v>0</v>
          </cell>
          <cell r="T1055">
            <v>3</v>
          </cell>
          <cell r="U1055">
            <v>0</v>
          </cell>
          <cell r="V1055">
            <v>0</v>
          </cell>
          <cell r="W1055" t="str">
            <v>Raja Mehmood Sultan</v>
          </cell>
          <cell r="X1055" t="str">
            <v>Sardar Yasir Ilyas</v>
          </cell>
          <cell r="Y1055">
            <v>44600</v>
          </cell>
        </row>
        <row r="1056">
          <cell r="K1056">
            <v>5489</v>
          </cell>
          <cell r="L1056">
            <v>5692</v>
          </cell>
          <cell r="M1056" t="str">
            <v>Intiqal</v>
          </cell>
          <cell r="N1056" t="str">
            <v>Registry</v>
          </cell>
          <cell r="O1056">
            <v>0</v>
          </cell>
          <cell r="P1056">
            <v>9</v>
          </cell>
          <cell r="Q1056">
            <v>4.3</v>
          </cell>
          <cell r="R1056">
            <v>54100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 t="str">
            <v>Shareef Jan</v>
          </cell>
          <cell r="X1056" t="str">
            <v>Sardar Yasir Ilyas</v>
          </cell>
          <cell r="Y1056">
            <v>44614</v>
          </cell>
        </row>
        <row r="1057">
          <cell r="K1057">
            <v>594</v>
          </cell>
          <cell r="L1057">
            <v>4758</v>
          </cell>
          <cell r="M1057" t="str">
            <v>Intiqal</v>
          </cell>
          <cell r="N1057" t="str">
            <v>Registry</v>
          </cell>
          <cell r="O1057">
            <v>0</v>
          </cell>
          <cell r="P1057">
            <v>10</v>
          </cell>
          <cell r="Q1057">
            <v>0</v>
          </cell>
          <cell r="R1057">
            <v>49100</v>
          </cell>
          <cell r="S1057">
            <v>0</v>
          </cell>
          <cell r="T1057">
            <v>2</v>
          </cell>
          <cell r="U1057">
            <v>-9</v>
          </cell>
          <cell r="V1057">
            <v>3</v>
          </cell>
          <cell r="W1057" t="str">
            <v>Ghulam Martaza</v>
          </cell>
          <cell r="X1057" t="str">
            <v>Sardar Yasir Ilyas</v>
          </cell>
          <cell r="Y1057">
            <v>44652</v>
          </cell>
        </row>
        <row r="1058">
          <cell r="K1058">
            <v>596</v>
          </cell>
          <cell r="L1058">
            <v>5524</v>
          </cell>
          <cell r="M1058" t="str">
            <v>Intiqal</v>
          </cell>
          <cell r="N1058" t="str">
            <v>Registry</v>
          </cell>
          <cell r="O1058">
            <v>0</v>
          </cell>
          <cell r="P1058">
            <v>14</v>
          </cell>
          <cell r="Q1058">
            <v>3</v>
          </cell>
          <cell r="R1058">
            <v>89100</v>
          </cell>
          <cell r="S1058">
            <v>0</v>
          </cell>
          <cell r="T1058">
            <v>0</v>
          </cell>
          <cell r="U1058">
            <v>-4</v>
          </cell>
          <cell r="V1058">
            <v>-3</v>
          </cell>
          <cell r="W1058" t="str">
            <v>Ghulam Murtaza</v>
          </cell>
          <cell r="X1058" t="str">
            <v>Sardar Yasir Ilyas</v>
          </cell>
          <cell r="Y1058">
            <v>44658</v>
          </cell>
        </row>
        <row r="1059">
          <cell r="K1059">
            <v>570</v>
          </cell>
          <cell r="L1059">
            <v>4405</v>
          </cell>
          <cell r="M1059" t="str">
            <v>Intiqal</v>
          </cell>
          <cell r="N1059" t="str">
            <v>Registry</v>
          </cell>
          <cell r="O1059">
            <v>0</v>
          </cell>
          <cell r="P1059">
            <v>17</v>
          </cell>
          <cell r="Q1059">
            <v>0</v>
          </cell>
          <cell r="R1059">
            <v>134600</v>
          </cell>
          <cell r="S1059">
            <v>0</v>
          </cell>
          <cell r="T1059">
            <v>0</v>
          </cell>
          <cell r="U1059">
            <v>-3</v>
          </cell>
          <cell r="V1059">
            <v>3</v>
          </cell>
          <cell r="W1059" t="str">
            <v>Javed Akhter</v>
          </cell>
          <cell r="X1059" t="str">
            <v>Sardar Yasir Ilyas</v>
          </cell>
          <cell r="Y1059">
            <v>44603</v>
          </cell>
        </row>
        <row r="1060">
          <cell r="K1060">
            <v>3869</v>
          </cell>
          <cell r="L1060">
            <v>4164</v>
          </cell>
          <cell r="M1060" t="str">
            <v>Intiqal</v>
          </cell>
          <cell r="N1060" t="str">
            <v>Registry</v>
          </cell>
          <cell r="O1060">
            <v>5</v>
          </cell>
          <cell r="P1060">
            <v>0</v>
          </cell>
          <cell r="Q1060">
            <v>4.5</v>
          </cell>
          <cell r="R1060">
            <v>630100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 t="str">
            <v>Fazal Min Alla</v>
          </cell>
          <cell r="X1060" t="str">
            <v>Sardar Yasir Ilyas</v>
          </cell>
          <cell r="Y1060">
            <v>44601</v>
          </cell>
        </row>
        <row r="1061">
          <cell r="K1061">
            <v>4688</v>
          </cell>
          <cell r="L1061">
            <v>8383</v>
          </cell>
          <cell r="M1061" t="str">
            <v>Intiqal</v>
          </cell>
          <cell r="N1061" t="str">
            <v>Registry</v>
          </cell>
          <cell r="O1061">
            <v>1</v>
          </cell>
          <cell r="P1061">
            <v>0</v>
          </cell>
          <cell r="Q1061">
            <v>0</v>
          </cell>
          <cell r="R1061">
            <v>58100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 t="str">
            <v>Azam Elahi</v>
          </cell>
          <cell r="X1061" t="str">
            <v>Sardar Yasir Ilyas</v>
          </cell>
          <cell r="Y1061">
            <v>44695</v>
          </cell>
        </row>
        <row r="1062">
          <cell r="K1062">
            <v>617</v>
          </cell>
          <cell r="L1062">
            <v>24172</v>
          </cell>
          <cell r="M1062" t="str">
            <v>Intiqal</v>
          </cell>
          <cell r="N1062" t="str">
            <v>Registry</v>
          </cell>
          <cell r="O1062">
            <v>0</v>
          </cell>
          <cell r="P1062">
            <v>4</v>
          </cell>
          <cell r="Q1062">
            <v>8</v>
          </cell>
          <cell r="R1062">
            <v>48850</v>
          </cell>
          <cell r="S1062">
            <v>0</v>
          </cell>
          <cell r="T1062">
            <v>1</v>
          </cell>
          <cell r="U1062">
            <v>11</v>
          </cell>
          <cell r="V1062">
            <v>0</v>
          </cell>
          <cell r="W1062" t="str">
            <v>Rashid Mehmood</v>
          </cell>
          <cell r="X1062" t="str">
            <v>Sardar Yasir Ilyas</v>
          </cell>
          <cell r="Y1062">
            <v>44392</v>
          </cell>
        </row>
        <row r="1063">
          <cell r="K1063">
            <v>553</v>
          </cell>
          <cell r="L1063">
            <v>28260</v>
          </cell>
          <cell r="M1063" t="str">
            <v>Intiqal</v>
          </cell>
          <cell r="N1063" t="str">
            <v>Registry</v>
          </cell>
          <cell r="O1063">
            <v>0</v>
          </cell>
          <cell r="P1063">
            <v>3</v>
          </cell>
          <cell r="Q1063">
            <v>7</v>
          </cell>
          <cell r="R1063">
            <v>26800</v>
          </cell>
          <cell r="S1063">
            <v>0</v>
          </cell>
          <cell r="T1063">
            <v>0</v>
          </cell>
          <cell r="U1063">
            <v>1</v>
          </cell>
          <cell r="V1063">
            <v>1</v>
          </cell>
          <cell r="W1063" t="str">
            <v>Rashid Mehmood</v>
          </cell>
          <cell r="X1063" t="str">
            <v>Sardar Yasir Ilyas</v>
          </cell>
          <cell r="Y1063">
            <v>44438</v>
          </cell>
        </row>
        <row r="1064">
          <cell r="K1064">
            <v>551</v>
          </cell>
          <cell r="L1064">
            <v>28259</v>
          </cell>
          <cell r="M1064" t="str">
            <v>Intiqal</v>
          </cell>
          <cell r="N1064" t="str">
            <v>Registry</v>
          </cell>
          <cell r="O1064">
            <v>0</v>
          </cell>
          <cell r="P1064">
            <v>5</v>
          </cell>
          <cell r="Q1064">
            <v>8</v>
          </cell>
          <cell r="R1064">
            <v>29800</v>
          </cell>
          <cell r="S1064">
            <v>0</v>
          </cell>
          <cell r="T1064">
            <v>0</v>
          </cell>
          <cell r="U1064">
            <v>-2</v>
          </cell>
          <cell r="V1064">
            <v>-1</v>
          </cell>
          <cell r="W1064" t="str">
            <v>Saqib Mehmood</v>
          </cell>
          <cell r="X1064" t="str">
            <v>Sardar Yasir Ilyas</v>
          </cell>
          <cell r="Y1064">
            <v>44438</v>
          </cell>
        </row>
        <row r="1065">
          <cell r="K1065">
            <v>602</v>
          </cell>
          <cell r="L1065">
            <v>3462</v>
          </cell>
          <cell r="M1065" t="str">
            <v>Not Available</v>
          </cell>
          <cell r="N1065" t="str">
            <v>Registry</v>
          </cell>
          <cell r="O1065">
            <v>1</v>
          </cell>
          <cell r="P1065">
            <v>1</v>
          </cell>
          <cell r="Q1065">
            <v>3</v>
          </cell>
          <cell r="R1065">
            <v>210150</v>
          </cell>
          <cell r="S1065">
            <v>0</v>
          </cell>
          <cell r="T1065">
            <v>-1</v>
          </cell>
          <cell r="U1065">
            <v>4</v>
          </cell>
          <cell r="V1065">
            <v>5</v>
          </cell>
          <cell r="W1065" t="str">
            <v>Muhammad Ashfaq</v>
          </cell>
          <cell r="X1065" t="str">
            <v>Sardar Yasir Ilyas</v>
          </cell>
          <cell r="Y1065">
            <v>44594</v>
          </cell>
        </row>
        <row r="1066">
          <cell r="K1066">
            <v>5191</v>
          </cell>
          <cell r="L1066">
            <v>4225</v>
          </cell>
          <cell r="M1066" t="str">
            <v>Intiqal</v>
          </cell>
          <cell r="N1066" t="str">
            <v>Registry</v>
          </cell>
          <cell r="O1066">
            <v>0</v>
          </cell>
          <cell r="P1066">
            <v>6</v>
          </cell>
          <cell r="Q1066">
            <v>0</v>
          </cell>
          <cell r="R1066">
            <v>53600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 t="str">
            <v>Atta Ullah</v>
          </cell>
          <cell r="X1066" t="str">
            <v>Sardar Yasir Ilyas</v>
          </cell>
          <cell r="Y1066">
            <v>44601</v>
          </cell>
        </row>
        <row r="1067">
          <cell r="K1067">
            <v>3882</v>
          </cell>
          <cell r="L1067">
            <v>4956</v>
          </cell>
          <cell r="M1067" t="str">
            <v>Intiqal</v>
          </cell>
          <cell r="N1067" t="str">
            <v>Registry</v>
          </cell>
          <cell r="O1067">
            <v>4</v>
          </cell>
          <cell r="P1067">
            <v>0</v>
          </cell>
          <cell r="Q1067">
            <v>0</v>
          </cell>
          <cell r="R1067">
            <v>774100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 t="str">
            <v>Naheed Akhtar</v>
          </cell>
          <cell r="X1067" t="str">
            <v>Sardar Yasir Ilyas</v>
          </cell>
          <cell r="Y1067">
            <v>44608</v>
          </cell>
        </row>
        <row r="1068">
          <cell r="K1068">
            <v>3868</v>
          </cell>
          <cell r="L1068">
            <v>20987</v>
          </cell>
          <cell r="M1068" t="str">
            <v>Intiqal</v>
          </cell>
          <cell r="N1068" t="str">
            <v>Registry</v>
          </cell>
          <cell r="O1068">
            <v>3</v>
          </cell>
          <cell r="P1068">
            <v>19</v>
          </cell>
          <cell r="Q1068">
            <v>8.3000000000000007</v>
          </cell>
          <cell r="R1068">
            <v>1108600</v>
          </cell>
          <cell r="S1068">
            <v>0</v>
          </cell>
          <cell r="T1068">
            <v>89</v>
          </cell>
          <cell r="U1068">
            <v>-14</v>
          </cell>
          <cell r="V1068">
            <v>-1.59</v>
          </cell>
          <cell r="W1068" t="str">
            <v>Khasif Javed</v>
          </cell>
          <cell r="X1068" t="str">
            <v>Sardar Yasir Ilyas</v>
          </cell>
          <cell r="Y1068">
            <v>44811</v>
          </cell>
        </row>
        <row r="1069">
          <cell r="K1069">
            <v>3880</v>
          </cell>
          <cell r="L1069">
            <v>20986</v>
          </cell>
          <cell r="M1069" t="str">
            <v>Intiqal</v>
          </cell>
          <cell r="N1069" t="str">
            <v>Registry</v>
          </cell>
          <cell r="O1069">
            <v>19</v>
          </cell>
          <cell r="P1069">
            <v>19</v>
          </cell>
          <cell r="Q1069">
            <v>7.41</v>
          </cell>
          <cell r="R1069">
            <v>5300660</v>
          </cell>
          <cell r="S1069">
            <v>0</v>
          </cell>
          <cell r="T1069">
            <v>-16</v>
          </cell>
          <cell r="U1069">
            <v>0</v>
          </cell>
          <cell r="V1069">
            <v>0.89</v>
          </cell>
          <cell r="W1069" t="str">
            <v>Khasif Javed</v>
          </cell>
          <cell r="X1069" t="str">
            <v>Sardar Yasir Ilyas</v>
          </cell>
          <cell r="Y1069">
            <v>44811</v>
          </cell>
        </row>
        <row r="1070">
          <cell r="K1070">
            <v>3928</v>
          </cell>
          <cell r="L1070">
            <v>10209</v>
          </cell>
          <cell r="M1070" t="str">
            <v>Intiqal</v>
          </cell>
          <cell r="N1070" t="str">
            <v>Registry</v>
          </cell>
          <cell r="O1070">
            <v>0</v>
          </cell>
          <cell r="P1070">
            <v>5</v>
          </cell>
          <cell r="Q1070">
            <v>0</v>
          </cell>
          <cell r="R1070">
            <v>2500</v>
          </cell>
          <cell r="S1070">
            <v>0</v>
          </cell>
          <cell r="T1070">
            <v>19</v>
          </cell>
          <cell r="U1070">
            <v>14</v>
          </cell>
          <cell r="V1070">
            <v>7.41</v>
          </cell>
          <cell r="W1070" t="str">
            <v>Zumurd Khan</v>
          </cell>
          <cell r="X1070" t="str">
            <v>Sardar Yasir Ilyas</v>
          </cell>
          <cell r="Y1070">
            <v>44803</v>
          </cell>
        </row>
        <row r="1071">
          <cell r="K1071">
            <v>3870</v>
          </cell>
          <cell r="L1071">
            <v>18767</v>
          </cell>
          <cell r="M1071" t="str">
            <v>Intiqal</v>
          </cell>
          <cell r="N1071" t="str">
            <v>Registry</v>
          </cell>
          <cell r="O1071">
            <v>1</v>
          </cell>
          <cell r="P1071">
            <v>13</v>
          </cell>
          <cell r="Q1071">
            <v>0</v>
          </cell>
          <cell r="R1071">
            <v>433450</v>
          </cell>
          <cell r="S1071">
            <v>0</v>
          </cell>
          <cell r="T1071">
            <v>-1</v>
          </cell>
          <cell r="U1071">
            <v>-8</v>
          </cell>
          <cell r="V1071">
            <v>0</v>
          </cell>
          <cell r="W1071" t="str">
            <v>Maqsood Bibi</v>
          </cell>
          <cell r="X1071" t="str">
            <v>Sardar Yasir Ilyas</v>
          </cell>
          <cell r="Y1071">
            <v>44785</v>
          </cell>
        </row>
        <row r="1072">
          <cell r="K1072">
            <v>3866</v>
          </cell>
          <cell r="L1072">
            <v>20984</v>
          </cell>
          <cell r="M1072" t="str">
            <v>Intiqal</v>
          </cell>
          <cell r="N1072" t="str">
            <v>Registry</v>
          </cell>
          <cell r="O1072">
            <v>24</v>
          </cell>
          <cell r="P1072">
            <v>0</v>
          </cell>
          <cell r="Q1072">
            <v>0</v>
          </cell>
          <cell r="R1072">
            <v>6304000</v>
          </cell>
          <cell r="S1072">
            <v>0</v>
          </cell>
          <cell r="T1072">
            <v>-23</v>
          </cell>
          <cell r="U1072">
            <v>13</v>
          </cell>
          <cell r="V1072">
            <v>0</v>
          </cell>
          <cell r="W1072" t="str">
            <v>Mansoor Ahmed</v>
          </cell>
          <cell r="X1072" t="str">
            <v>Sardar Yasir Ilyas</v>
          </cell>
          <cell r="Y1072">
            <v>44811</v>
          </cell>
        </row>
        <row r="1073">
          <cell r="K1073">
            <v>3793</v>
          </cell>
          <cell r="L1073">
            <v>4625</v>
          </cell>
          <cell r="M1073" t="str">
            <v>Intiqal</v>
          </cell>
          <cell r="N1073" t="str">
            <v>Registry</v>
          </cell>
          <cell r="O1073">
            <v>8</v>
          </cell>
          <cell r="P1073">
            <v>0</v>
          </cell>
          <cell r="Q1073">
            <v>0</v>
          </cell>
          <cell r="R1073">
            <v>1776000</v>
          </cell>
          <cell r="S1073">
            <v>0</v>
          </cell>
          <cell r="T1073">
            <v>16</v>
          </cell>
          <cell r="U1073">
            <v>0</v>
          </cell>
          <cell r="V1073">
            <v>0</v>
          </cell>
          <cell r="W1073" t="str">
            <v>Muhammad Zafar Iqbal</v>
          </cell>
          <cell r="X1073" t="str">
            <v>Sardar Yasir Ilyas</v>
          </cell>
          <cell r="Y1073">
            <v>44651</v>
          </cell>
        </row>
        <row r="1074">
          <cell r="K1074">
            <v>3922</v>
          </cell>
          <cell r="L1074">
            <v>5490</v>
          </cell>
          <cell r="M1074" t="str">
            <v>Intiqal</v>
          </cell>
          <cell r="N1074" t="str">
            <v>Registry</v>
          </cell>
          <cell r="O1074">
            <v>6</v>
          </cell>
          <cell r="P1074">
            <v>8</v>
          </cell>
          <cell r="Q1074">
            <v>0</v>
          </cell>
          <cell r="R1074">
            <v>832600</v>
          </cell>
          <cell r="S1074">
            <v>0</v>
          </cell>
          <cell r="T1074">
            <v>2</v>
          </cell>
          <cell r="U1074">
            <v>-8</v>
          </cell>
          <cell r="V1074">
            <v>0</v>
          </cell>
          <cell r="W1074" t="str">
            <v>Muhammad Irfan</v>
          </cell>
          <cell r="X1074" t="str">
            <v>Sardar Yasir Ilyas</v>
          </cell>
          <cell r="Y1074">
            <v>44658</v>
          </cell>
        </row>
        <row r="1075">
          <cell r="K1075">
            <v>3794</v>
          </cell>
          <cell r="L1075">
            <v>2768</v>
          </cell>
          <cell r="M1075" t="str">
            <v>Intiqal</v>
          </cell>
          <cell r="N1075" t="str">
            <v>Registry</v>
          </cell>
          <cell r="O1075">
            <v>8</v>
          </cell>
          <cell r="P1075">
            <v>0</v>
          </cell>
          <cell r="Q1075">
            <v>0</v>
          </cell>
          <cell r="R1075">
            <v>1536000</v>
          </cell>
          <cell r="S1075">
            <v>0</v>
          </cell>
          <cell r="T1075">
            <v>-2</v>
          </cell>
          <cell r="U1075">
            <v>8</v>
          </cell>
          <cell r="V1075">
            <v>0</v>
          </cell>
          <cell r="W1075" t="str">
            <v>Umer Memon</v>
          </cell>
          <cell r="X1075" t="str">
            <v>Sardar Yasir Ilyas</v>
          </cell>
          <cell r="Y1075">
            <v>44635</v>
          </cell>
        </row>
        <row r="1076">
          <cell r="K1076">
            <v>3812</v>
          </cell>
          <cell r="L1076">
            <v>2352</v>
          </cell>
          <cell r="M1076" t="str">
            <v>Intiqal</v>
          </cell>
          <cell r="N1076" t="str">
            <v>Registry</v>
          </cell>
          <cell r="O1076">
            <v>5</v>
          </cell>
          <cell r="P1076">
            <v>0</v>
          </cell>
          <cell r="Q1076">
            <v>0</v>
          </cell>
          <cell r="R1076">
            <v>1380100</v>
          </cell>
          <cell r="S1076">
            <v>0</v>
          </cell>
          <cell r="T1076">
            <v>3</v>
          </cell>
          <cell r="U1076">
            <v>0</v>
          </cell>
          <cell r="V1076">
            <v>0</v>
          </cell>
          <cell r="W1076" t="str">
            <v>Banoot Khan</v>
          </cell>
          <cell r="X1076" t="str">
            <v>Sardar Yasir Ilyas</v>
          </cell>
          <cell r="Y1076">
            <v>44629</v>
          </cell>
        </row>
        <row r="1077">
          <cell r="K1077">
            <v>3884</v>
          </cell>
          <cell r="L1077">
            <v>2351</v>
          </cell>
          <cell r="M1077" t="str">
            <v>Intiqal</v>
          </cell>
          <cell r="N1077" t="str">
            <v>Registry</v>
          </cell>
          <cell r="O1077">
            <v>15</v>
          </cell>
          <cell r="P1077">
            <v>0</v>
          </cell>
          <cell r="Q1077">
            <v>0</v>
          </cell>
          <cell r="R1077">
            <v>3917600</v>
          </cell>
          <cell r="S1077">
            <v>0</v>
          </cell>
          <cell r="T1077">
            <v>-10</v>
          </cell>
          <cell r="U1077">
            <v>0</v>
          </cell>
          <cell r="V1077">
            <v>0</v>
          </cell>
          <cell r="W1077" t="str">
            <v>Banoot Khan</v>
          </cell>
          <cell r="X1077" t="str">
            <v>Sardar Yasir Ilyas</v>
          </cell>
          <cell r="Y1077">
            <v>44629</v>
          </cell>
        </row>
        <row r="1078">
          <cell r="K1078">
            <v>3921</v>
          </cell>
          <cell r="L1078">
            <v>9668</v>
          </cell>
          <cell r="M1078" t="str">
            <v>Intiqal</v>
          </cell>
          <cell r="N1078" t="str">
            <v>Registry</v>
          </cell>
          <cell r="O1078">
            <v>6</v>
          </cell>
          <cell r="P1078">
            <v>16</v>
          </cell>
          <cell r="Q1078">
            <v>0</v>
          </cell>
          <cell r="R1078">
            <v>880600</v>
          </cell>
          <cell r="S1078">
            <v>0</v>
          </cell>
          <cell r="T1078">
            <v>4</v>
          </cell>
          <cell r="U1078">
            <v>-15</v>
          </cell>
          <cell r="V1078">
            <v>8</v>
          </cell>
          <cell r="W1078" t="str">
            <v>Raja basit Ali</v>
          </cell>
          <cell r="X1078" t="str">
            <v>Sardar Yasir Ilyas</v>
          </cell>
          <cell r="Y1078">
            <v>44707</v>
          </cell>
        </row>
        <row r="1079">
          <cell r="L1079">
            <v>9474</v>
          </cell>
          <cell r="M1079" t="str">
            <v>Not Available</v>
          </cell>
          <cell r="N1079" t="str">
            <v>Not Available</v>
          </cell>
          <cell r="O1079">
            <v>3</v>
          </cell>
          <cell r="P1079">
            <v>5</v>
          </cell>
          <cell r="Q1079">
            <v>8</v>
          </cell>
          <cell r="R1079">
            <v>640100</v>
          </cell>
          <cell r="S1079">
            <v>0</v>
          </cell>
          <cell r="T1079">
            <v>3</v>
          </cell>
          <cell r="U1079">
            <v>11</v>
          </cell>
          <cell r="V1079">
            <v>-8</v>
          </cell>
          <cell r="W1079" t="str">
            <v>Muhammad Pervaiz</v>
          </cell>
          <cell r="X1079" t="str">
            <v>Sardar Yasir Ilyas</v>
          </cell>
        </row>
        <row r="1080">
          <cell r="K1080">
            <v>5188</v>
          </cell>
          <cell r="L1080">
            <v>5579</v>
          </cell>
          <cell r="M1080" t="str">
            <v>Intiqal</v>
          </cell>
          <cell r="N1080" t="str">
            <v>Registry</v>
          </cell>
          <cell r="O1080">
            <v>1</v>
          </cell>
          <cell r="P1080">
            <v>4</v>
          </cell>
          <cell r="Q1080">
            <v>0</v>
          </cell>
          <cell r="R1080">
            <v>109100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 t="str">
            <v>Saajid Mehmood</v>
          </cell>
          <cell r="X1080" t="str">
            <v>Sardar Yasir Ilyas</v>
          </cell>
          <cell r="Y1080">
            <v>44614</v>
          </cell>
        </row>
        <row r="1081">
          <cell r="K1081">
            <v>593</v>
          </cell>
          <cell r="L1081">
            <v>10322</v>
          </cell>
          <cell r="M1081" t="str">
            <v>Intiqal</v>
          </cell>
          <cell r="N1081" t="str">
            <v>Registry</v>
          </cell>
          <cell r="O1081">
            <v>4</v>
          </cell>
          <cell r="P1081">
            <v>10</v>
          </cell>
          <cell r="Q1081">
            <v>0</v>
          </cell>
          <cell r="R1081">
            <v>678100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 t="str">
            <v>Iftikhar Ahmed</v>
          </cell>
          <cell r="X1081" t="str">
            <v>Sardar Yasir Ilyas</v>
          </cell>
          <cell r="Y1081">
            <v>44713</v>
          </cell>
        </row>
        <row r="1082">
          <cell r="K1082">
            <v>607</v>
          </cell>
          <cell r="L1082">
            <v>19327</v>
          </cell>
          <cell r="M1082" t="str">
            <v>Intiqal</v>
          </cell>
          <cell r="N1082" t="str">
            <v>Registry</v>
          </cell>
          <cell r="O1082">
            <v>0</v>
          </cell>
          <cell r="P1082">
            <v>5</v>
          </cell>
          <cell r="Q1082">
            <v>5.29</v>
          </cell>
          <cell r="R1082">
            <v>62350</v>
          </cell>
          <cell r="S1082">
            <v>0</v>
          </cell>
          <cell r="T1082">
            <v>5</v>
          </cell>
          <cell r="U1082">
            <v>-5</v>
          </cell>
          <cell r="V1082">
            <v>0</v>
          </cell>
          <cell r="W1082" t="str">
            <v>Samina Bibi</v>
          </cell>
          <cell r="X1082" t="str">
            <v>Sardar Yasir Ilyas</v>
          </cell>
          <cell r="Y1082">
            <v>44791</v>
          </cell>
        </row>
        <row r="1083">
          <cell r="K1083">
            <v>595</v>
          </cell>
          <cell r="L1083">
            <v>18226</v>
          </cell>
          <cell r="M1083" t="str">
            <v>Intiqal</v>
          </cell>
          <cell r="N1083" t="str">
            <v>Registry</v>
          </cell>
          <cell r="O1083">
            <v>4</v>
          </cell>
          <cell r="P1083">
            <v>15</v>
          </cell>
          <cell r="Q1083">
            <v>0</v>
          </cell>
          <cell r="R1083">
            <v>1053100</v>
          </cell>
          <cell r="S1083">
            <v>0</v>
          </cell>
          <cell r="T1083">
            <v>-4</v>
          </cell>
          <cell r="U1083">
            <v>-10</v>
          </cell>
          <cell r="V1083">
            <v>5.29</v>
          </cell>
          <cell r="W1083" t="str">
            <v>Nisar Hussain</v>
          </cell>
          <cell r="X1083" t="str">
            <v>Sardar Yasir Ilyas</v>
          </cell>
          <cell r="Y1083">
            <v>44776</v>
          </cell>
        </row>
        <row r="1084">
          <cell r="K1084">
            <v>4597</v>
          </cell>
          <cell r="L1084">
            <v>8171</v>
          </cell>
          <cell r="M1084" t="str">
            <v>Intiqal</v>
          </cell>
          <cell r="N1084" t="str">
            <v>Registry</v>
          </cell>
          <cell r="O1084">
            <v>0</v>
          </cell>
          <cell r="P1084">
            <v>5</v>
          </cell>
          <cell r="Q1084">
            <v>0</v>
          </cell>
          <cell r="R1084">
            <v>36100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 t="str">
            <v>Bibi Saima</v>
          </cell>
          <cell r="X1084" t="str">
            <v>Sardar Yasir Ilyas</v>
          </cell>
          <cell r="Y1084">
            <v>44693</v>
          </cell>
        </row>
        <row r="1085">
          <cell r="K1085">
            <v>5357</v>
          </cell>
          <cell r="L1085">
            <v>22648</v>
          </cell>
          <cell r="M1085" t="str">
            <v>Intiqal</v>
          </cell>
          <cell r="N1085" t="str">
            <v>Registry</v>
          </cell>
          <cell r="O1085">
            <v>0</v>
          </cell>
          <cell r="P1085">
            <v>4</v>
          </cell>
          <cell r="Q1085">
            <v>0</v>
          </cell>
          <cell r="R1085">
            <v>54600</v>
          </cell>
          <cell r="S1085">
            <v>0</v>
          </cell>
          <cell r="T1085">
            <v>1</v>
          </cell>
          <cell r="U1085">
            <v>-3</v>
          </cell>
          <cell r="V1085">
            <v>0</v>
          </cell>
          <cell r="W1085" t="str">
            <v>Amaan ullah</v>
          </cell>
          <cell r="X1085" t="str">
            <v>Sardar Yasir Ilyas</v>
          </cell>
          <cell r="Y1085">
            <v>44830</v>
          </cell>
        </row>
        <row r="1086">
          <cell r="K1086">
            <v>5358</v>
          </cell>
          <cell r="L1086">
            <v>22913</v>
          </cell>
          <cell r="M1086" t="str">
            <v>Intiqal</v>
          </cell>
          <cell r="N1086" t="str">
            <v>Registry</v>
          </cell>
          <cell r="O1086">
            <v>0</v>
          </cell>
          <cell r="P1086">
            <v>5</v>
          </cell>
          <cell r="Q1086">
            <v>0</v>
          </cell>
          <cell r="R1086">
            <v>63600</v>
          </cell>
          <cell r="S1086">
            <v>0</v>
          </cell>
          <cell r="T1086">
            <v>0</v>
          </cell>
          <cell r="U1086">
            <v>-1</v>
          </cell>
          <cell r="V1086">
            <v>0</v>
          </cell>
          <cell r="W1086" t="str">
            <v>Nisar Ahmed</v>
          </cell>
          <cell r="X1086" t="str">
            <v>Sardar Yasir Ilyas</v>
          </cell>
          <cell r="Y1086">
            <v>44832</v>
          </cell>
        </row>
        <row r="1087">
          <cell r="K1087">
            <v>5356</v>
          </cell>
          <cell r="L1087">
            <v>22761</v>
          </cell>
          <cell r="M1087" t="str">
            <v>Intiqal</v>
          </cell>
          <cell r="N1087" t="str">
            <v>Registry</v>
          </cell>
          <cell r="O1087">
            <v>0</v>
          </cell>
          <cell r="P1087">
            <v>12</v>
          </cell>
          <cell r="Q1087">
            <v>0</v>
          </cell>
          <cell r="R1087">
            <v>109100</v>
          </cell>
          <cell r="S1087">
            <v>0</v>
          </cell>
          <cell r="T1087">
            <v>0</v>
          </cell>
          <cell r="U1087">
            <v>-7</v>
          </cell>
          <cell r="V1087">
            <v>0</v>
          </cell>
          <cell r="W1087" t="str">
            <v>Waseem abbas</v>
          </cell>
          <cell r="X1087" t="str">
            <v>Sardar Yasir Ilyas</v>
          </cell>
          <cell r="Y1087">
            <v>44831</v>
          </cell>
        </row>
        <row r="1088">
          <cell r="K1088">
            <v>5158</v>
          </cell>
          <cell r="L1088">
            <v>3385</v>
          </cell>
          <cell r="M1088" t="str">
            <v>Intiqal</v>
          </cell>
          <cell r="N1088" t="str">
            <v>Registry</v>
          </cell>
          <cell r="O1088">
            <v>0</v>
          </cell>
          <cell r="P1088">
            <v>6</v>
          </cell>
          <cell r="Q1088">
            <v>0</v>
          </cell>
          <cell r="R1088">
            <v>4500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 t="str">
            <v>Falak Shabbir</v>
          </cell>
          <cell r="X1088" t="str">
            <v>Sardar Yasir Ilyas</v>
          </cell>
          <cell r="Y1088">
            <v>44639</v>
          </cell>
        </row>
        <row r="1089">
          <cell r="K1089">
            <v>4595</v>
          </cell>
          <cell r="L1089">
            <v>7886</v>
          </cell>
          <cell r="M1089" t="str">
            <v>Intiqal</v>
          </cell>
          <cell r="N1089" t="str">
            <v>Registry</v>
          </cell>
          <cell r="O1089">
            <v>0</v>
          </cell>
          <cell r="P1089">
            <v>4</v>
          </cell>
          <cell r="Q1089">
            <v>0</v>
          </cell>
          <cell r="R1089">
            <v>26500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 t="str">
            <v>Siraj ud din</v>
          </cell>
          <cell r="X1089" t="str">
            <v>Sardar Yasir Ilyas</v>
          </cell>
          <cell r="Y1089">
            <v>44691</v>
          </cell>
        </row>
        <row r="1090">
          <cell r="K1090">
            <v>3867</v>
          </cell>
          <cell r="L1090">
            <v>19267</v>
          </cell>
          <cell r="M1090" t="str">
            <v>Intiqal</v>
          </cell>
          <cell r="N1090" t="str">
            <v>Registry</v>
          </cell>
          <cell r="O1090">
            <v>3</v>
          </cell>
          <cell r="P1090">
            <v>5</v>
          </cell>
          <cell r="Q1090">
            <v>6.02</v>
          </cell>
          <cell r="R1090">
            <v>949000</v>
          </cell>
          <cell r="S1090">
            <v>0</v>
          </cell>
          <cell r="T1090">
            <v>42</v>
          </cell>
          <cell r="U1090">
            <v>12</v>
          </cell>
          <cell r="V1090">
            <v>2.54</v>
          </cell>
          <cell r="W1090" t="str">
            <v>Zetoon Bibi</v>
          </cell>
          <cell r="X1090" t="str">
            <v>Sardar Yasir Ilyas</v>
          </cell>
          <cell r="Y1090">
            <v>44791</v>
          </cell>
        </row>
        <row r="1091">
          <cell r="K1091">
            <v>3862</v>
          </cell>
          <cell r="L1091">
            <v>19928</v>
          </cell>
          <cell r="M1091" t="str">
            <v>Intiqal</v>
          </cell>
          <cell r="N1091" t="str">
            <v>Registry</v>
          </cell>
          <cell r="O1091">
            <v>2</v>
          </cell>
          <cell r="P1091">
            <v>14</v>
          </cell>
          <cell r="Q1091">
            <v>4.93</v>
          </cell>
          <cell r="R1091">
            <v>739000</v>
          </cell>
          <cell r="S1091">
            <v>0</v>
          </cell>
          <cell r="T1091">
            <v>1</v>
          </cell>
          <cell r="U1091">
            <v>-9</v>
          </cell>
          <cell r="V1091">
            <v>1.0900000000000001</v>
          </cell>
          <cell r="W1091" t="str">
            <v>Abdul Razzaq</v>
          </cell>
          <cell r="X1091" t="str">
            <v>Sardar Yasir Ilyas</v>
          </cell>
          <cell r="Y1091">
            <v>44798</v>
          </cell>
        </row>
        <row r="1092">
          <cell r="K1092">
            <v>3890</v>
          </cell>
          <cell r="L1092">
            <v>20985</v>
          </cell>
          <cell r="M1092" t="str">
            <v>Intiqal</v>
          </cell>
          <cell r="N1092" t="str">
            <v>Registry</v>
          </cell>
          <cell r="O1092">
            <v>8</v>
          </cell>
          <cell r="P1092">
            <v>17</v>
          </cell>
          <cell r="Q1092">
            <v>6.61</v>
          </cell>
          <cell r="R1092">
            <v>2450500</v>
          </cell>
          <cell r="S1092">
            <v>0</v>
          </cell>
          <cell r="T1092">
            <v>-6</v>
          </cell>
          <cell r="U1092">
            <v>-3</v>
          </cell>
          <cell r="V1092">
            <v>-1.69</v>
          </cell>
          <cell r="W1092" t="str">
            <v>Choudhary Majid Ahmed</v>
          </cell>
          <cell r="X1092" t="str">
            <v>Sardar Yasir Ilyas</v>
          </cell>
          <cell r="Y1092">
            <v>44811</v>
          </cell>
        </row>
        <row r="1093">
          <cell r="K1093">
            <v>3863</v>
          </cell>
          <cell r="L1093">
            <v>18060</v>
          </cell>
          <cell r="M1093" t="str">
            <v>Intiqal</v>
          </cell>
          <cell r="N1093" t="str">
            <v>Registry</v>
          </cell>
          <cell r="O1093">
            <v>13</v>
          </cell>
          <cell r="P1093">
            <v>0</v>
          </cell>
          <cell r="Q1093">
            <v>0</v>
          </cell>
          <cell r="R1093">
            <v>3871500</v>
          </cell>
          <cell r="S1093">
            <v>0</v>
          </cell>
          <cell r="T1093">
            <v>-5</v>
          </cell>
          <cell r="U1093">
            <v>17</v>
          </cell>
          <cell r="V1093">
            <v>6.61</v>
          </cell>
          <cell r="W1093" t="str">
            <v>Ghulam Abbas</v>
          </cell>
          <cell r="X1093" t="str">
            <v>Sardar Yasir Ilyas</v>
          </cell>
          <cell r="Y1093">
            <v>44775</v>
          </cell>
        </row>
        <row r="1094">
          <cell r="K1094">
            <v>3981</v>
          </cell>
          <cell r="L1094">
            <v>12569</v>
          </cell>
          <cell r="M1094" t="str">
            <v>Intiqal</v>
          </cell>
          <cell r="N1094" t="str">
            <v>Registry</v>
          </cell>
          <cell r="O1094">
            <v>10</v>
          </cell>
          <cell r="P1094">
            <v>0</v>
          </cell>
          <cell r="Q1094">
            <v>0</v>
          </cell>
          <cell r="R1094">
            <v>1440100</v>
          </cell>
          <cell r="S1094">
            <v>0</v>
          </cell>
          <cell r="T1094">
            <v>3</v>
          </cell>
          <cell r="U1094">
            <v>0</v>
          </cell>
          <cell r="V1094">
            <v>0</v>
          </cell>
          <cell r="W1094" t="str">
            <v>Ghulam Abbas</v>
          </cell>
          <cell r="X1094" t="str">
            <v>Sardar Yasir Ilyas</v>
          </cell>
          <cell r="Y1094">
            <v>44728</v>
          </cell>
        </row>
        <row r="1095">
          <cell r="K1095">
            <v>3810</v>
          </cell>
          <cell r="L1095">
            <v>7429</v>
          </cell>
          <cell r="M1095" t="str">
            <v>Intiqal</v>
          </cell>
          <cell r="N1095" t="str">
            <v>Registry</v>
          </cell>
          <cell r="O1095">
            <v>8</v>
          </cell>
          <cell r="P1095">
            <v>0</v>
          </cell>
          <cell r="Q1095">
            <v>0</v>
          </cell>
          <cell r="R1095">
            <v>1776100</v>
          </cell>
          <cell r="S1095">
            <v>0</v>
          </cell>
          <cell r="T1095">
            <v>2</v>
          </cell>
          <cell r="U1095">
            <v>0</v>
          </cell>
          <cell r="V1095">
            <v>0</v>
          </cell>
          <cell r="W1095" t="str">
            <v>Ghulam Abbas</v>
          </cell>
          <cell r="X1095" t="str">
            <v>Sardar Yasir Ilyas</v>
          </cell>
          <cell r="Y1095">
            <v>44678</v>
          </cell>
        </row>
        <row r="1096">
          <cell r="K1096">
            <v>3861</v>
          </cell>
          <cell r="L1096">
            <v>18061</v>
          </cell>
          <cell r="M1096" t="str">
            <v>Intiqal</v>
          </cell>
          <cell r="N1096" t="str">
            <v>Registry</v>
          </cell>
          <cell r="O1096">
            <v>1</v>
          </cell>
          <cell r="P1096">
            <v>3</v>
          </cell>
          <cell r="Q1096">
            <v>0</v>
          </cell>
          <cell r="R1096">
            <v>1054000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 t="str">
            <v>Malik Zubair Awan</v>
          </cell>
          <cell r="X1096" t="str">
            <v>Sardar Yasir Ilyas</v>
          </cell>
          <cell r="Y1096">
            <v>44775</v>
          </cell>
        </row>
        <row r="1097">
          <cell r="K1097" t="str">
            <v>4486/4487</v>
          </cell>
          <cell r="L1097">
            <v>9994</v>
          </cell>
          <cell r="M1097" t="str">
            <v>Intiqal</v>
          </cell>
          <cell r="N1097" t="str">
            <v>Registry</v>
          </cell>
          <cell r="O1097">
            <v>0</v>
          </cell>
          <cell r="P1097">
            <v>8</v>
          </cell>
          <cell r="Q1097">
            <v>2.5099999999999998</v>
          </cell>
          <cell r="R1097">
            <v>34400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 t="str">
            <v>Kamran Haliq</v>
          </cell>
          <cell r="X1097" t="str">
            <v>Sardar Yasir Ilyas</v>
          </cell>
          <cell r="Y1097">
            <v>44711</v>
          </cell>
        </row>
        <row r="1098">
          <cell r="K1098">
            <v>5263</v>
          </cell>
          <cell r="L1098">
            <v>10770</v>
          </cell>
          <cell r="M1098" t="str">
            <v>Intiqal</v>
          </cell>
          <cell r="N1098" t="str">
            <v>Registry</v>
          </cell>
          <cell r="O1098">
            <v>0</v>
          </cell>
          <cell r="P1098">
            <v>5</v>
          </cell>
          <cell r="Q1098">
            <v>0</v>
          </cell>
          <cell r="R1098">
            <v>30600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 t="str">
            <v>Muham Baz</v>
          </cell>
          <cell r="X1098" t="str">
            <v>Sardar Yasir Ilyas</v>
          </cell>
          <cell r="Y1098">
            <v>44716</v>
          </cell>
        </row>
        <row r="1099">
          <cell r="K1099">
            <v>5491</v>
          </cell>
          <cell r="L1099">
            <v>11586</v>
          </cell>
          <cell r="M1099" t="str">
            <v>Intiqal</v>
          </cell>
          <cell r="N1099" t="str">
            <v>Registry</v>
          </cell>
          <cell r="O1099">
            <v>16</v>
          </cell>
          <cell r="P1099">
            <v>16</v>
          </cell>
          <cell r="Q1099">
            <v>0</v>
          </cell>
          <cell r="R1099">
            <v>2354100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 t="str">
            <v>Rukhsana</v>
          </cell>
          <cell r="X1099" t="str">
            <v>Sardar Yasir Ilyas</v>
          </cell>
          <cell r="Y1099">
            <v>44721</v>
          </cell>
        </row>
        <row r="1100">
          <cell r="K1100">
            <v>5300</v>
          </cell>
          <cell r="L1100">
            <v>16461</v>
          </cell>
          <cell r="M1100" t="str">
            <v>Intiqal</v>
          </cell>
          <cell r="N1100" t="str">
            <v>Registry</v>
          </cell>
          <cell r="O1100">
            <v>1</v>
          </cell>
          <cell r="P1100">
            <v>13</v>
          </cell>
          <cell r="Q1100">
            <v>0</v>
          </cell>
          <cell r="R1100">
            <v>1153100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 t="str">
            <v>Muhammad Ashfaq</v>
          </cell>
          <cell r="X1100" t="str">
            <v>Sardar Yasir Ilyas</v>
          </cell>
          <cell r="Y1100">
            <v>44748</v>
          </cell>
        </row>
        <row r="1101">
          <cell r="M1101" t="str">
            <v>Not Available</v>
          </cell>
          <cell r="N1101" t="str">
            <v>Not Available</v>
          </cell>
          <cell r="O1101">
            <v>1</v>
          </cell>
          <cell r="P1101">
            <v>3</v>
          </cell>
          <cell r="Q1101">
            <v>4</v>
          </cell>
          <cell r="R1101">
            <v>187600</v>
          </cell>
          <cell r="S1101">
            <v>0</v>
          </cell>
          <cell r="T1101">
            <v>7</v>
          </cell>
          <cell r="U1101">
            <v>6</v>
          </cell>
          <cell r="V1101">
            <v>-4</v>
          </cell>
          <cell r="W1101" t="str">
            <v>Hammad Nusrat</v>
          </cell>
          <cell r="X1101" t="str">
            <v>Sardar Yasir Ilyas</v>
          </cell>
        </row>
        <row r="1102">
          <cell r="K1102">
            <v>620</v>
          </cell>
          <cell r="L1102">
            <v>19739</v>
          </cell>
          <cell r="M1102" t="str">
            <v>Intiqal</v>
          </cell>
          <cell r="N1102" t="str">
            <v>Registry</v>
          </cell>
          <cell r="O1102">
            <v>0</v>
          </cell>
          <cell r="P1102">
            <v>8</v>
          </cell>
          <cell r="Q1102">
            <v>0</v>
          </cell>
          <cell r="R1102">
            <v>37100</v>
          </cell>
          <cell r="S1102">
            <v>0</v>
          </cell>
          <cell r="T1102">
            <v>1</v>
          </cell>
          <cell r="U1102">
            <v>-5</v>
          </cell>
          <cell r="V1102">
            <v>4</v>
          </cell>
          <cell r="W1102" t="str">
            <v>Sher Afzal Khan</v>
          </cell>
          <cell r="X1102" t="str">
            <v>Sardar Yasir Ilyas</v>
          </cell>
          <cell r="Y1102">
            <v>44796</v>
          </cell>
        </row>
        <row r="1103">
          <cell r="K1103">
            <v>584</v>
          </cell>
          <cell r="L1103">
            <v>18766</v>
          </cell>
          <cell r="M1103" t="str">
            <v>Intiqal</v>
          </cell>
          <cell r="N1103" t="str">
            <v>Registry</v>
          </cell>
          <cell r="O1103">
            <v>0</v>
          </cell>
          <cell r="P1103">
            <v>5</v>
          </cell>
          <cell r="Q1103">
            <v>2</v>
          </cell>
          <cell r="R1103">
            <v>55500</v>
          </cell>
          <cell r="S1103">
            <v>0</v>
          </cell>
          <cell r="T1103">
            <v>0</v>
          </cell>
          <cell r="U1103">
            <v>3</v>
          </cell>
          <cell r="V1103">
            <v>-2</v>
          </cell>
          <cell r="W1103" t="str">
            <v>Nasir Mehmood</v>
          </cell>
          <cell r="X1103" t="str">
            <v>Sardar Yasir Ilyas</v>
          </cell>
          <cell r="Y1103">
            <v>44785</v>
          </cell>
        </row>
        <row r="1104">
          <cell r="K1104">
            <v>583</v>
          </cell>
          <cell r="L1104">
            <v>18673</v>
          </cell>
          <cell r="M1104" t="str">
            <v>Intiqal</v>
          </cell>
          <cell r="N1104" t="str">
            <v>Registry</v>
          </cell>
          <cell r="O1104">
            <v>3</v>
          </cell>
          <cell r="P1104">
            <v>16</v>
          </cell>
          <cell r="Q1104">
            <v>0</v>
          </cell>
          <cell r="R1104">
            <v>601600</v>
          </cell>
          <cell r="S1104">
            <v>0</v>
          </cell>
          <cell r="T1104">
            <v>-3</v>
          </cell>
          <cell r="U1104">
            <v>-11</v>
          </cell>
          <cell r="V1104">
            <v>2</v>
          </cell>
          <cell r="W1104" t="str">
            <v>Gulnaz Shaheen</v>
          </cell>
          <cell r="X1104" t="str">
            <v>Sardar Yasir Ilyas</v>
          </cell>
          <cell r="Y1104">
            <v>44784</v>
          </cell>
        </row>
        <row r="1105">
          <cell r="K1105">
            <v>619</v>
          </cell>
          <cell r="L1105">
            <v>17147</v>
          </cell>
          <cell r="M1105" t="str">
            <v>Intiqal</v>
          </cell>
          <cell r="N1105" t="str">
            <v>Registry</v>
          </cell>
          <cell r="O1105">
            <v>1</v>
          </cell>
          <cell r="P1105">
            <v>0</v>
          </cell>
          <cell r="Q1105">
            <v>0</v>
          </cell>
          <cell r="R1105">
            <v>219100</v>
          </cell>
          <cell r="S1105">
            <v>0</v>
          </cell>
          <cell r="T1105">
            <v>2</v>
          </cell>
          <cell r="U1105">
            <v>16</v>
          </cell>
          <cell r="V1105">
            <v>0</v>
          </cell>
          <cell r="W1105" t="str">
            <v>Khalid Mehmood</v>
          </cell>
          <cell r="X1105" t="str">
            <v>Sardar Yasir Ilyas</v>
          </cell>
          <cell r="Y1105">
            <v>44763</v>
          </cell>
        </row>
        <row r="1106">
          <cell r="K1106">
            <v>577</v>
          </cell>
          <cell r="L1106">
            <v>18765</v>
          </cell>
          <cell r="M1106" t="str">
            <v>Intiqal</v>
          </cell>
          <cell r="N1106" t="str">
            <v>Registry</v>
          </cell>
          <cell r="O1106">
            <v>1</v>
          </cell>
          <cell r="P1106">
            <v>16</v>
          </cell>
          <cell r="Q1106">
            <v>3</v>
          </cell>
          <cell r="R1106">
            <v>262100</v>
          </cell>
          <cell r="S1106">
            <v>0</v>
          </cell>
          <cell r="T1106">
            <v>0</v>
          </cell>
          <cell r="U1106">
            <v>-16</v>
          </cell>
          <cell r="V1106">
            <v>-3</v>
          </cell>
          <cell r="W1106" t="str">
            <v>Nasir Mehmood</v>
          </cell>
          <cell r="X1106" t="str">
            <v>Sardar Yasir Ilyas</v>
          </cell>
          <cell r="Y1106">
            <v>44785</v>
          </cell>
        </row>
        <row r="1107">
          <cell r="K1107" t="str">
            <v>119/120</v>
          </cell>
          <cell r="L1107">
            <v>19940</v>
          </cell>
          <cell r="M1107" t="str">
            <v>Intiqal</v>
          </cell>
          <cell r="N1107" t="str">
            <v>Registry</v>
          </cell>
          <cell r="O1107">
            <v>4</v>
          </cell>
          <cell r="P1107">
            <v>0</v>
          </cell>
          <cell r="Q1107">
            <v>0</v>
          </cell>
          <cell r="R1107">
            <v>1368100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 t="str">
            <v>Saleem</v>
          </cell>
          <cell r="X1107" t="str">
            <v>Sardar Yasir Ilyas</v>
          </cell>
          <cell r="Y1107">
            <v>44798</v>
          </cell>
        </row>
        <row r="1108">
          <cell r="K1108">
            <v>4451</v>
          </cell>
          <cell r="L1108">
            <v>20268</v>
          </cell>
          <cell r="M1108" t="str">
            <v>Intiqal</v>
          </cell>
          <cell r="N1108" t="str">
            <v>Registry</v>
          </cell>
          <cell r="O1108">
            <v>12</v>
          </cell>
          <cell r="P1108">
            <v>7</v>
          </cell>
          <cell r="Q1108">
            <v>3</v>
          </cell>
          <cell r="R1108">
            <v>3898600</v>
          </cell>
          <cell r="S1108">
            <v>3000000</v>
          </cell>
          <cell r="T1108">
            <v>3</v>
          </cell>
          <cell r="U1108">
            <v>0</v>
          </cell>
          <cell r="V1108">
            <v>0</v>
          </cell>
          <cell r="W1108" t="str">
            <v>Karim Jan</v>
          </cell>
          <cell r="X1108" t="str">
            <v>Sardar Yasir Ilyas</v>
          </cell>
          <cell r="Y1108">
            <v>44802</v>
          </cell>
        </row>
        <row r="1109">
          <cell r="K1109">
            <v>4454</v>
          </cell>
          <cell r="L1109">
            <v>20267</v>
          </cell>
          <cell r="M1109" t="str">
            <v>Intiqal</v>
          </cell>
          <cell r="N1109" t="str">
            <v>Registry</v>
          </cell>
          <cell r="O1109">
            <v>3</v>
          </cell>
          <cell r="P1109">
            <v>0</v>
          </cell>
          <cell r="Q1109">
            <v>0</v>
          </cell>
          <cell r="R1109">
            <v>2948000</v>
          </cell>
          <cell r="S1109">
            <v>0</v>
          </cell>
          <cell r="T1109">
            <v>9</v>
          </cell>
          <cell r="U1109">
            <v>7</v>
          </cell>
          <cell r="V1109">
            <v>3</v>
          </cell>
          <cell r="W1109" t="str">
            <v>Karim Jan</v>
          </cell>
          <cell r="X1109" t="str">
            <v>Sardar Yasir Ilyas</v>
          </cell>
          <cell r="Y1109">
            <v>44802</v>
          </cell>
        </row>
        <row r="1110">
          <cell r="K1110" t="str">
            <v>Pending Attorney issue- Shabbir awan</v>
          </cell>
          <cell r="M1110" t="str">
            <v>Not Available</v>
          </cell>
          <cell r="N1110" t="str">
            <v>Not Available</v>
          </cell>
          <cell r="O1110">
            <v>1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29</v>
          </cell>
          <cell r="U1110">
            <v>10</v>
          </cell>
          <cell r="V1110">
            <v>1</v>
          </cell>
        </row>
        <row r="1111">
          <cell r="K1111">
            <v>4460</v>
          </cell>
          <cell r="L1111">
            <v>21886</v>
          </cell>
          <cell r="M1111" t="str">
            <v>Intiqal</v>
          </cell>
          <cell r="N1111" t="str">
            <v>Registry</v>
          </cell>
          <cell r="O1111">
            <v>1</v>
          </cell>
          <cell r="P1111">
            <v>17</v>
          </cell>
          <cell r="Q1111">
            <v>0</v>
          </cell>
          <cell r="R1111">
            <v>601600</v>
          </cell>
          <cell r="S1111">
            <v>0</v>
          </cell>
          <cell r="T1111">
            <v>0</v>
          </cell>
          <cell r="U1111">
            <v>-17</v>
          </cell>
          <cell r="V1111">
            <v>0</v>
          </cell>
          <cell r="W1111" t="str">
            <v>Malik Danish Mehmood</v>
          </cell>
          <cell r="X1111" t="str">
            <v>Sardar Yasir Ilyas</v>
          </cell>
          <cell r="Y1111">
            <v>44820</v>
          </cell>
        </row>
        <row r="1112">
          <cell r="K1112">
            <v>4458</v>
          </cell>
          <cell r="L1112">
            <v>21887</v>
          </cell>
          <cell r="M1112" t="str">
            <v>Intiqal</v>
          </cell>
          <cell r="N1112" t="str">
            <v>Registry</v>
          </cell>
          <cell r="O1112">
            <v>3</v>
          </cell>
          <cell r="P1112">
            <v>16</v>
          </cell>
          <cell r="Q1112">
            <v>0</v>
          </cell>
          <cell r="R1112">
            <v>1158100</v>
          </cell>
          <cell r="S1112">
            <v>0</v>
          </cell>
          <cell r="T1112">
            <v>-2</v>
          </cell>
          <cell r="U1112">
            <v>1</v>
          </cell>
          <cell r="V1112">
            <v>0</v>
          </cell>
          <cell r="W1112" t="str">
            <v>Safila Kausar</v>
          </cell>
          <cell r="X1112" t="str">
            <v>Sardar Yasir Ilyas</v>
          </cell>
          <cell r="Y1112">
            <v>44820</v>
          </cell>
        </row>
        <row r="1113">
          <cell r="K1113">
            <v>4450</v>
          </cell>
          <cell r="L1113">
            <v>21888</v>
          </cell>
          <cell r="M1113" t="str">
            <v>Intiqal</v>
          </cell>
          <cell r="N1113" t="str">
            <v>Registry</v>
          </cell>
          <cell r="O1113">
            <v>19</v>
          </cell>
          <cell r="P1113">
            <v>17</v>
          </cell>
          <cell r="Q1113">
            <v>1</v>
          </cell>
          <cell r="R1113">
            <v>9263180</v>
          </cell>
          <cell r="S1113">
            <v>6200000</v>
          </cell>
          <cell r="T1113">
            <v>-16</v>
          </cell>
          <cell r="U1113">
            <v>-1</v>
          </cell>
          <cell r="V1113">
            <v>-1</v>
          </cell>
          <cell r="W1113" t="str">
            <v>Muhammad Shabbir Awan</v>
          </cell>
          <cell r="X1113" t="str">
            <v>Sardar Yasir Ilyas</v>
          </cell>
          <cell r="Y1113">
            <v>44820</v>
          </cell>
        </row>
        <row r="1114">
          <cell r="K1114">
            <v>4453</v>
          </cell>
          <cell r="L1114">
            <v>21899</v>
          </cell>
          <cell r="M1114" t="str">
            <v>Intiqal</v>
          </cell>
          <cell r="N1114" t="str">
            <v>Registry</v>
          </cell>
          <cell r="O1114">
            <v>4</v>
          </cell>
          <cell r="P1114">
            <v>0</v>
          </cell>
          <cell r="Q1114">
            <v>0</v>
          </cell>
          <cell r="R1114">
            <v>1683100</v>
          </cell>
          <cell r="S1114">
            <v>0</v>
          </cell>
          <cell r="T1114">
            <v>15</v>
          </cell>
          <cell r="U1114">
            <v>17</v>
          </cell>
          <cell r="V1114">
            <v>1</v>
          </cell>
          <cell r="W1114" t="str">
            <v>Muhammad Shabbir Awan</v>
          </cell>
          <cell r="X1114" t="str">
            <v>Sardar Yasir Ilyas</v>
          </cell>
          <cell r="Y1114">
            <v>44820</v>
          </cell>
        </row>
        <row r="1115">
          <cell r="K1115">
            <v>4479</v>
          </cell>
          <cell r="L1115">
            <v>30044</v>
          </cell>
          <cell r="M1115" t="str">
            <v>Intiqal</v>
          </cell>
          <cell r="N1115" t="str">
            <v>Registry</v>
          </cell>
          <cell r="O1115">
            <v>0</v>
          </cell>
          <cell r="P1115">
            <v>2</v>
          </cell>
          <cell r="Q1115">
            <v>7.08</v>
          </cell>
          <cell r="R1115">
            <v>34600</v>
          </cell>
          <cell r="S1115">
            <v>0</v>
          </cell>
          <cell r="T1115">
            <v>4</v>
          </cell>
          <cell r="U1115">
            <v>11</v>
          </cell>
          <cell r="V1115">
            <v>0.57999999999999996</v>
          </cell>
          <cell r="W1115" t="str">
            <v>Aqeela Ateeq</v>
          </cell>
          <cell r="X1115" t="str">
            <v>Sardar Yasir Ilyas</v>
          </cell>
          <cell r="Y1115">
            <v>44908</v>
          </cell>
        </row>
        <row r="1116">
          <cell r="K1116">
            <v>4476</v>
          </cell>
          <cell r="L1116">
            <v>30043</v>
          </cell>
          <cell r="M1116" t="str">
            <v>Intiqal</v>
          </cell>
          <cell r="N1116" t="str">
            <v>Registry</v>
          </cell>
          <cell r="O1116">
            <v>0</v>
          </cell>
          <cell r="P1116">
            <v>9</v>
          </cell>
          <cell r="Q1116">
            <v>6.5</v>
          </cell>
          <cell r="R1116">
            <v>79100</v>
          </cell>
          <cell r="S1116">
            <v>0</v>
          </cell>
          <cell r="T1116">
            <v>0</v>
          </cell>
          <cell r="U1116">
            <v>-7</v>
          </cell>
          <cell r="V1116">
            <v>0.57999999999999996</v>
          </cell>
          <cell r="W1116" t="str">
            <v>Haseena Bibi</v>
          </cell>
          <cell r="X1116" t="str">
            <v>Sardar Yasir Ilyas</v>
          </cell>
          <cell r="Y1116">
            <v>44908</v>
          </cell>
        </row>
        <row r="1117">
          <cell r="K1117">
            <v>4465</v>
          </cell>
          <cell r="L1117">
            <v>27114</v>
          </cell>
          <cell r="M1117" t="str">
            <v>Intiqal</v>
          </cell>
          <cell r="N1117" t="str">
            <v>Registry</v>
          </cell>
          <cell r="O1117">
            <v>0</v>
          </cell>
          <cell r="P1117">
            <v>17</v>
          </cell>
          <cell r="Q1117">
            <v>0</v>
          </cell>
          <cell r="R1117">
            <v>155100</v>
          </cell>
          <cell r="S1117">
            <v>0</v>
          </cell>
          <cell r="T1117">
            <v>0</v>
          </cell>
          <cell r="U1117">
            <v>-8</v>
          </cell>
          <cell r="V1117">
            <v>6.5</v>
          </cell>
          <cell r="W1117" t="str">
            <v>Akhash Hussain</v>
          </cell>
          <cell r="X1117" t="str">
            <v>Sardar Yasir Ilyas</v>
          </cell>
          <cell r="Y1117">
            <v>44876</v>
          </cell>
        </row>
        <row r="1118">
          <cell r="K1118">
            <v>4585</v>
          </cell>
          <cell r="L1118">
            <v>27113</v>
          </cell>
          <cell r="M1118" t="str">
            <v>Intiqal</v>
          </cell>
          <cell r="N1118" t="str">
            <v>Registry</v>
          </cell>
          <cell r="O1118">
            <v>0</v>
          </cell>
          <cell r="P1118">
            <v>3</v>
          </cell>
          <cell r="Q1118">
            <v>0</v>
          </cell>
          <cell r="R1118">
            <v>34600</v>
          </cell>
          <cell r="S1118">
            <v>0</v>
          </cell>
          <cell r="T1118">
            <v>0</v>
          </cell>
          <cell r="U1118">
            <v>14</v>
          </cell>
          <cell r="V1118">
            <v>0</v>
          </cell>
          <cell r="W1118" t="str">
            <v>Akhash Hussain</v>
          </cell>
          <cell r="X1118" t="str">
            <v>Sardar Yasir Ilyas</v>
          </cell>
          <cell r="Y1118">
            <v>44876</v>
          </cell>
        </row>
        <row r="1119">
          <cell r="K1119">
            <v>4467</v>
          </cell>
          <cell r="L1119">
            <v>27115</v>
          </cell>
          <cell r="M1119" t="str">
            <v>Intiqal</v>
          </cell>
          <cell r="N1119" t="str">
            <v>Registry</v>
          </cell>
          <cell r="O1119">
            <v>0</v>
          </cell>
          <cell r="P1119">
            <v>1</v>
          </cell>
          <cell r="Q1119">
            <v>6.06</v>
          </cell>
          <cell r="R1119">
            <v>30600</v>
          </cell>
          <cell r="S1119">
            <v>0</v>
          </cell>
          <cell r="T1119">
            <v>0</v>
          </cell>
          <cell r="U1119">
            <v>2</v>
          </cell>
          <cell r="V1119">
            <v>-6.06</v>
          </cell>
          <cell r="W1119" t="str">
            <v>Chaudhary Zeeshan Ali</v>
          </cell>
          <cell r="X1119" t="str">
            <v>Sardar Yasir Ilyas</v>
          </cell>
          <cell r="Y1119">
            <v>44876</v>
          </cell>
        </row>
        <row r="1120">
          <cell r="K1120">
            <v>4484</v>
          </cell>
          <cell r="L1120">
            <v>21627</v>
          </cell>
          <cell r="M1120" t="str">
            <v>Intiqal</v>
          </cell>
          <cell r="N1120" t="str">
            <v>Registry</v>
          </cell>
          <cell r="O1120">
            <v>1</v>
          </cell>
          <cell r="P1120">
            <v>5</v>
          </cell>
          <cell r="Q1120">
            <v>4</v>
          </cell>
          <cell r="R1120">
            <v>172100</v>
          </cell>
          <cell r="S1120">
            <v>0</v>
          </cell>
          <cell r="T1120">
            <v>-1</v>
          </cell>
          <cell r="U1120">
            <v>-4</v>
          </cell>
          <cell r="V1120">
            <v>2.06</v>
          </cell>
          <cell r="W1120" t="str">
            <v>Muhammad Haroon Arshad</v>
          </cell>
          <cell r="X1120" t="str">
            <v>Sardar Yasir Ilyas</v>
          </cell>
          <cell r="Y1120">
            <v>44818</v>
          </cell>
        </row>
        <row r="1121">
          <cell r="K1121">
            <v>4481</v>
          </cell>
          <cell r="L1121">
            <v>21629</v>
          </cell>
          <cell r="M1121" t="str">
            <v>Intiqal</v>
          </cell>
          <cell r="N1121" t="str">
            <v>Registry</v>
          </cell>
          <cell r="O1121">
            <v>0</v>
          </cell>
          <cell r="P1121">
            <v>17</v>
          </cell>
          <cell r="Q1121">
            <v>1</v>
          </cell>
          <cell r="R1121">
            <v>121700</v>
          </cell>
          <cell r="S1121">
            <v>0</v>
          </cell>
          <cell r="T1121">
            <v>1</v>
          </cell>
          <cell r="U1121">
            <v>-12</v>
          </cell>
          <cell r="V1121">
            <v>3</v>
          </cell>
          <cell r="W1121" t="str">
            <v>Qazi Iftikhar Hussain Qureshi</v>
          </cell>
          <cell r="X1121" t="str">
            <v>Sardar Yasir Ilyas</v>
          </cell>
          <cell r="Y1121">
            <v>44818</v>
          </cell>
        </row>
        <row r="1122">
          <cell r="K1122">
            <v>4483</v>
          </cell>
          <cell r="L1122">
            <v>21630</v>
          </cell>
          <cell r="M1122" t="str">
            <v>Intiqal</v>
          </cell>
          <cell r="N1122" t="str">
            <v>Registry</v>
          </cell>
          <cell r="O1122">
            <v>0</v>
          </cell>
          <cell r="P1122">
            <v>0</v>
          </cell>
          <cell r="Q1122">
            <v>3</v>
          </cell>
          <cell r="R1122">
            <v>20850</v>
          </cell>
          <cell r="S1122">
            <v>0</v>
          </cell>
          <cell r="T1122">
            <v>0</v>
          </cell>
          <cell r="U1122">
            <v>17</v>
          </cell>
          <cell r="V1122">
            <v>-2</v>
          </cell>
          <cell r="W1122" t="str">
            <v>Qamar Un Nisa</v>
          </cell>
          <cell r="X1122" t="str">
            <v>Sardar Yasir Ilyas</v>
          </cell>
          <cell r="Y1122">
            <v>44818</v>
          </cell>
        </row>
        <row r="1123">
          <cell r="K1123">
            <v>4474</v>
          </cell>
          <cell r="L1123">
            <v>21628</v>
          </cell>
          <cell r="M1123" t="str">
            <v>Intiqal</v>
          </cell>
          <cell r="N1123" t="str">
            <v>Registry</v>
          </cell>
          <cell r="O1123">
            <v>0</v>
          </cell>
          <cell r="P1123">
            <v>2</v>
          </cell>
          <cell r="Q1123">
            <v>0</v>
          </cell>
          <cell r="R1123">
            <v>32100</v>
          </cell>
          <cell r="S1123">
            <v>0</v>
          </cell>
          <cell r="T1123">
            <v>0</v>
          </cell>
          <cell r="U1123">
            <v>-2</v>
          </cell>
          <cell r="V1123">
            <v>3</v>
          </cell>
          <cell r="W1123" t="str">
            <v>Muhammad Haroon Arshad</v>
          </cell>
          <cell r="X1123" t="str">
            <v>Sardar Yasir Ilyas</v>
          </cell>
          <cell r="Y1123">
            <v>44818</v>
          </cell>
        </row>
        <row r="1124">
          <cell r="K1124">
            <v>4462</v>
          </cell>
          <cell r="L1124">
            <v>20409</v>
          </cell>
          <cell r="M1124" t="str">
            <v>Intiqal</v>
          </cell>
          <cell r="N1124" t="str">
            <v>Registry</v>
          </cell>
          <cell r="O1124">
            <v>0</v>
          </cell>
          <cell r="P1124">
            <v>9</v>
          </cell>
          <cell r="Q1124">
            <v>7</v>
          </cell>
          <cell r="R1124">
            <v>0</v>
          </cell>
          <cell r="S1124">
            <v>0</v>
          </cell>
          <cell r="T1124">
            <v>0</v>
          </cell>
          <cell r="U1124">
            <v>-7</v>
          </cell>
          <cell r="V1124">
            <v>-7</v>
          </cell>
          <cell r="W1124" t="str">
            <v>Rehmat Khan</v>
          </cell>
          <cell r="X1124" t="str">
            <v>Sardar Yasir Ilyas</v>
          </cell>
          <cell r="Y1124">
            <v>44804</v>
          </cell>
        </row>
        <row r="1125">
          <cell r="K1125">
            <v>4469</v>
          </cell>
          <cell r="L1125">
            <v>20433</v>
          </cell>
          <cell r="M1125" t="str">
            <v>Intiqal</v>
          </cell>
          <cell r="N1125" t="str">
            <v>Registry</v>
          </cell>
          <cell r="O1125">
            <v>0</v>
          </cell>
          <cell r="P1125">
            <v>5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4</v>
          </cell>
          <cell r="V1125">
            <v>7</v>
          </cell>
          <cell r="W1125" t="str">
            <v>Muhammad Zain Noor</v>
          </cell>
          <cell r="X1125" t="str">
            <v>Sardar Yasir Ilyas</v>
          </cell>
          <cell r="Y1125">
            <v>44804</v>
          </cell>
        </row>
        <row r="1126">
          <cell r="K1126" t="str">
            <v>Can't Transfer (treat as adv to Qaiser)</v>
          </cell>
          <cell r="M1126" t="str">
            <v>Not Available</v>
          </cell>
          <cell r="N1126" t="str">
            <v>Not Available</v>
          </cell>
          <cell r="O1126">
            <v>0</v>
          </cell>
          <cell r="P1126">
            <v>2</v>
          </cell>
          <cell r="Q1126">
            <v>3</v>
          </cell>
          <cell r="R1126">
            <v>0</v>
          </cell>
          <cell r="S1126">
            <v>0</v>
          </cell>
          <cell r="T1126">
            <v>5</v>
          </cell>
          <cell r="U1126">
            <v>17</v>
          </cell>
          <cell r="V1126">
            <v>-1</v>
          </cell>
        </row>
        <row r="1127">
          <cell r="L1127">
            <v>329</v>
          </cell>
          <cell r="M1127" t="str">
            <v>Not Available</v>
          </cell>
          <cell r="N1127" t="str">
            <v>Not Available</v>
          </cell>
          <cell r="O1127">
            <v>0</v>
          </cell>
          <cell r="P1127">
            <v>6</v>
          </cell>
          <cell r="Q1127">
            <v>0</v>
          </cell>
          <cell r="R1127">
            <v>58600</v>
          </cell>
          <cell r="S1127">
            <v>0</v>
          </cell>
          <cell r="T1127">
            <v>0</v>
          </cell>
          <cell r="U1127">
            <v>-4</v>
          </cell>
          <cell r="V1127">
            <v>3</v>
          </cell>
          <cell r="W1127" t="str">
            <v>Irshad Beghum</v>
          </cell>
          <cell r="X1127" t="str">
            <v>Sardar Yasir Ilyas</v>
          </cell>
        </row>
        <row r="1128">
          <cell r="K1128">
            <v>598</v>
          </cell>
          <cell r="L1128">
            <v>27776</v>
          </cell>
          <cell r="M1128" t="str">
            <v>Intiqal</v>
          </cell>
          <cell r="N1128" t="str">
            <v>Registry</v>
          </cell>
          <cell r="O1128">
            <v>1</v>
          </cell>
          <cell r="P1128">
            <v>0</v>
          </cell>
          <cell r="Q1128">
            <v>0</v>
          </cell>
          <cell r="R1128">
            <v>139100</v>
          </cell>
          <cell r="S1128">
            <v>0</v>
          </cell>
          <cell r="T1128">
            <v>-1</v>
          </cell>
          <cell r="U1128">
            <v>6</v>
          </cell>
          <cell r="V1128">
            <v>0</v>
          </cell>
          <cell r="W1128" t="str">
            <v>Muhammad Khushnood</v>
          </cell>
          <cell r="X1128" t="str">
            <v>Sardar Yasir Ilyas</v>
          </cell>
          <cell r="Y1128">
            <v>44883</v>
          </cell>
        </row>
        <row r="1129">
          <cell r="K1129">
            <v>591</v>
          </cell>
          <cell r="L1129">
            <v>25947</v>
          </cell>
          <cell r="M1129" t="str">
            <v>Intiqal</v>
          </cell>
          <cell r="N1129" t="str">
            <v>Registry</v>
          </cell>
          <cell r="O1129">
            <v>1</v>
          </cell>
          <cell r="P1129">
            <v>18</v>
          </cell>
          <cell r="Q1129">
            <v>3</v>
          </cell>
          <cell r="R1129">
            <v>251100</v>
          </cell>
          <cell r="S1129">
            <v>0</v>
          </cell>
          <cell r="T1129">
            <v>0</v>
          </cell>
          <cell r="U1129">
            <v>-18</v>
          </cell>
          <cell r="V1129">
            <v>-3</v>
          </cell>
          <cell r="W1129" t="str">
            <v>Yasir Mehmood</v>
          </cell>
          <cell r="X1129" t="str">
            <v>Sardar Yasir Ilyas</v>
          </cell>
          <cell r="Y1129">
            <v>44863</v>
          </cell>
        </row>
        <row r="1130">
          <cell r="K1130">
            <v>624</v>
          </cell>
          <cell r="L1130">
            <v>26142</v>
          </cell>
          <cell r="M1130" t="str">
            <v>Intiqal</v>
          </cell>
          <cell r="N1130" t="str">
            <v>Registry</v>
          </cell>
          <cell r="O1130">
            <v>2</v>
          </cell>
          <cell r="P1130">
            <v>12</v>
          </cell>
          <cell r="Q1130">
            <v>5</v>
          </cell>
          <cell r="R1130">
            <v>403100</v>
          </cell>
          <cell r="S1130">
            <v>0</v>
          </cell>
          <cell r="T1130">
            <v>-1</v>
          </cell>
          <cell r="U1130">
            <v>6</v>
          </cell>
          <cell r="V1130">
            <v>-2</v>
          </cell>
          <cell r="W1130" t="str">
            <v>Ghulam Shabbir</v>
          </cell>
          <cell r="X1130" t="str">
            <v>Sardar Yasir Ilyas</v>
          </cell>
          <cell r="Y1130">
            <v>44865</v>
          </cell>
        </row>
        <row r="1131">
          <cell r="K1131">
            <v>5359</v>
          </cell>
          <cell r="L1131">
            <v>26101</v>
          </cell>
          <cell r="M1131" t="str">
            <v>Intiqal</v>
          </cell>
          <cell r="N1131" t="str">
            <v>Registry</v>
          </cell>
          <cell r="O1131">
            <v>5</v>
          </cell>
          <cell r="P1131">
            <v>0</v>
          </cell>
          <cell r="Q1131">
            <v>0</v>
          </cell>
          <cell r="R1131">
            <v>678100</v>
          </cell>
          <cell r="S1131">
            <v>0</v>
          </cell>
          <cell r="T1131">
            <v>5</v>
          </cell>
          <cell r="U1131">
            <v>0</v>
          </cell>
          <cell r="V1131">
            <v>0</v>
          </cell>
          <cell r="W1131" t="str">
            <v>Raja yasir mehmood</v>
          </cell>
          <cell r="X1131" t="str">
            <v>Sardar Yasir Ilyas</v>
          </cell>
          <cell r="Y1131">
            <v>44865</v>
          </cell>
        </row>
        <row r="1132">
          <cell r="K1132">
            <v>5355</v>
          </cell>
          <cell r="L1132">
            <v>24010</v>
          </cell>
          <cell r="M1132" t="str">
            <v>Intiqal</v>
          </cell>
          <cell r="N1132" t="str">
            <v>Registry</v>
          </cell>
          <cell r="O1132">
            <v>1</v>
          </cell>
          <cell r="P1132">
            <v>0</v>
          </cell>
          <cell r="Q1132">
            <v>0</v>
          </cell>
          <cell r="R1132">
            <v>172100</v>
          </cell>
          <cell r="S1132">
            <v>0</v>
          </cell>
          <cell r="T1132">
            <v>4</v>
          </cell>
          <cell r="U1132">
            <v>0</v>
          </cell>
          <cell r="V1132">
            <v>0</v>
          </cell>
          <cell r="W1132" t="str">
            <v>Irshad Saddique</v>
          </cell>
          <cell r="X1132" t="str">
            <v>Sardar Yasir Ilyas</v>
          </cell>
          <cell r="Y1132">
            <v>44844</v>
          </cell>
        </row>
        <row r="1133">
          <cell r="K1133">
            <v>5412</v>
          </cell>
          <cell r="L1133">
            <v>24011</v>
          </cell>
          <cell r="M1133" t="str">
            <v>Intiqal</v>
          </cell>
          <cell r="N1133" t="str">
            <v>Registry</v>
          </cell>
          <cell r="O1133">
            <v>4</v>
          </cell>
          <cell r="P1133">
            <v>0</v>
          </cell>
          <cell r="Q1133">
            <v>0</v>
          </cell>
          <cell r="R1133">
            <v>753100</v>
          </cell>
          <cell r="S1133">
            <v>0</v>
          </cell>
          <cell r="T1133">
            <v>-3</v>
          </cell>
          <cell r="U1133">
            <v>0</v>
          </cell>
          <cell r="V1133">
            <v>0</v>
          </cell>
          <cell r="W1133" t="str">
            <v>Rashida Bibi</v>
          </cell>
          <cell r="X1133" t="str">
            <v>Sardar Yasir Ilyas</v>
          </cell>
          <cell r="Y1133">
            <v>44844</v>
          </cell>
        </row>
        <row r="1134">
          <cell r="K1134">
            <v>3949</v>
          </cell>
          <cell r="L1134">
            <v>28911</v>
          </cell>
          <cell r="M1134" t="str">
            <v>Intiqal</v>
          </cell>
          <cell r="N1134" t="str">
            <v>Registry</v>
          </cell>
          <cell r="O1134">
            <v>2</v>
          </cell>
          <cell r="P1134">
            <v>3</v>
          </cell>
          <cell r="Q1134">
            <v>5.72</v>
          </cell>
          <cell r="R1134">
            <v>641905</v>
          </cell>
          <cell r="S1134">
            <v>0</v>
          </cell>
          <cell r="T1134">
            <v>2</v>
          </cell>
          <cell r="U1134">
            <v>14</v>
          </cell>
          <cell r="V1134">
            <v>0</v>
          </cell>
          <cell r="W1134" t="str">
            <v>Rashid Khan</v>
          </cell>
          <cell r="X1134" t="str">
            <v>Sardar Yasir Ilyas</v>
          </cell>
          <cell r="Y1134">
            <v>44896</v>
          </cell>
        </row>
        <row r="1135">
          <cell r="K1135">
            <v>3919</v>
          </cell>
          <cell r="L1135">
            <v>25707</v>
          </cell>
          <cell r="M1135" t="str">
            <v>Intiqal</v>
          </cell>
          <cell r="N1135" t="str">
            <v>Registry</v>
          </cell>
          <cell r="O1135">
            <v>0</v>
          </cell>
          <cell r="P1135">
            <v>11</v>
          </cell>
          <cell r="Q1135">
            <v>0</v>
          </cell>
          <cell r="R1135">
            <v>135500</v>
          </cell>
          <cell r="S1135">
            <v>0</v>
          </cell>
          <cell r="T1135">
            <v>2</v>
          </cell>
          <cell r="U1135">
            <v>-8</v>
          </cell>
          <cell r="V1135">
            <v>5.72</v>
          </cell>
          <cell r="W1135" t="str">
            <v>Nasreen Beghum</v>
          </cell>
          <cell r="X1135" t="str">
            <v>Sardar Yasir Ilyas</v>
          </cell>
          <cell r="Y1135">
            <v>44861</v>
          </cell>
        </row>
        <row r="1136">
          <cell r="K1136">
            <v>3923</v>
          </cell>
          <cell r="L1136">
            <v>23410</v>
          </cell>
          <cell r="M1136" t="str">
            <v>Intiqal</v>
          </cell>
          <cell r="N1136" t="str">
            <v>Registry</v>
          </cell>
          <cell r="O1136">
            <v>1</v>
          </cell>
          <cell r="P1136">
            <v>0</v>
          </cell>
          <cell r="Q1136">
            <v>0</v>
          </cell>
          <cell r="R1136">
            <v>248500</v>
          </cell>
          <cell r="S1136">
            <v>0</v>
          </cell>
          <cell r="T1136">
            <v>-1</v>
          </cell>
          <cell r="U1136">
            <v>11</v>
          </cell>
          <cell r="V1136">
            <v>0</v>
          </cell>
          <cell r="W1136" t="str">
            <v>Adnan Afzal</v>
          </cell>
          <cell r="X1136" t="str">
            <v>Sardar Yasir Ilyas</v>
          </cell>
          <cell r="Y1136">
            <v>44838</v>
          </cell>
        </row>
        <row r="1137">
          <cell r="K1137">
            <v>3920</v>
          </cell>
          <cell r="L1137">
            <v>23409</v>
          </cell>
          <cell r="M1137" t="str">
            <v>Intiqal</v>
          </cell>
          <cell r="N1137" t="str">
            <v>Registry</v>
          </cell>
          <cell r="O1137">
            <v>1</v>
          </cell>
          <cell r="P1137">
            <v>3</v>
          </cell>
          <cell r="Q1137">
            <v>0</v>
          </cell>
          <cell r="R1137">
            <v>287000</v>
          </cell>
          <cell r="S1137">
            <v>0</v>
          </cell>
          <cell r="T1137">
            <v>0</v>
          </cell>
          <cell r="U1137">
            <v>-3</v>
          </cell>
          <cell r="V1137">
            <v>0</v>
          </cell>
          <cell r="W1137" t="str">
            <v>Saeed Jan</v>
          </cell>
          <cell r="X1137" t="str">
            <v>Sardar Yasir Ilyas</v>
          </cell>
          <cell r="Y1137">
            <v>44838</v>
          </cell>
        </row>
        <row r="1138">
          <cell r="K1138">
            <v>125</v>
          </cell>
          <cell r="L1138">
            <v>11063</v>
          </cell>
          <cell r="M1138" t="str">
            <v>Not Available</v>
          </cell>
          <cell r="N1138" t="str">
            <v>Registry</v>
          </cell>
          <cell r="O1138">
            <v>5</v>
          </cell>
          <cell r="P1138">
            <v>0</v>
          </cell>
          <cell r="Q1138">
            <v>0</v>
          </cell>
          <cell r="R1138">
            <v>2278100</v>
          </cell>
          <cell r="S1138">
            <v>0</v>
          </cell>
          <cell r="T1138">
            <v>18</v>
          </cell>
          <cell r="U1138">
            <v>17</v>
          </cell>
          <cell r="V1138">
            <v>5</v>
          </cell>
          <cell r="W1138" t="str">
            <v>Riffat Jabeen</v>
          </cell>
          <cell r="X1138" t="str">
            <v>Sardar Tanveer Ilyas</v>
          </cell>
          <cell r="Y1138">
            <v>45030</v>
          </cell>
        </row>
        <row r="1139">
          <cell r="K1139">
            <v>123</v>
          </cell>
          <cell r="L1139">
            <v>11036</v>
          </cell>
          <cell r="M1139" t="str">
            <v>Not Available</v>
          </cell>
          <cell r="N1139" t="str">
            <v>Registry</v>
          </cell>
          <cell r="O1139">
            <v>4</v>
          </cell>
          <cell r="P1139">
            <v>0</v>
          </cell>
          <cell r="Q1139">
            <v>0</v>
          </cell>
          <cell r="R1139">
            <v>1851100</v>
          </cell>
          <cell r="S1139">
            <v>0</v>
          </cell>
          <cell r="T1139">
            <v>1</v>
          </cell>
          <cell r="U1139">
            <v>0</v>
          </cell>
          <cell r="V1139">
            <v>0</v>
          </cell>
          <cell r="W1139" t="str">
            <v>Muhammad Sabir</v>
          </cell>
          <cell r="X1139" t="str">
            <v>Sardar Tanveer Ilyas</v>
          </cell>
          <cell r="Y1139">
            <v>45306</v>
          </cell>
        </row>
        <row r="1140">
          <cell r="K1140">
            <v>135</v>
          </cell>
          <cell r="L1140">
            <v>10756</v>
          </cell>
          <cell r="M1140" t="str">
            <v>Intiqal</v>
          </cell>
          <cell r="N1140" t="str">
            <v>Registry</v>
          </cell>
          <cell r="O1140">
            <v>1</v>
          </cell>
          <cell r="P1140">
            <v>0</v>
          </cell>
          <cell r="Q1140">
            <v>0</v>
          </cell>
          <cell r="R1140">
            <v>282100</v>
          </cell>
          <cell r="S1140">
            <v>0</v>
          </cell>
          <cell r="T1140">
            <v>3</v>
          </cell>
          <cell r="U1140">
            <v>0</v>
          </cell>
          <cell r="V1140">
            <v>0</v>
          </cell>
          <cell r="W1140" t="str">
            <v>Raja Mehmood Sultan</v>
          </cell>
          <cell r="X1140" t="str">
            <v>Sardar Tanveer Ilyas</v>
          </cell>
          <cell r="Y1140">
            <v>45027</v>
          </cell>
        </row>
        <row r="1141">
          <cell r="K1141" t="str">
            <v>114/115</v>
          </cell>
          <cell r="L1141">
            <v>23647</v>
          </cell>
          <cell r="M1141" t="str">
            <v>Intiqal</v>
          </cell>
          <cell r="N1141" t="str">
            <v>Registry</v>
          </cell>
          <cell r="O1141">
            <v>13</v>
          </cell>
          <cell r="P1141">
            <v>17</v>
          </cell>
          <cell r="Q1141">
            <v>5</v>
          </cell>
          <cell r="R1141">
            <v>4151100</v>
          </cell>
          <cell r="S1141">
            <v>0</v>
          </cell>
          <cell r="T1141">
            <v>-12</v>
          </cell>
          <cell r="U1141">
            <v>-17</v>
          </cell>
          <cell r="V1141">
            <v>-5</v>
          </cell>
          <cell r="W1141" t="str">
            <v>Shazia Bibi</v>
          </cell>
          <cell r="X1141" t="str">
            <v>Sardar Yasir Ilyas</v>
          </cell>
          <cell r="Y1141">
            <v>44840</v>
          </cell>
        </row>
        <row r="1142">
          <cell r="K1142">
            <v>741</v>
          </cell>
          <cell r="L1142">
            <v>11498</v>
          </cell>
          <cell r="M1142" t="str">
            <v>Intiqal</v>
          </cell>
          <cell r="N1142" t="str">
            <v>Registry</v>
          </cell>
          <cell r="O1142">
            <v>0</v>
          </cell>
          <cell r="P1142">
            <v>10</v>
          </cell>
          <cell r="Q1142">
            <v>0</v>
          </cell>
          <cell r="R1142">
            <v>123100</v>
          </cell>
          <cell r="S1142">
            <v>0</v>
          </cell>
          <cell r="T1142">
            <v>8</v>
          </cell>
          <cell r="U1142">
            <v>-2</v>
          </cell>
          <cell r="V1142">
            <v>0</v>
          </cell>
          <cell r="W1142" t="str">
            <v>Ghulam Murtaza</v>
          </cell>
          <cell r="X1142" t="str">
            <v>Sardar Tanveer Ilyas</v>
          </cell>
          <cell r="Y1142">
            <v>45035</v>
          </cell>
        </row>
        <row r="1143">
          <cell r="K1143">
            <v>657</v>
          </cell>
          <cell r="L1143">
            <v>10662</v>
          </cell>
          <cell r="M1143" t="str">
            <v>Intiqal</v>
          </cell>
          <cell r="N1143" t="str">
            <v>Registry</v>
          </cell>
          <cell r="O1143">
            <v>1</v>
          </cell>
          <cell r="P1143">
            <v>10</v>
          </cell>
          <cell r="Q1143">
            <v>2</v>
          </cell>
          <cell r="R1143">
            <v>445100</v>
          </cell>
          <cell r="S1143">
            <v>0</v>
          </cell>
          <cell r="T1143">
            <v>-1</v>
          </cell>
          <cell r="U1143">
            <v>0</v>
          </cell>
          <cell r="V1143">
            <v>-2</v>
          </cell>
          <cell r="W1143" t="str">
            <v>Nargis Bibi</v>
          </cell>
          <cell r="X1143" t="str">
            <v>Sardar Tanveer Ilyas</v>
          </cell>
          <cell r="Y1143">
            <v>45026</v>
          </cell>
        </row>
        <row r="1144">
          <cell r="K1144">
            <v>656</v>
          </cell>
          <cell r="L1144">
            <v>10661</v>
          </cell>
          <cell r="M1144" t="str">
            <v>Intiqal</v>
          </cell>
          <cell r="N1144" t="str">
            <v>Registry</v>
          </cell>
          <cell r="O1144">
            <v>0</v>
          </cell>
          <cell r="P1144">
            <v>1</v>
          </cell>
          <cell r="Q1144">
            <v>8</v>
          </cell>
          <cell r="R1144">
            <v>39100</v>
          </cell>
          <cell r="S1144">
            <v>0</v>
          </cell>
          <cell r="T1144">
            <v>1</v>
          </cell>
          <cell r="U1144">
            <v>9</v>
          </cell>
          <cell r="V1144">
            <v>-6</v>
          </cell>
          <cell r="W1144" t="str">
            <v>Muhammad Imran</v>
          </cell>
          <cell r="X1144" t="str">
            <v>Sardar Tanveer Ilyas</v>
          </cell>
          <cell r="Y1144">
            <v>45026</v>
          </cell>
        </row>
        <row r="1145">
          <cell r="K1145">
            <v>654</v>
          </cell>
          <cell r="L1145">
            <v>7981</v>
          </cell>
          <cell r="M1145" t="str">
            <v>Intiqal</v>
          </cell>
          <cell r="N1145" t="str">
            <v>Registry</v>
          </cell>
          <cell r="O1145">
            <v>0</v>
          </cell>
          <cell r="P1145">
            <v>19</v>
          </cell>
          <cell r="Q1145">
            <v>3</v>
          </cell>
          <cell r="R1145">
            <v>146100</v>
          </cell>
          <cell r="S1145">
            <v>0</v>
          </cell>
          <cell r="T1145">
            <v>0</v>
          </cell>
          <cell r="U1145">
            <v>-18</v>
          </cell>
          <cell r="V1145">
            <v>5</v>
          </cell>
          <cell r="W1145" t="str">
            <v>Muhammad Nawaz</v>
          </cell>
          <cell r="X1145" t="str">
            <v>Taj Residencia</v>
          </cell>
          <cell r="Y1145">
            <v>45000</v>
          </cell>
        </row>
        <row r="1146">
          <cell r="K1146">
            <v>685</v>
          </cell>
          <cell r="L1146">
            <v>4616</v>
          </cell>
          <cell r="M1146" t="str">
            <v>Not Available</v>
          </cell>
          <cell r="N1146" t="str">
            <v>Registry</v>
          </cell>
          <cell r="O1146">
            <v>0</v>
          </cell>
          <cell r="P1146">
            <v>5</v>
          </cell>
          <cell r="Q1146">
            <v>8</v>
          </cell>
          <cell r="R1146">
            <v>57100</v>
          </cell>
          <cell r="S1146">
            <v>0</v>
          </cell>
          <cell r="T1146">
            <v>0</v>
          </cell>
          <cell r="U1146">
            <v>14</v>
          </cell>
          <cell r="V1146">
            <v>-5</v>
          </cell>
          <cell r="W1146" t="str">
            <v>Abida Bibi</v>
          </cell>
          <cell r="X1146" t="str">
            <v>Sardar Rashid Ilyas Khan</v>
          </cell>
          <cell r="Y1146">
            <v>44971</v>
          </cell>
        </row>
        <row r="1147">
          <cell r="K1147">
            <v>643</v>
          </cell>
          <cell r="L1147">
            <v>4341</v>
          </cell>
          <cell r="M1147" t="str">
            <v>Intiqal</v>
          </cell>
          <cell r="N1147" t="str">
            <v>Registry</v>
          </cell>
          <cell r="O1147">
            <v>1</v>
          </cell>
          <cell r="P1147">
            <v>6</v>
          </cell>
          <cell r="Q1147">
            <v>0</v>
          </cell>
          <cell r="R1147">
            <v>189100</v>
          </cell>
          <cell r="S1147">
            <v>0</v>
          </cell>
          <cell r="T1147">
            <v>-1</v>
          </cell>
          <cell r="U1147">
            <v>-1</v>
          </cell>
          <cell r="V1147">
            <v>8</v>
          </cell>
          <cell r="W1147" t="str">
            <v>Jhangir Khan</v>
          </cell>
          <cell r="X1147" t="str">
            <v>Sardar Rashid Ilyas Khan</v>
          </cell>
          <cell r="Y1147">
            <v>44968</v>
          </cell>
        </row>
        <row r="1148">
          <cell r="K1148">
            <v>599</v>
          </cell>
          <cell r="L1148">
            <v>30510</v>
          </cell>
          <cell r="M1148" t="str">
            <v>Intiqal</v>
          </cell>
          <cell r="N1148" t="str">
            <v>Registry</v>
          </cell>
          <cell r="O1148">
            <v>0</v>
          </cell>
          <cell r="P1148">
            <v>5</v>
          </cell>
          <cell r="Q1148">
            <v>0</v>
          </cell>
          <cell r="R1148">
            <v>57100</v>
          </cell>
          <cell r="S1148">
            <v>0</v>
          </cell>
          <cell r="T1148">
            <v>1</v>
          </cell>
          <cell r="U1148">
            <v>1</v>
          </cell>
          <cell r="V1148">
            <v>0</v>
          </cell>
          <cell r="W1148" t="str">
            <v>Muhammad Munir Khan</v>
          </cell>
          <cell r="X1148" t="str">
            <v>Sardar Yasir Ilyas</v>
          </cell>
          <cell r="Y1148">
            <v>44912</v>
          </cell>
        </row>
        <row r="1149">
          <cell r="K1149">
            <v>757</v>
          </cell>
          <cell r="L1149">
            <v>15943</v>
          </cell>
          <cell r="M1149" t="str">
            <v>Intiqal</v>
          </cell>
          <cell r="N1149" t="str">
            <v>Registry</v>
          </cell>
          <cell r="O1149">
            <v>1</v>
          </cell>
          <cell r="P1149">
            <v>0</v>
          </cell>
          <cell r="Q1149">
            <v>2</v>
          </cell>
          <cell r="R1149">
            <v>215100</v>
          </cell>
          <cell r="S1149">
            <v>0</v>
          </cell>
          <cell r="T1149">
            <v>-1</v>
          </cell>
          <cell r="U1149">
            <v>5</v>
          </cell>
          <cell r="V1149">
            <v>-2</v>
          </cell>
          <cell r="W1149" t="str">
            <v>Nazak Khan</v>
          </cell>
          <cell r="X1149" t="str">
            <v>Sardar Tanveer Ilyas</v>
          </cell>
          <cell r="Y1149">
            <v>45815</v>
          </cell>
        </row>
        <row r="1150">
          <cell r="K1150">
            <v>604</v>
          </cell>
          <cell r="L1150">
            <v>29390</v>
          </cell>
          <cell r="M1150" t="str">
            <v>Intiqal</v>
          </cell>
          <cell r="N1150" t="str">
            <v>Registry</v>
          </cell>
          <cell r="O1150">
            <v>0</v>
          </cell>
          <cell r="P1150">
            <v>14</v>
          </cell>
          <cell r="Q1150">
            <v>4</v>
          </cell>
          <cell r="R1150">
            <v>138100</v>
          </cell>
          <cell r="S1150">
            <v>0</v>
          </cell>
          <cell r="T1150">
            <v>1</v>
          </cell>
          <cell r="U1150">
            <v>-14</v>
          </cell>
          <cell r="V1150">
            <v>-2</v>
          </cell>
          <cell r="W1150" t="str">
            <v>Rehana Beghum</v>
          </cell>
          <cell r="X1150" t="str">
            <v>Sardar Yasir Ilyas</v>
          </cell>
          <cell r="Y1150">
            <v>44901</v>
          </cell>
        </row>
        <row r="1151">
          <cell r="K1151">
            <v>622</v>
          </cell>
          <cell r="L1151">
            <v>29391</v>
          </cell>
          <cell r="M1151" t="str">
            <v>Intiqal</v>
          </cell>
          <cell r="N1151" t="str">
            <v>Registry</v>
          </cell>
          <cell r="O1151">
            <v>0</v>
          </cell>
          <cell r="P1151">
            <v>5</v>
          </cell>
          <cell r="Q1151">
            <v>3</v>
          </cell>
          <cell r="R1151">
            <v>58600</v>
          </cell>
          <cell r="S1151">
            <v>0</v>
          </cell>
          <cell r="T1151">
            <v>0</v>
          </cell>
          <cell r="U1151">
            <v>9</v>
          </cell>
          <cell r="V1151">
            <v>1</v>
          </cell>
          <cell r="W1151" t="str">
            <v>Muhammad Irfan Sabir</v>
          </cell>
          <cell r="X1151" t="str">
            <v>Sardar Yasir Ilyas</v>
          </cell>
          <cell r="Y1151">
            <v>44901</v>
          </cell>
        </row>
        <row r="1152">
          <cell r="K1152">
            <v>592</v>
          </cell>
          <cell r="L1152">
            <v>25620</v>
          </cell>
          <cell r="M1152" t="str">
            <v>Intiqal</v>
          </cell>
          <cell r="N1152" t="str">
            <v>Registry</v>
          </cell>
          <cell r="O1152">
            <v>1</v>
          </cell>
          <cell r="P1152">
            <v>9</v>
          </cell>
          <cell r="Q1152">
            <v>6</v>
          </cell>
          <cell r="R1152">
            <v>219100</v>
          </cell>
          <cell r="S1152">
            <v>0</v>
          </cell>
          <cell r="T1152">
            <v>-1</v>
          </cell>
          <cell r="U1152">
            <v>-4</v>
          </cell>
          <cell r="V1152">
            <v>-3</v>
          </cell>
          <cell r="W1152" t="str">
            <v>Muhammad Shabbir</v>
          </cell>
          <cell r="X1152" t="str">
            <v>Sardar Yasir Ilyas</v>
          </cell>
          <cell r="Y1152">
            <v>44860</v>
          </cell>
        </row>
        <row r="1153">
          <cell r="K1153">
            <v>4471</v>
          </cell>
          <cell r="L1153">
            <v>26079</v>
          </cell>
          <cell r="M1153" t="str">
            <v>Intiqal</v>
          </cell>
          <cell r="N1153" t="str">
            <v>Registry</v>
          </cell>
          <cell r="O1153">
            <v>0</v>
          </cell>
          <cell r="P1153">
            <v>5</v>
          </cell>
          <cell r="Q1153">
            <v>0</v>
          </cell>
          <cell r="R1153">
            <v>104600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 t="str">
            <v>Irshad Beghum</v>
          </cell>
          <cell r="X1153" t="str">
            <v>Sardar Yasir Ilyas</v>
          </cell>
          <cell r="Y1153">
            <v>44865</v>
          </cell>
        </row>
        <row r="1154">
          <cell r="K1154">
            <v>5361</v>
          </cell>
          <cell r="L1154">
            <v>23574</v>
          </cell>
          <cell r="M1154" t="str">
            <v>Intiqal</v>
          </cell>
          <cell r="N1154" t="str">
            <v>Registry</v>
          </cell>
          <cell r="O1154">
            <v>1</v>
          </cell>
          <cell r="P1154">
            <v>0</v>
          </cell>
          <cell r="Q1154">
            <v>0</v>
          </cell>
          <cell r="R1154">
            <v>155100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 t="str">
            <v>Tariq Mehmood Awan</v>
          </cell>
          <cell r="X1154" t="str">
            <v>Sardar Yasir Ilyas</v>
          </cell>
          <cell r="Y1154">
            <v>44839</v>
          </cell>
        </row>
        <row r="1155">
          <cell r="K1155">
            <v>651</v>
          </cell>
          <cell r="L1155">
            <v>29334</v>
          </cell>
          <cell r="M1155" t="str">
            <v>Intiqal</v>
          </cell>
          <cell r="N1155" t="str">
            <v>Registry</v>
          </cell>
          <cell r="O1155">
            <v>12</v>
          </cell>
          <cell r="P1155">
            <v>1</v>
          </cell>
          <cell r="Q1155">
            <v>0</v>
          </cell>
          <cell r="R1155">
            <v>2208100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 t="str">
            <v>Munir Khan</v>
          </cell>
          <cell r="X1155" t="str">
            <v>Sardar Yasir Ilyas</v>
          </cell>
          <cell r="Y1155">
            <v>44901</v>
          </cell>
        </row>
        <row r="1156">
          <cell r="K1156">
            <v>4586</v>
          </cell>
          <cell r="L1156">
            <v>29100</v>
          </cell>
          <cell r="M1156" t="str">
            <v>Intiqal</v>
          </cell>
          <cell r="N1156" t="str">
            <v>Registry</v>
          </cell>
          <cell r="O1156">
            <v>4</v>
          </cell>
          <cell r="P1156">
            <v>11</v>
          </cell>
          <cell r="Q1156">
            <v>3</v>
          </cell>
          <cell r="R1156">
            <v>588100</v>
          </cell>
          <cell r="S1156">
            <v>0</v>
          </cell>
          <cell r="T1156">
            <v>16</v>
          </cell>
          <cell r="U1156">
            <v>-4</v>
          </cell>
          <cell r="V1156">
            <v>0</v>
          </cell>
          <cell r="W1156" t="str">
            <v>Nazim Ellahi</v>
          </cell>
          <cell r="X1156" t="str">
            <v>Sardar Yasir Ilyas</v>
          </cell>
          <cell r="Y1156">
            <v>44898</v>
          </cell>
        </row>
        <row r="1157">
          <cell r="K1157">
            <v>4690</v>
          </cell>
          <cell r="L1157">
            <v>29175</v>
          </cell>
          <cell r="M1157" t="str">
            <v>Intiqal</v>
          </cell>
          <cell r="N1157" t="str">
            <v>Registry</v>
          </cell>
          <cell r="O1157">
            <v>1</v>
          </cell>
          <cell r="P1157">
            <v>0</v>
          </cell>
          <cell r="Q1157">
            <v>0</v>
          </cell>
          <cell r="R1157">
            <v>139100</v>
          </cell>
          <cell r="S1157">
            <v>0</v>
          </cell>
          <cell r="T1157">
            <v>3</v>
          </cell>
          <cell r="U1157">
            <v>11</v>
          </cell>
          <cell r="V1157">
            <v>3</v>
          </cell>
          <cell r="W1157" t="str">
            <v>Waseem Akhtar</v>
          </cell>
          <cell r="X1157" t="str">
            <v>Sardar Yasir Ilyas</v>
          </cell>
          <cell r="Y1157">
            <v>44898</v>
          </cell>
        </row>
        <row r="1158">
          <cell r="K1158">
            <v>4702</v>
          </cell>
          <cell r="L1158">
            <v>29101</v>
          </cell>
          <cell r="M1158" t="str">
            <v>Intiqal</v>
          </cell>
          <cell r="N1158" t="str">
            <v>Registry</v>
          </cell>
          <cell r="O1158">
            <v>14</v>
          </cell>
          <cell r="P1158">
            <v>16</v>
          </cell>
          <cell r="Q1158">
            <v>0</v>
          </cell>
          <cell r="R1158">
            <v>2028100</v>
          </cell>
          <cell r="S1158">
            <v>0</v>
          </cell>
          <cell r="T1158">
            <v>-13</v>
          </cell>
          <cell r="U1158">
            <v>-16</v>
          </cell>
          <cell r="V1158">
            <v>0</v>
          </cell>
          <cell r="W1158" t="str">
            <v>Muhammad Sajid</v>
          </cell>
          <cell r="X1158" t="str">
            <v>Sardar Yasir Ilyas</v>
          </cell>
          <cell r="Y1158">
            <v>44898</v>
          </cell>
        </row>
        <row r="1159">
          <cell r="K1159">
            <v>3948</v>
          </cell>
          <cell r="L1159">
            <v>28186</v>
          </cell>
          <cell r="M1159" t="str">
            <v>Intiqal</v>
          </cell>
          <cell r="N1159" t="str">
            <v>Registry</v>
          </cell>
          <cell r="O1159">
            <v>1</v>
          </cell>
          <cell r="P1159">
            <v>5</v>
          </cell>
          <cell r="Q1159">
            <v>0</v>
          </cell>
          <cell r="R1159">
            <v>268000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 t="str">
            <v>Muhammad Riasat</v>
          </cell>
          <cell r="X1159" t="str">
            <v>Sardar Yasir Ilyas</v>
          </cell>
          <cell r="Y1159">
            <v>44888</v>
          </cell>
        </row>
        <row r="1160">
          <cell r="K1160">
            <v>5441</v>
          </cell>
          <cell r="L1160">
            <v>28907</v>
          </cell>
          <cell r="M1160" t="str">
            <v>Intiqal</v>
          </cell>
          <cell r="N1160" t="str">
            <v>Registry</v>
          </cell>
          <cell r="O1160">
            <v>0</v>
          </cell>
          <cell r="P1160">
            <v>7</v>
          </cell>
          <cell r="Q1160">
            <v>0</v>
          </cell>
          <cell r="R1160">
            <v>78600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 t="str">
            <v>Zahid Shah</v>
          </cell>
          <cell r="X1160" t="str">
            <v>Sardar Yasir Ilyas</v>
          </cell>
          <cell r="Y1160">
            <v>44896</v>
          </cell>
        </row>
        <row r="1161">
          <cell r="K1161">
            <v>5444</v>
          </cell>
          <cell r="L1161">
            <v>31644</v>
          </cell>
          <cell r="M1161" t="str">
            <v>Intiqal</v>
          </cell>
          <cell r="N1161" t="str">
            <v>Registry</v>
          </cell>
          <cell r="O1161">
            <v>0</v>
          </cell>
          <cell r="P1161">
            <v>10</v>
          </cell>
          <cell r="Q1161">
            <v>0</v>
          </cell>
          <cell r="R1161">
            <v>104100</v>
          </cell>
          <cell r="S1161">
            <v>0</v>
          </cell>
          <cell r="T1161">
            <v>1</v>
          </cell>
          <cell r="U1161">
            <v>-10</v>
          </cell>
          <cell r="V1161">
            <v>0</v>
          </cell>
          <cell r="W1161" t="str">
            <v>M yousaf</v>
          </cell>
          <cell r="X1161" t="str">
            <v>Sardar Yasir Ilyas</v>
          </cell>
          <cell r="Y1161">
            <v>44923</v>
          </cell>
        </row>
        <row r="1162">
          <cell r="K1162">
            <v>5442</v>
          </cell>
          <cell r="L1162">
            <v>29017</v>
          </cell>
          <cell r="M1162" t="str">
            <v>Intiqal</v>
          </cell>
          <cell r="N1162" t="str">
            <v>Registry</v>
          </cell>
          <cell r="O1162">
            <v>0</v>
          </cell>
          <cell r="P1162">
            <v>5</v>
          </cell>
          <cell r="Q1162">
            <v>0</v>
          </cell>
          <cell r="R1162">
            <v>61100</v>
          </cell>
          <cell r="S1162">
            <v>0</v>
          </cell>
          <cell r="T1162">
            <v>0</v>
          </cell>
          <cell r="U1162">
            <v>5</v>
          </cell>
          <cell r="V1162">
            <v>0</v>
          </cell>
          <cell r="W1162" t="str">
            <v>Abdul Sattar</v>
          </cell>
          <cell r="X1162" t="str">
            <v>Sardar Yasir Ilyas</v>
          </cell>
          <cell r="Y1162">
            <v>44897</v>
          </cell>
        </row>
        <row r="1163">
          <cell r="K1163">
            <v>5411</v>
          </cell>
          <cell r="L1163">
            <v>28908</v>
          </cell>
          <cell r="M1163" t="str">
            <v>Intiqal</v>
          </cell>
          <cell r="N1163" t="str">
            <v>Registry</v>
          </cell>
          <cell r="O1163">
            <v>0</v>
          </cell>
          <cell r="P1163">
            <v>5</v>
          </cell>
          <cell r="Q1163">
            <v>0</v>
          </cell>
          <cell r="R1163">
            <v>58600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 t="str">
            <v>Asad Ullah</v>
          </cell>
          <cell r="X1163" t="str">
            <v>Sardar Yasir Ilyas</v>
          </cell>
          <cell r="Y1163">
            <v>44896</v>
          </cell>
        </row>
        <row r="1164">
          <cell r="K1164">
            <v>5729</v>
          </cell>
          <cell r="L1164">
            <v>6429</v>
          </cell>
          <cell r="M1164" t="str">
            <v>Not Available</v>
          </cell>
          <cell r="N1164" t="str">
            <v>Registry</v>
          </cell>
          <cell r="O1164">
            <v>0</v>
          </cell>
          <cell r="P1164">
            <v>5</v>
          </cell>
          <cell r="Q1164">
            <v>4</v>
          </cell>
          <cell r="R1164">
            <v>86100</v>
          </cell>
          <cell r="S1164">
            <v>0</v>
          </cell>
          <cell r="T1164">
            <v>4</v>
          </cell>
          <cell r="U1164">
            <v>9</v>
          </cell>
          <cell r="V1164">
            <v>-3</v>
          </cell>
          <cell r="W1164" t="str">
            <v>Amna Bibi</v>
          </cell>
          <cell r="X1164" t="str">
            <v>Sardar Rashid Ilyas Khan</v>
          </cell>
          <cell r="Y1164">
            <v>44986</v>
          </cell>
        </row>
        <row r="1165">
          <cell r="K1165">
            <v>5494</v>
          </cell>
          <cell r="L1165">
            <v>4576</v>
          </cell>
          <cell r="M1165" t="str">
            <v>Intiqal</v>
          </cell>
          <cell r="N1165" t="str">
            <v>Registry</v>
          </cell>
          <cell r="O1165">
            <v>0</v>
          </cell>
          <cell r="P1165">
            <v>12</v>
          </cell>
          <cell r="Q1165">
            <v>0</v>
          </cell>
          <cell r="R1165">
            <v>105100</v>
          </cell>
          <cell r="S1165">
            <v>0</v>
          </cell>
          <cell r="T1165">
            <v>0</v>
          </cell>
          <cell r="U1165">
            <v>-7</v>
          </cell>
          <cell r="V1165">
            <v>4</v>
          </cell>
          <cell r="W1165" t="str">
            <v>Jahanzaib</v>
          </cell>
          <cell r="X1165" t="str">
            <v>Sardar Rashid Ilyas Khan</v>
          </cell>
          <cell r="Y1165">
            <v>44971</v>
          </cell>
        </row>
        <row r="1166">
          <cell r="K1166">
            <v>5493</v>
          </cell>
          <cell r="L1166">
            <v>4374</v>
          </cell>
          <cell r="M1166" t="str">
            <v>Intiqal</v>
          </cell>
          <cell r="N1166" t="str">
            <v>Registry</v>
          </cell>
          <cell r="O1166">
            <v>1</v>
          </cell>
          <cell r="P1166">
            <v>0</v>
          </cell>
          <cell r="Q1166">
            <v>0</v>
          </cell>
          <cell r="R1166">
            <v>186100</v>
          </cell>
          <cell r="S1166">
            <v>0</v>
          </cell>
          <cell r="T1166">
            <v>-1</v>
          </cell>
          <cell r="U1166">
            <v>12</v>
          </cell>
          <cell r="V1166">
            <v>0</v>
          </cell>
          <cell r="W1166" t="str">
            <v>Muhammad Shahid</v>
          </cell>
          <cell r="X1166" t="str">
            <v>Sardar Rashid Ilyas Khan</v>
          </cell>
          <cell r="Y1166">
            <v>44968</v>
          </cell>
        </row>
        <row r="1167">
          <cell r="L1167">
            <v>1890</v>
          </cell>
          <cell r="M1167" t="str">
            <v>Not Available</v>
          </cell>
          <cell r="N1167" t="str">
            <v>Not Available</v>
          </cell>
          <cell r="O1167">
            <v>0</v>
          </cell>
          <cell r="P1167">
            <v>5</v>
          </cell>
          <cell r="Q1167">
            <v>0</v>
          </cell>
          <cell r="R1167">
            <v>87100</v>
          </cell>
          <cell r="S1167">
            <v>0</v>
          </cell>
          <cell r="T1167">
            <v>1</v>
          </cell>
          <cell r="U1167">
            <v>-5</v>
          </cell>
          <cell r="V1167">
            <v>0</v>
          </cell>
          <cell r="W1167" t="str">
            <v>Bilal Ahmed</v>
          </cell>
          <cell r="X1167" t="str">
            <v>Sardar Rashid Ilyas Khan</v>
          </cell>
        </row>
        <row r="1168">
          <cell r="K1168">
            <v>5440</v>
          </cell>
          <cell r="L1168">
            <v>31763</v>
          </cell>
          <cell r="M1168" t="str">
            <v>Intiqal</v>
          </cell>
          <cell r="N1168" t="str">
            <v>Registry</v>
          </cell>
          <cell r="O1168">
            <v>0</v>
          </cell>
          <cell r="P1168">
            <v>6</v>
          </cell>
          <cell r="Q1168">
            <v>2</v>
          </cell>
          <cell r="R1168">
            <v>66100</v>
          </cell>
          <cell r="S1168">
            <v>0</v>
          </cell>
          <cell r="T1168">
            <v>0</v>
          </cell>
          <cell r="U1168">
            <v>-1</v>
          </cell>
          <cell r="V1168">
            <v>-2</v>
          </cell>
          <cell r="W1168" t="str">
            <v>Imran Pervaiz</v>
          </cell>
          <cell r="X1168" t="str">
            <v>Sardar Yasir Ilyas</v>
          </cell>
          <cell r="Y1168">
            <v>44924</v>
          </cell>
        </row>
        <row r="1169">
          <cell r="K1169">
            <v>5492</v>
          </cell>
          <cell r="L1169">
            <v>31762</v>
          </cell>
          <cell r="M1169" t="str">
            <v>Intiqal</v>
          </cell>
          <cell r="N1169" t="str">
            <v>Registry</v>
          </cell>
          <cell r="O1169">
            <v>0</v>
          </cell>
          <cell r="P1169">
            <v>4</v>
          </cell>
          <cell r="Q1169">
            <v>1</v>
          </cell>
          <cell r="R1169">
            <v>48600</v>
          </cell>
          <cell r="S1169">
            <v>0</v>
          </cell>
          <cell r="T1169">
            <v>0</v>
          </cell>
          <cell r="U1169">
            <v>2</v>
          </cell>
          <cell r="V1169">
            <v>1</v>
          </cell>
          <cell r="W1169" t="str">
            <v>Nisar Ahmed</v>
          </cell>
          <cell r="X1169" t="str">
            <v>Sardar Yasir Ilyas</v>
          </cell>
          <cell r="Y1169">
            <v>44924</v>
          </cell>
        </row>
        <row r="1170">
          <cell r="K1170">
            <v>5490</v>
          </cell>
          <cell r="L1170">
            <v>26471</v>
          </cell>
          <cell r="M1170" t="str">
            <v>Intiqal</v>
          </cell>
          <cell r="N1170" t="str">
            <v>Registry</v>
          </cell>
          <cell r="O1170">
            <v>0</v>
          </cell>
          <cell r="P1170">
            <v>5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-1</v>
          </cell>
          <cell r="V1170">
            <v>1</v>
          </cell>
          <cell r="W1170" t="str">
            <v>Muhammad Yasir</v>
          </cell>
          <cell r="X1170" t="str">
            <v>Sardar Yasir Ilyas</v>
          </cell>
          <cell r="Y1170">
            <v>44868</v>
          </cell>
        </row>
        <row r="1171">
          <cell r="L1171">
            <v>29898</v>
          </cell>
          <cell r="M1171" t="str">
            <v>Not Available</v>
          </cell>
          <cell r="N1171" t="str">
            <v>Not Available</v>
          </cell>
          <cell r="O1171">
            <v>1</v>
          </cell>
          <cell r="P1171">
            <v>0</v>
          </cell>
          <cell r="Q1171">
            <v>0</v>
          </cell>
          <cell r="R1171">
            <v>186100</v>
          </cell>
          <cell r="S1171">
            <v>0</v>
          </cell>
          <cell r="T1171">
            <v>-1</v>
          </cell>
          <cell r="U1171">
            <v>5</v>
          </cell>
          <cell r="V1171">
            <v>0</v>
          </cell>
          <cell r="W1171" t="str">
            <v>Muhammad Saleem</v>
          </cell>
          <cell r="X1171" t="str">
            <v>Sardar Yasir Ilyas</v>
          </cell>
        </row>
        <row r="1172">
          <cell r="K1172">
            <v>5443</v>
          </cell>
          <cell r="L1172">
            <v>29571</v>
          </cell>
          <cell r="M1172" t="str">
            <v>Intiqal</v>
          </cell>
          <cell r="N1172" t="str">
            <v>Registry</v>
          </cell>
          <cell r="O1172">
            <v>0</v>
          </cell>
          <cell r="P1172">
            <v>16</v>
          </cell>
          <cell r="Q1172">
            <v>3</v>
          </cell>
          <cell r="R1172">
            <v>139100</v>
          </cell>
          <cell r="S1172">
            <v>0</v>
          </cell>
          <cell r="T1172">
            <v>1</v>
          </cell>
          <cell r="U1172">
            <v>-16</v>
          </cell>
          <cell r="V1172">
            <v>-3</v>
          </cell>
          <cell r="W1172" t="str">
            <v>Ajmal Mehmood</v>
          </cell>
          <cell r="X1172" t="str">
            <v>Sardar Yasir Ilyas</v>
          </cell>
          <cell r="Y1172">
            <v>44903</v>
          </cell>
        </row>
        <row r="1173">
          <cell r="L1173">
            <v>20777</v>
          </cell>
          <cell r="M1173" t="str">
            <v>Not Available</v>
          </cell>
          <cell r="N1173" t="str">
            <v>Not Available</v>
          </cell>
          <cell r="O1173">
            <v>7</v>
          </cell>
          <cell r="P1173">
            <v>5</v>
          </cell>
          <cell r="Q1173">
            <v>2.42</v>
          </cell>
          <cell r="R1173">
            <v>1786300</v>
          </cell>
          <cell r="S1173">
            <v>0</v>
          </cell>
          <cell r="T1173">
            <v>13</v>
          </cell>
          <cell r="U1173">
            <v>5</v>
          </cell>
          <cell r="V1173">
            <v>0</v>
          </cell>
          <cell r="W1173" t="str">
            <v>Asiya Bibi</v>
          </cell>
          <cell r="X1173" t="str">
            <v>Sardar Tanveer Ilyas</v>
          </cell>
        </row>
        <row r="1174">
          <cell r="L1174">
            <v>20778</v>
          </cell>
          <cell r="M1174" t="str">
            <v>Not Available</v>
          </cell>
          <cell r="N1174" t="str">
            <v>Registry</v>
          </cell>
          <cell r="O1174">
            <v>3</v>
          </cell>
          <cell r="P1174">
            <v>0</v>
          </cell>
          <cell r="Q1174">
            <v>0</v>
          </cell>
          <cell r="R1174">
            <v>742300</v>
          </cell>
          <cell r="S1174">
            <v>0</v>
          </cell>
          <cell r="T1174">
            <v>4</v>
          </cell>
          <cell r="U1174">
            <v>5</v>
          </cell>
          <cell r="V1174">
            <v>2.42</v>
          </cell>
          <cell r="W1174" t="str">
            <v>Asiya Bibi</v>
          </cell>
          <cell r="X1174" t="str">
            <v>Sardar Tanveer Ilyas</v>
          </cell>
          <cell r="Y1174">
            <v>45872</v>
          </cell>
        </row>
        <row r="1175">
          <cell r="K1175">
            <v>4065</v>
          </cell>
          <cell r="L1175">
            <v>7729</v>
          </cell>
          <cell r="M1175" t="str">
            <v>Intiqal</v>
          </cell>
          <cell r="N1175" t="str">
            <v>Registry</v>
          </cell>
          <cell r="O1175">
            <v>1</v>
          </cell>
          <cell r="P1175">
            <v>0</v>
          </cell>
          <cell r="Q1175">
            <v>0</v>
          </cell>
          <cell r="R1175">
            <v>350000</v>
          </cell>
          <cell r="S1175">
            <v>0</v>
          </cell>
          <cell r="T1175">
            <v>2</v>
          </cell>
          <cell r="U1175">
            <v>0</v>
          </cell>
          <cell r="V1175">
            <v>0</v>
          </cell>
          <cell r="W1175" t="str">
            <v>Muhammad Yaqoob</v>
          </cell>
          <cell r="X1175" t="str">
            <v>Sardar Rashid Ilyas Khan</v>
          </cell>
          <cell r="Y1175">
            <v>44998</v>
          </cell>
        </row>
        <row r="1176">
          <cell r="K1176">
            <v>3926</v>
          </cell>
          <cell r="L1176">
            <v>31414</v>
          </cell>
          <cell r="M1176" t="str">
            <v>Intiqal</v>
          </cell>
          <cell r="N1176" t="str">
            <v>Registry</v>
          </cell>
          <cell r="O1176">
            <v>0</v>
          </cell>
          <cell r="P1176">
            <v>14</v>
          </cell>
          <cell r="Q1176">
            <v>1</v>
          </cell>
          <cell r="R1176">
            <v>169000</v>
          </cell>
          <cell r="S1176">
            <v>0</v>
          </cell>
          <cell r="T1176">
            <v>1</v>
          </cell>
          <cell r="U1176">
            <v>-14</v>
          </cell>
          <cell r="V1176">
            <v>-1</v>
          </cell>
          <cell r="W1176" t="str">
            <v>Raja Shahid Mehmood</v>
          </cell>
          <cell r="X1176" t="str">
            <v>Sardar Yasir Ilyas</v>
          </cell>
          <cell r="Y1176">
            <v>44921</v>
          </cell>
        </row>
        <row r="1177">
          <cell r="K1177">
            <v>3937</v>
          </cell>
          <cell r="L1177">
            <v>31412</v>
          </cell>
          <cell r="M1177" t="str">
            <v>Intiqal</v>
          </cell>
          <cell r="N1177" t="str">
            <v>Registry</v>
          </cell>
          <cell r="O1177">
            <v>1</v>
          </cell>
          <cell r="P1177">
            <v>3</v>
          </cell>
          <cell r="Q1177">
            <v>7</v>
          </cell>
          <cell r="R1177">
            <v>265000</v>
          </cell>
          <cell r="S1177">
            <v>0</v>
          </cell>
          <cell r="T1177">
            <v>-1</v>
          </cell>
          <cell r="U1177">
            <v>11</v>
          </cell>
          <cell r="V1177">
            <v>-6</v>
          </cell>
          <cell r="W1177" t="str">
            <v>Noreen Bibi</v>
          </cell>
          <cell r="X1177" t="str">
            <v>Sardar Yasir Ilyas</v>
          </cell>
          <cell r="Y1177">
            <v>44618</v>
          </cell>
        </row>
        <row r="1178">
          <cell r="K1178">
            <v>3927</v>
          </cell>
          <cell r="L1178">
            <v>31413</v>
          </cell>
          <cell r="M1178" t="str">
            <v>Intiqal</v>
          </cell>
          <cell r="N1178" t="str">
            <v>Registry</v>
          </cell>
          <cell r="O1178">
            <v>0</v>
          </cell>
          <cell r="P1178">
            <v>10</v>
          </cell>
          <cell r="Q1178">
            <v>0</v>
          </cell>
          <cell r="R1178">
            <v>129000</v>
          </cell>
          <cell r="S1178">
            <v>0</v>
          </cell>
          <cell r="T1178">
            <v>1</v>
          </cell>
          <cell r="U1178">
            <v>-7</v>
          </cell>
          <cell r="V1178">
            <v>7</v>
          </cell>
          <cell r="W1178" t="str">
            <v>Safina Bibi</v>
          </cell>
          <cell r="X1178" t="str">
            <v>Sardar Yasir Ilyas</v>
          </cell>
          <cell r="Y1178">
            <v>44921</v>
          </cell>
        </row>
        <row r="1179">
          <cell r="K1179">
            <v>3989</v>
          </cell>
          <cell r="L1179">
            <v>30071</v>
          </cell>
          <cell r="M1179" t="str">
            <v>Intiqal</v>
          </cell>
          <cell r="N1179" t="str">
            <v>Registry</v>
          </cell>
          <cell r="O1179">
            <v>4</v>
          </cell>
          <cell r="P1179">
            <v>7</v>
          </cell>
          <cell r="Q1179">
            <v>1</v>
          </cell>
          <cell r="R1179">
            <v>1039000</v>
          </cell>
          <cell r="S1179">
            <v>0</v>
          </cell>
          <cell r="T1179">
            <v>-4</v>
          </cell>
          <cell r="U1179">
            <v>3</v>
          </cell>
          <cell r="V1179">
            <v>-1</v>
          </cell>
          <cell r="W1179" t="str">
            <v>Usama</v>
          </cell>
          <cell r="X1179" t="str">
            <v>Sardar Yasir Ilyas</v>
          </cell>
          <cell r="Y1179">
            <v>44908</v>
          </cell>
        </row>
        <row r="1180">
          <cell r="K1180">
            <v>3909</v>
          </cell>
          <cell r="L1180">
            <v>30179</v>
          </cell>
          <cell r="M1180" t="str">
            <v>Intiqal</v>
          </cell>
          <cell r="N1180" t="str">
            <v>Registry</v>
          </cell>
          <cell r="O1180">
            <v>0</v>
          </cell>
          <cell r="P1180">
            <v>10</v>
          </cell>
          <cell r="Q1180">
            <v>0</v>
          </cell>
          <cell r="R1180">
            <v>140000</v>
          </cell>
          <cell r="S1180">
            <v>0</v>
          </cell>
          <cell r="T1180">
            <v>4</v>
          </cell>
          <cell r="U1180">
            <v>-3</v>
          </cell>
          <cell r="V1180">
            <v>1</v>
          </cell>
          <cell r="W1180" t="str">
            <v>Nasreen Beghum</v>
          </cell>
          <cell r="X1180" t="str">
            <v>Sardar Yasir Ilyas</v>
          </cell>
          <cell r="Y1180">
            <v>44909</v>
          </cell>
        </row>
        <row r="1181">
          <cell r="K1181">
            <v>3924</v>
          </cell>
          <cell r="L1181">
            <v>30180</v>
          </cell>
          <cell r="M1181" t="str">
            <v>Intiqal</v>
          </cell>
          <cell r="N1181" t="str">
            <v>Registry</v>
          </cell>
          <cell r="O1181">
            <v>0</v>
          </cell>
          <cell r="P1181">
            <v>5</v>
          </cell>
          <cell r="Q1181">
            <v>0</v>
          </cell>
          <cell r="R1181">
            <v>78500</v>
          </cell>
          <cell r="S1181">
            <v>0</v>
          </cell>
          <cell r="T1181">
            <v>0</v>
          </cell>
          <cell r="U1181">
            <v>5</v>
          </cell>
          <cell r="V1181">
            <v>0</v>
          </cell>
          <cell r="W1181" t="str">
            <v>Raja Nasir Kiyani</v>
          </cell>
          <cell r="X1181" t="str">
            <v>Sardar Yasir Ilyas</v>
          </cell>
          <cell r="Y1181">
            <v>44909</v>
          </cell>
        </row>
        <row r="1182">
          <cell r="K1182">
            <v>3954</v>
          </cell>
          <cell r="L1182">
            <v>29576</v>
          </cell>
          <cell r="M1182" t="str">
            <v>Intiqal</v>
          </cell>
          <cell r="N1182" t="str">
            <v>Registry</v>
          </cell>
          <cell r="O1182">
            <v>1</v>
          </cell>
          <cell r="P1182">
            <v>15</v>
          </cell>
          <cell r="Q1182">
            <v>0</v>
          </cell>
          <cell r="R1182">
            <v>454000</v>
          </cell>
          <cell r="S1182">
            <v>0</v>
          </cell>
          <cell r="T1182">
            <v>-1</v>
          </cell>
          <cell r="U1182">
            <v>-10</v>
          </cell>
          <cell r="V1182">
            <v>0</v>
          </cell>
          <cell r="W1182" t="str">
            <v>Muhammad Naseer</v>
          </cell>
          <cell r="X1182" t="str">
            <v>Sardar Yasir Ilyas</v>
          </cell>
          <cell r="Y1182">
            <v>44903</v>
          </cell>
        </row>
        <row r="1183">
          <cell r="K1183">
            <v>4475</v>
          </cell>
          <cell r="L1183">
            <v>31430</v>
          </cell>
          <cell r="M1183" t="str">
            <v>Intiqal</v>
          </cell>
          <cell r="N1183" t="str">
            <v>Registry</v>
          </cell>
          <cell r="O1183">
            <v>0</v>
          </cell>
          <cell r="P1183">
            <v>7</v>
          </cell>
          <cell r="Q1183">
            <v>4.5</v>
          </cell>
          <cell r="R1183">
            <v>65600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 t="str">
            <v>Rehmat Khan</v>
          </cell>
          <cell r="X1183" t="str">
            <v>Sardar Yasir Ilyas</v>
          </cell>
          <cell r="Y1183">
            <v>44921</v>
          </cell>
        </row>
        <row r="1184">
          <cell r="K1184">
            <v>4093</v>
          </cell>
          <cell r="L1184">
            <v>13568</v>
          </cell>
          <cell r="M1184" t="str">
            <v>Intiqal</v>
          </cell>
          <cell r="N1184" t="str">
            <v>Registry</v>
          </cell>
          <cell r="O1184">
            <v>0</v>
          </cell>
          <cell r="P1184">
            <v>6</v>
          </cell>
          <cell r="Q1184">
            <v>0</v>
          </cell>
          <cell r="R1184">
            <v>127100</v>
          </cell>
          <cell r="S1184">
            <v>0</v>
          </cell>
          <cell r="T1184">
            <v>4</v>
          </cell>
          <cell r="U1184">
            <v>12</v>
          </cell>
          <cell r="V1184">
            <v>0</v>
          </cell>
          <cell r="W1184" t="str">
            <v>Zubair Mehmood</v>
          </cell>
          <cell r="X1184" t="str">
            <v>Sardar Tanveer Ilyas</v>
          </cell>
          <cell r="Y1184">
            <v>45066</v>
          </cell>
        </row>
        <row r="1185">
          <cell r="K1185">
            <v>4094</v>
          </cell>
          <cell r="L1185">
            <v>5455</v>
          </cell>
          <cell r="M1185" t="str">
            <v>Intiqal</v>
          </cell>
          <cell r="N1185" t="str">
            <v>Registry</v>
          </cell>
          <cell r="O1185">
            <v>1</v>
          </cell>
          <cell r="P1185">
            <v>2</v>
          </cell>
          <cell r="Q1185">
            <v>0</v>
          </cell>
          <cell r="R1185">
            <v>248000</v>
          </cell>
          <cell r="S1185">
            <v>0</v>
          </cell>
          <cell r="T1185">
            <v>-1</v>
          </cell>
          <cell r="U1185">
            <v>4</v>
          </cell>
          <cell r="V1185">
            <v>0</v>
          </cell>
          <cell r="W1185" t="str">
            <v>Khurram Shahzad</v>
          </cell>
          <cell r="X1185" t="str">
            <v>Sardar Rashid Ilyas Khan</v>
          </cell>
          <cell r="Y1185">
            <v>44978</v>
          </cell>
        </row>
        <row r="1186">
          <cell r="K1186">
            <v>3908</v>
          </cell>
          <cell r="L1186">
            <v>31387</v>
          </cell>
          <cell r="M1186" t="str">
            <v>Intiqal</v>
          </cell>
          <cell r="N1186" t="str">
            <v>Registry</v>
          </cell>
          <cell r="O1186">
            <v>0</v>
          </cell>
          <cell r="P1186">
            <v>4</v>
          </cell>
          <cell r="Q1186">
            <v>0</v>
          </cell>
          <cell r="R1186">
            <v>66000</v>
          </cell>
          <cell r="S1186">
            <v>0</v>
          </cell>
          <cell r="T1186">
            <v>1</v>
          </cell>
          <cell r="U1186">
            <v>-2</v>
          </cell>
          <cell r="V1186">
            <v>0</v>
          </cell>
          <cell r="W1186" t="str">
            <v>Noman Qadir</v>
          </cell>
          <cell r="X1186" t="str">
            <v>Sardar Yasir Ilyas</v>
          </cell>
          <cell r="Y1186">
            <v>44919</v>
          </cell>
        </row>
        <row r="1187">
          <cell r="K1187">
            <v>3907</v>
          </cell>
          <cell r="L1187">
            <v>31472</v>
          </cell>
          <cell r="M1187" t="str">
            <v>Intiqal</v>
          </cell>
          <cell r="N1187" t="str">
            <v>Registry</v>
          </cell>
          <cell r="O1187">
            <v>0</v>
          </cell>
          <cell r="P1187">
            <v>3</v>
          </cell>
          <cell r="Q1187">
            <v>0</v>
          </cell>
          <cell r="R1187">
            <v>53500</v>
          </cell>
          <cell r="S1187">
            <v>0</v>
          </cell>
          <cell r="T1187">
            <v>0</v>
          </cell>
          <cell r="U1187">
            <v>1</v>
          </cell>
          <cell r="V1187">
            <v>0</v>
          </cell>
          <cell r="W1187" t="str">
            <v>Samina Ashraf</v>
          </cell>
          <cell r="X1187" t="str">
            <v>Sardar Yasir Ilyas</v>
          </cell>
          <cell r="Y1187">
            <v>44921</v>
          </cell>
        </row>
        <row r="1188">
          <cell r="K1188">
            <v>3938</v>
          </cell>
          <cell r="L1188">
            <v>31391</v>
          </cell>
          <cell r="M1188" t="str">
            <v>Intiqal</v>
          </cell>
          <cell r="N1188" t="str">
            <v>Registry</v>
          </cell>
          <cell r="O1188">
            <v>1</v>
          </cell>
          <cell r="P1188">
            <v>0</v>
          </cell>
          <cell r="Q1188">
            <v>0</v>
          </cell>
          <cell r="R1188">
            <v>225000</v>
          </cell>
          <cell r="S1188">
            <v>0</v>
          </cell>
          <cell r="T1188">
            <v>-1</v>
          </cell>
          <cell r="U1188">
            <v>3</v>
          </cell>
          <cell r="V1188">
            <v>0</v>
          </cell>
          <cell r="W1188" t="str">
            <v>Muhammad Azhar</v>
          </cell>
          <cell r="X1188" t="str">
            <v>Sardar Yasir Ilyas</v>
          </cell>
          <cell r="Y1188">
            <v>44919</v>
          </cell>
        </row>
        <row r="1189">
          <cell r="K1189">
            <v>3984</v>
          </cell>
          <cell r="L1189">
            <v>31388</v>
          </cell>
          <cell r="M1189" t="str">
            <v>Intiqal</v>
          </cell>
          <cell r="N1189" t="str">
            <v>Registry</v>
          </cell>
          <cell r="O1189">
            <v>0</v>
          </cell>
          <cell r="P1189">
            <v>10</v>
          </cell>
          <cell r="Q1189">
            <v>0</v>
          </cell>
          <cell r="R1189">
            <v>129000</v>
          </cell>
          <cell r="S1189">
            <v>0</v>
          </cell>
          <cell r="T1189">
            <v>1</v>
          </cell>
          <cell r="U1189">
            <v>-10</v>
          </cell>
          <cell r="V1189">
            <v>0</v>
          </cell>
          <cell r="W1189" t="str">
            <v>Shoukat Mubarik</v>
          </cell>
          <cell r="X1189" t="str">
            <v>Sardar Yasir Ilyas</v>
          </cell>
          <cell r="Y1189">
            <v>44919</v>
          </cell>
        </row>
        <row r="1190">
          <cell r="K1190">
            <v>3925</v>
          </cell>
          <cell r="L1190">
            <v>31390</v>
          </cell>
          <cell r="M1190" t="str">
            <v>Intiqal</v>
          </cell>
          <cell r="N1190" t="str">
            <v>Registry</v>
          </cell>
          <cell r="O1190">
            <v>0</v>
          </cell>
          <cell r="P1190">
            <v>3</v>
          </cell>
          <cell r="Q1190">
            <v>0</v>
          </cell>
          <cell r="R1190">
            <v>53000</v>
          </cell>
          <cell r="S1190">
            <v>0</v>
          </cell>
          <cell r="T1190">
            <v>0</v>
          </cell>
          <cell r="U1190">
            <v>7</v>
          </cell>
          <cell r="V1190">
            <v>0</v>
          </cell>
          <cell r="W1190" t="str">
            <v>Muhammad Adnan Ashraf</v>
          </cell>
          <cell r="X1190" t="str">
            <v>Sardar Yasir Ilyas</v>
          </cell>
          <cell r="Y1190">
            <v>44919</v>
          </cell>
        </row>
        <row r="1191">
          <cell r="K1191">
            <v>3906</v>
          </cell>
          <cell r="L1191">
            <v>31389</v>
          </cell>
          <cell r="M1191" t="str">
            <v>Intiqal</v>
          </cell>
          <cell r="N1191" t="str">
            <v>Registry</v>
          </cell>
          <cell r="O1191">
            <v>0</v>
          </cell>
          <cell r="P1191">
            <v>3</v>
          </cell>
          <cell r="Q1191">
            <v>0</v>
          </cell>
          <cell r="R1191">
            <v>53000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 t="str">
            <v>Muhammad Qasim</v>
          </cell>
          <cell r="X1191" t="str">
            <v>Sardar Yasir Ilyas</v>
          </cell>
          <cell r="Y1191">
            <v>44919</v>
          </cell>
        </row>
        <row r="1192">
          <cell r="K1192">
            <v>3943</v>
          </cell>
          <cell r="L1192">
            <v>2011</v>
          </cell>
          <cell r="M1192" t="str">
            <v>Intiqal</v>
          </cell>
          <cell r="N1192" t="str">
            <v>Registry</v>
          </cell>
          <cell r="O1192">
            <v>1</v>
          </cell>
          <cell r="P1192">
            <v>0</v>
          </cell>
          <cell r="Q1192">
            <v>0</v>
          </cell>
          <cell r="R1192">
            <v>227000</v>
          </cell>
          <cell r="S1192">
            <v>0</v>
          </cell>
          <cell r="T1192">
            <v>-1</v>
          </cell>
          <cell r="U1192">
            <v>3</v>
          </cell>
          <cell r="V1192">
            <v>0</v>
          </cell>
          <cell r="W1192" t="str">
            <v>Aurangzaib</v>
          </cell>
          <cell r="X1192" t="str">
            <v>Sardar Yasir Ilyas</v>
          </cell>
          <cell r="Y1192">
            <v>44947</v>
          </cell>
        </row>
        <row r="1193">
          <cell r="K1193">
            <v>3939</v>
          </cell>
          <cell r="L1193">
            <v>31471</v>
          </cell>
          <cell r="M1193" t="str">
            <v>Intiqal</v>
          </cell>
          <cell r="N1193" t="str">
            <v>Registry</v>
          </cell>
          <cell r="O1193">
            <v>0</v>
          </cell>
          <cell r="P1193">
            <v>7</v>
          </cell>
          <cell r="Q1193">
            <v>0</v>
          </cell>
          <cell r="R1193">
            <v>103500</v>
          </cell>
          <cell r="S1193">
            <v>0</v>
          </cell>
          <cell r="T1193">
            <v>1</v>
          </cell>
          <cell r="U1193">
            <v>-7</v>
          </cell>
          <cell r="V1193">
            <v>0</v>
          </cell>
          <cell r="W1193" t="str">
            <v>Maryam Siddique</v>
          </cell>
          <cell r="X1193" t="str">
            <v>Sardar Yasir Ilyas</v>
          </cell>
          <cell r="Y1193">
            <v>44921</v>
          </cell>
        </row>
        <row r="1194">
          <cell r="L1194">
            <v>17597</v>
          </cell>
          <cell r="M1194" t="str">
            <v>Not Available</v>
          </cell>
          <cell r="N1194" t="str">
            <v>Not Available</v>
          </cell>
          <cell r="O1194">
            <v>1</v>
          </cell>
          <cell r="P1194">
            <v>3</v>
          </cell>
          <cell r="Q1194">
            <v>0</v>
          </cell>
          <cell r="R1194">
            <v>180100</v>
          </cell>
          <cell r="S1194">
            <v>0</v>
          </cell>
          <cell r="T1194">
            <v>11</v>
          </cell>
          <cell r="U1194">
            <v>-3</v>
          </cell>
          <cell r="V1194">
            <v>0</v>
          </cell>
          <cell r="W1194" t="str">
            <v>Muhammad Saleem</v>
          </cell>
          <cell r="X1194" t="str">
            <v>Sardar Tanveer Ilyas</v>
          </cell>
        </row>
        <row r="1195">
          <cell r="L1195">
            <v>17569</v>
          </cell>
          <cell r="M1195" t="str">
            <v>Not Available</v>
          </cell>
          <cell r="N1195" t="str">
            <v>Not Available</v>
          </cell>
          <cell r="O1195">
            <v>4</v>
          </cell>
          <cell r="P1195">
            <v>17</v>
          </cell>
          <cell r="Q1195">
            <v>0</v>
          </cell>
          <cell r="R1195">
            <v>724100</v>
          </cell>
          <cell r="S1195">
            <v>0</v>
          </cell>
          <cell r="T1195">
            <v>-3</v>
          </cell>
          <cell r="U1195">
            <v>-14</v>
          </cell>
          <cell r="V1195">
            <v>0</v>
          </cell>
          <cell r="W1195" t="str">
            <v>Rashid Mehmood</v>
          </cell>
          <cell r="X1195" t="str">
            <v>Sardar Tanveer Ilyas</v>
          </cell>
        </row>
        <row r="1196">
          <cell r="K1196">
            <v>5742</v>
          </cell>
          <cell r="L1196">
            <v>10267</v>
          </cell>
          <cell r="M1196" t="str">
            <v>Not Available</v>
          </cell>
          <cell r="N1196" t="str">
            <v>Registry</v>
          </cell>
          <cell r="O1196">
            <v>0</v>
          </cell>
          <cell r="P1196">
            <v>13</v>
          </cell>
          <cell r="Q1196">
            <v>0</v>
          </cell>
          <cell r="R1196">
            <v>168600</v>
          </cell>
          <cell r="S1196">
            <v>0</v>
          </cell>
          <cell r="T1196">
            <v>4</v>
          </cell>
          <cell r="U1196">
            <v>4</v>
          </cell>
          <cell r="V1196">
            <v>0</v>
          </cell>
          <cell r="W1196" t="str">
            <v>Sajid Mehmood</v>
          </cell>
          <cell r="X1196" t="str">
            <v>Sardar Tanveer Ilyas</v>
          </cell>
          <cell r="Y1196">
            <v>45021</v>
          </cell>
        </row>
        <row r="1197">
          <cell r="K1197">
            <v>5896</v>
          </cell>
          <cell r="L1197">
            <v>10266</v>
          </cell>
          <cell r="M1197" t="str">
            <v>Intiqal</v>
          </cell>
          <cell r="N1197" t="str">
            <v>Registry</v>
          </cell>
          <cell r="O1197">
            <v>1</v>
          </cell>
          <cell r="P1197">
            <v>10</v>
          </cell>
          <cell r="Q1197">
            <v>0</v>
          </cell>
          <cell r="R1197">
            <v>356100</v>
          </cell>
          <cell r="S1197">
            <v>0</v>
          </cell>
          <cell r="T1197">
            <v>-1</v>
          </cell>
          <cell r="U1197">
            <v>3</v>
          </cell>
          <cell r="V1197">
            <v>0</v>
          </cell>
          <cell r="W1197" t="str">
            <v>Rameez raja</v>
          </cell>
          <cell r="X1197" t="str">
            <v>Sardar Tanveer Ilyas</v>
          </cell>
          <cell r="Y1197">
            <v>45021</v>
          </cell>
        </row>
        <row r="1198">
          <cell r="K1198">
            <v>5741</v>
          </cell>
          <cell r="L1198">
            <v>10265</v>
          </cell>
          <cell r="M1198" t="str">
            <v>Not Available</v>
          </cell>
          <cell r="N1198" t="str">
            <v>Registry</v>
          </cell>
          <cell r="O1198">
            <v>1</v>
          </cell>
          <cell r="P1198">
            <v>10</v>
          </cell>
          <cell r="Q1198">
            <v>0</v>
          </cell>
          <cell r="R1198">
            <v>356100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 t="str">
            <v>Saqib Mehmood</v>
          </cell>
          <cell r="X1198" t="str">
            <v>Sardar Tanveer Ilyas</v>
          </cell>
          <cell r="Y1198">
            <v>45021</v>
          </cell>
        </row>
        <row r="1199">
          <cell r="K1199">
            <v>5895</v>
          </cell>
          <cell r="L1199">
            <v>7736</v>
          </cell>
          <cell r="M1199" t="str">
            <v>Intiqal</v>
          </cell>
          <cell r="N1199" t="str">
            <v>Registry</v>
          </cell>
          <cell r="O1199">
            <v>2</v>
          </cell>
          <cell r="P1199">
            <v>7</v>
          </cell>
          <cell r="Q1199">
            <v>0</v>
          </cell>
          <cell r="R1199">
            <v>380600</v>
          </cell>
          <cell r="S1199">
            <v>0</v>
          </cell>
          <cell r="T1199">
            <v>-1</v>
          </cell>
          <cell r="U1199">
            <v>3</v>
          </cell>
          <cell r="V1199">
            <v>0</v>
          </cell>
          <cell r="W1199" t="str">
            <v>Sajid Mehmood</v>
          </cell>
          <cell r="X1199" t="str">
            <v>Sardar Rashid Ilyas Khan</v>
          </cell>
          <cell r="Y1199">
            <v>44998</v>
          </cell>
        </row>
        <row r="1200">
          <cell r="K1200">
            <v>687</v>
          </cell>
          <cell r="L1200">
            <v>5360</v>
          </cell>
          <cell r="M1200" t="str">
            <v>Not Available</v>
          </cell>
          <cell r="N1200" t="str">
            <v>Registry</v>
          </cell>
          <cell r="O1200">
            <v>10</v>
          </cell>
          <cell r="P1200">
            <v>14</v>
          </cell>
          <cell r="Q1200">
            <v>3.97</v>
          </cell>
          <cell r="R1200">
            <v>1200000</v>
          </cell>
          <cell r="S1200">
            <v>0</v>
          </cell>
          <cell r="T1200">
            <v>8</v>
          </cell>
          <cell r="U1200">
            <v>3</v>
          </cell>
          <cell r="V1200">
            <v>1.03</v>
          </cell>
          <cell r="W1200" t="str">
            <v>Shahid Mehmood</v>
          </cell>
          <cell r="X1200" t="str">
            <v>Sardar Rashid Ilyas Khan</v>
          </cell>
          <cell r="Y1200">
            <v>44977</v>
          </cell>
        </row>
        <row r="1201">
          <cell r="K1201">
            <v>652</v>
          </cell>
          <cell r="L1201">
            <v>4033</v>
          </cell>
          <cell r="M1201" t="str">
            <v>Intiqal</v>
          </cell>
          <cell r="N1201" t="str">
            <v>Registry</v>
          </cell>
          <cell r="O1201">
            <v>7</v>
          </cell>
          <cell r="P1201">
            <v>5</v>
          </cell>
          <cell r="Q1201">
            <v>0</v>
          </cell>
          <cell r="R1201">
            <v>823100</v>
          </cell>
          <cell r="S1201">
            <v>0</v>
          </cell>
          <cell r="T1201">
            <v>3</v>
          </cell>
          <cell r="U1201">
            <v>9</v>
          </cell>
          <cell r="V1201">
            <v>3.97</v>
          </cell>
          <cell r="W1201" t="str">
            <v>Shahzada Khan</v>
          </cell>
          <cell r="X1201" t="str">
            <v>Sardar Rashid Ilyas Khan</v>
          </cell>
          <cell r="Y1201">
            <v>44966</v>
          </cell>
        </row>
        <row r="1202">
          <cell r="L1202">
            <v>20854</v>
          </cell>
          <cell r="M1202" t="str">
            <v>Not Available</v>
          </cell>
          <cell r="N1202" t="str">
            <v>Not Available</v>
          </cell>
          <cell r="O1202">
            <v>0</v>
          </cell>
          <cell r="P1202">
            <v>18</v>
          </cell>
          <cell r="Q1202">
            <v>1.03</v>
          </cell>
          <cell r="R1202">
            <v>156400</v>
          </cell>
          <cell r="S1202">
            <v>0</v>
          </cell>
          <cell r="T1202">
            <v>7</v>
          </cell>
          <cell r="U1202">
            <v>-13</v>
          </cell>
          <cell r="V1202">
            <v>-1.03</v>
          </cell>
          <cell r="W1202" t="str">
            <v>Shahzada Khan</v>
          </cell>
          <cell r="X1202" t="str">
            <v>Sardar Tanveer Ilyas</v>
          </cell>
        </row>
        <row r="1203">
          <cell r="K1203">
            <v>4092</v>
          </cell>
          <cell r="L1203">
            <v>7785</v>
          </cell>
          <cell r="M1203" t="str">
            <v>Intiqal</v>
          </cell>
          <cell r="N1203" t="str">
            <v>Registry</v>
          </cell>
          <cell r="O1203">
            <v>0</v>
          </cell>
          <cell r="P1203">
            <v>7</v>
          </cell>
          <cell r="Q1203">
            <v>5.85</v>
          </cell>
          <cell r="R1203">
            <v>158000</v>
          </cell>
          <cell r="S1203">
            <v>0</v>
          </cell>
          <cell r="T1203">
            <v>1</v>
          </cell>
          <cell r="U1203">
            <v>11</v>
          </cell>
          <cell r="V1203">
            <v>0</v>
          </cell>
          <cell r="W1203" t="str">
            <v>Farhat Jabeen</v>
          </cell>
          <cell r="X1203" t="str">
            <v>Sardar Rashid Ilyas Khan</v>
          </cell>
          <cell r="Y1203">
            <v>44998</v>
          </cell>
        </row>
        <row r="1204">
          <cell r="K1204">
            <v>4019</v>
          </cell>
          <cell r="L1204">
            <v>6204</v>
          </cell>
          <cell r="M1204" t="str">
            <v>Intiqal</v>
          </cell>
          <cell r="N1204" t="str">
            <v>Registry</v>
          </cell>
          <cell r="O1204">
            <v>1</v>
          </cell>
          <cell r="P1204">
            <v>1</v>
          </cell>
          <cell r="Q1204">
            <v>0</v>
          </cell>
          <cell r="R1204">
            <v>253450</v>
          </cell>
          <cell r="S1204">
            <v>0</v>
          </cell>
          <cell r="T1204">
            <v>-1</v>
          </cell>
          <cell r="U1204">
            <v>6</v>
          </cell>
          <cell r="V1204">
            <v>5.85</v>
          </cell>
          <cell r="W1204" t="str">
            <v>Raja Nusrat Zaman</v>
          </cell>
          <cell r="X1204" t="str">
            <v>Sardar Rashid Ilyas Khan</v>
          </cell>
          <cell r="Y1204">
            <v>44984</v>
          </cell>
        </row>
        <row r="1205">
          <cell r="L1205">
            <v>1108</v>
          </cell>
          <cell r="M1205" t="str">
            <v>Not Available</v>
          </cell>
          <cell r="N1205" t="str">
            <v>Registry</v>
          </cell>
          <cell r="O1205">
            <v>0</v>
          </cell>
          <cell r="P1205">
            <v>8</v>
          </cell>
          <cell r="Q1205">
            <v>3</v>
          </cell>
          <cell r="R1205">
            <v>112000</v>
          </cell>
          <cell r="S1205">
            <v>0</v>
          </cell>
          <cell r="T1205">
            <v>1</v>
          </cell>
          <cell r="U1205">
            <v>-7</v>
          </cell>
          <cell r="V1205">
            <v>-3</v>
          </cell>
          <cell r="W1205" t="str">
            <v>Zahida Naeem</v>
          </cell>
          <cell r="X1205" t="str">
            <v>Sardar Yasir Ilyas</v>
          </cell>
          <cell r="Y1205">
            <v>44938</v>
          </cell>
        </row>
        <row r="1206">
          <cell r="K1206">
            <v>3944</v>
          </cell>
          <cell r="L1206">
            <v>2977</v>
          </cell>
          <cell r="M1206" t="str">
            <v>Intiqal</v>
          </cell>
          <cell r="N1206" t="str">
            <v>Registry</v>
          </cell>
          <cell r="O1206">
            <v>0</v>
          </cell>
          <cell r="P1206">
            <v>1</v>
          </cell>
          <cell r="Q1206">
            <v>6</v>
          </cell>
          <cell r="R1206">
            <v>40500</v>
          </cell>
          <cell r="S1206">
            <v>0</v>
          </cell>
          <cell r="T1206">
            <v>0</v>
          </cell>
          <cell r="U1206">
            <v>7</v>
          </cell>
          <cell r="V1206">
            <v>-3</v>
          </cell>
          <cell r="W1206" t="str">
            <v>Tahira Jabeen</v>
          </cell>
          <cell r="X1206" t="str">
            <v>Sardar Rashid Ilyas Khan</v>
          </cell>
          <cell r="Y1206">
            <v>44957</v>
          </cell>
        </row>
        <row r="1207">
          <cell r="K1207">
            <v>644</v>
          </cell>
          <cell r="L1207">
            <v>4245</v>
          </cell>
          <cell r="M1207" t="str">
            <v>Intiqal</v>
          </cell>
          <cell r="N1207" t="str">
            <v>Registry</v>
          </cell>
          <cell r="O1207">
            <v>7</v>
          </cell>
          <cell r="P1207">
            <v>3</v>
          </cell>
          <cell r="Q1207">
            <v>6</v>
          </cell>
          <cell r="R1207">
            <v>3465100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 t="str">
            <v>Aurangzeb</v>
          </cell>
          <cell r="X1207" t="str">
            <v>Sardar Rashid Ilyas Khan</v>
          </cell>
          <cell r="Y1207">
            <v>44967</v>
          </cell>
        </row>
        <row r="1208">
          <cell r="K1208">
            <v>122</v>
          </cell>
          <cell r="L1208">
            <v>18326</v>
          </cell>
          <cell r="M1208" t="str">
            <v>Not Available</v>
          </cell>
          <cell r="N1208" t="str">
            <v>Registry</v>
          </cell>
          <cell r="O1208">
            <v>0</v>
          </cell>
          <cell r="P1208">
            <v>8</v>
          </cell>
          <cell r="Q1208">
            <v>0</v>
          </cell>
          <cell r="R1208">
            <v>134700</v>
          </cell>
          <cell r="S1208">
            <v>0</v>
          </cell>
          <cell r="T1208">
            <v>9</v>
          </cell>
          <cell r="U1208">
            <v>-8</v>
          </cell>
          <cell r="V1208">
            <v>0</v>
          </cell>
          <cell r="W1208" t="str">
            <v>Zubair Ahmed</v>
          </cell>
          <cell r="X1208" t="str">
            <v>Sardar Tanveer Ilyas</v>
          </cell>
          <cell r="Y1208">
            <v>45101</v>
          </cell>
        </row>
        <row r="1209">
          <cell r="K1209">
            <v>145</v>
          </cell>
          <cell r="L1209">
            <v>14897</v>
          </cell>
          <cell r="M1209" t="str">
            <v>Intiqal</v>
          </cell>
          <cell r="N1209" t="str">
            <v>Registry</v>
          </cell>
          <cell r="O1209">
            <v>0</v>
          </cell>
          <cell r="P1209">
            <v>12</v>
          </cell>
          <cell r="Q1209">
            <v>0</v>
          </cell>
          <cell r="R1209">
            <v>272600</v>
          </cell>
          <cell r="S1209">
            <v>0</v>
          </cell>
          <cell r="T1209">
            <v>0</v>
          </cell>
          <cell r="U1209">
            <v>-4</v>
          </cell>
          <cell r="V1209">
            <v>0</v>
          </cell>
          <cell r="W1209" t="str">
            <v>Zubair Ahmed</v>
          </cell>
          <cell r="X1209" t="str">
            <v>Sardar Tanveer Ilyas</v>
          </cell>
          <cell r="Y1209">
            <v>45076</v>
          </cell>
        </row>
        <row r="1210">
          <cell r="K1210">
            <v>144</v>
          </cell>
          <cell r="L1210">
            <v>12169</v>
          </cell>
          <cell r="M1210" t="str">
            <v>Intiqal</v>
          </cell>
          <cell r="N1210" t="str">
            <v>Registry</v>
          </cell>
          <cell r="O1210">
            <v>1</v>
          </cell>
          <cell r="P1210">
            <v>0</v>
          </cell>
          <cell r="Q1210">
            <v>0</v>
          </cell>
          <cell r="R1210">
            <v>435100</v>
          </cell>
          <cell r="S1210">
            <v>0</v>
          </cell>
          <cell r="T1210">
            <v>-1</v>
          </cell>
          <cell r="U1210">
            <v>12</v>
          </cell>
          <cell r="V1210">
            <v>0</v>
          </cell>
          <cell r="W1210" t="str">
            <v>Zahida Parveen</v>
          </cell>
          <cell r="X1210" t="str">
            <v>Sardar Tanveer Ilyas</v>
          </cell>
          <cell r="Y1210">
            <v>45052</v>
          </cell>
        </row>
        <row r="1211">
          <cell r="K1211">
            <v>124</v>
          </cell>
          <cell r="L1211">
            <v>5454</v>
          </cell>
          <cell r="M1211" t="str">
            <v>Not Available</v>
          </cell>
          <cell r="N1211" t="str">
            <v>Registry</v>
          </cell>
          <cell r="O1211">
            <v>7</v>
          </cell>
          <cell r="P1211">
            <v>0</v>
          </cell>
          <cell r="Q1211">
            <v>0</v>
          </cell>
          <cell r="R1211">
            <v>2077100</v>
          </cell>
          <cell r="S1211">
            <v>0</v>
          </cell>
          <cell r="T1211">
            <v>-6</v>
          </cell>
          <cell r="U1211">
            <v>0</v>
          </cell>
          <cell r="V1211">
            <v>0</v>
          </cell>
          <cell r="W1211" t="str">
            <v>Malik Zubair Awan</v>
          </cell>
          <cell r="X1211" t="str">
            <v>Sardar Rashid Ilyas Khan</v>
          </cell>
          <cell r="Y1211">
            <v>44978</v>
          </cell>
        </row>
        <row r="1212">
          <cell r="L1212">
            <v>7560</v>
          </cell>
          <cell r="M1212" t="str">
            <v>Not Available</v>
          </cell>
          <cell r="N1212" t="str">
            <v>Not Available</v>
          </cell>
          <cell r="O1212">
            <v>16</v>
          </cell>
          <cell r="P1212">
            <v>17</v>
          </cell>
          <cell r="Q1212">
            <v>3</v>
          </cell>
          <cell r="R1212">
            <v>1907100</v>
          </cell>
          <cell r="S1212">
            <v>0</v>
          </cell>
          <cell r="T1212">
            <v>5</v>
          </cell>
          <cell r="U1212">
            <v>0</v>
          </cell>
          <cell r="V1212">
            <v>4</v>
          </cell>
          <cell r="W1212" t="str">
            <v>Muhammad Iqbal</v>
          </cell>
          <cell r="X1212" t="str">
            <v>Taj Residencia</v>
          </cell>
        </row>
        <row r="1213">
          <cell r="L1213">
            <v>7559</v>
          </cell>
          <cell r="M1213" t="str">
            <v>Not Available</v>
          </cell>
          <cell r="N1213" t="str">
            <v>Not Available</v>
          </cell>
          <cell r="O1213">
            <v>5</v>
          </cell>
          <cell r="P1213">
            <v>0</v>
          </cell>
          <cell r="Q1213">
            <v>4</v>
          </cell>
          <cell r="R1213">
            <v>598100</v>
          </cell>
          <cell r="S1213">
            <v>0</v>
          </cell>
          <cell r="T1213">
            <v>11</v>
          </cell>
          <cell r="U1213">
            <v>17</v>
          </cell>
          <cell r="V1213">
            <v>-1</v>
          </cell>
          <cell r="W1213" t="str">
            <v>Mukhtar Beghum</v>
          </cell>
          <cell r="X1213" t="str">
            <v>Taj Residencia</v>
          </cell>
        </row>
        <row r="1214">
          <cell r="K1214">
            <v>5728</v>
          </cell>
          <cell r="L1214">
            <v>6725</v>
          </cell>
          <cell r="M1214" t="str">
            <v>Not Available</v>
          </cell>
          <cell r="N1214" t="str">
            <v>Registry</v>
          </cell>
          <cell r="O1214">
            <v>0</v>
          </cell>
          <cell r="P1214">
            <v>3</v>
          </cell>
          <cell r="Q1214">
            <v>0</v>
          </cell>
          <cell r="R1214">
            <v>12500</v>
          </cell>
          <cell r="S1214">
            <v>0</v>
          </cell>
          <cell r="T1214">
            <v>3</v>
          </cell>
          <cell r="U1214">
            <v>4</v>
          </cell>
          <cell r="V1214">
            <v>0</v>
          </cell>
          <cell r="W1214" t="str">
            <v>Tazeem Mushtaq</v>
          </cell>
          <cell r="X1214" t="str">
            <v>Sardar Rashid Ilyas Khan</v>
          </cell>
          <cell r="Y1214">
            <v>44989</v>
          </cell>
        </row>
        <row r="1215">
          <cell r="K1215">
            <v>6059</v>
          </cell>
          <cell r="L1215">
            <v>6724</v>
          </cell>
          <cell r="M1215" t="str">
            <v>Intiqal</v>
          </cell>
          <cell r="N1215" t="str">
            <v>Registry</v>
          </cell>
          <cell r="O1215">
            <v>0</v>
          </cell>
          <cell r="P1215">
            <v>13</v>
          </cell>
          <cell r="Q1215">
            <v>0</v>
          </cell>
          <cell r="R1215">
            <v>201600</v>
          </cell>
          <cell r="S1215">
            <v>0</v>
          </cell>
          <cell r="T1215">
            <v>0</v>
          </cell>
          <cell r="U1215">
            <v>-10</v>
          </cell>
          <cell r="V1215">
            <v>0</v>
          </cell>
          <cell r="W1215" t="str">
            <v>Hafiz Ejaz Hussain</v>
          </cell>
          <cell r="X1215" t="str">
            <v>Sardar Rashid Ilyas Khan</v>
          </cell>
          <cell r="Y1215">
            <v>44986</v>
          </cell>
        </row>
        <row r="1216">
          <cell r="K1216">
            <v>5726</v>
          </cell>
          <cell r="L1216">
            <v>6722</v>
          </cell>
          <cell r="M1216" t="str">
            <v>Not Available</v>
          </cell>
          <cell r="N1216" t="str">
            <v>Registry</v>
          </cell>
          <cell r="O1216">
            <v>0</v>
          </cell>
          <cell r="P1216">
            <v>5</v>
          </cell>
          <cell r="Q1216">
            <v>0</v>
          </cell>
          <cell r="R1216">
            <v>79600</v>
          </cell>
          <cell r="S1216">
            <v>0</v>
          </cell>
          <cell r="T1216">
            <v>0</v>
          </cell>
          <cell r="U1216">
            <v>8</v>
          </cell>
          <cell r="V1216">
            <v>0</v>
          </cell>
          <cell r="W1216" t="str">
            <v>Muhammad Imtiaz</v>
          </cell>
          <cell r="X1216" t="str">
            <v>Sardar Rashid Ilyas Khan</v>
          </cell>
          <cell r="Y1216">
            <v>44989</v>
          </cell>
        </row>
        <row r="1217">
          <cell r="K1217">
            <v>5744</v>
          </cell>
          <cell r="L1217">
            <v>6490</v>
          </cell>
          <cell r="M1217" t="str">
            <v>Not Available</v>
          </cell>
          <cell r="N1217" t="str">
            <v>Registry</v>
          </cell>
          <cell r="O1217">
            <v>2</v>
          </cell>
          <cell r="P1217">
            <v>0</v>
          </cell>
          <cell r="Q1217">
            <v>0</v>
          </cell>
          <cell r="R1217">
            <v>297100</v>
          </cell>
          <cell r="S1217">
            <v>0</v>
          </cell>
          <cell r="T1217">
            <v>-2</v>
          </cell>
          <cell r="U1217">
            <v>5</v>
          </cell>
          <cell r="V1217">
            <v>0</v>
          </cell>
          <cell r="W1217" t="str">
            <v>Ansar Bibi</v>
          </cell>
          <cell r="X1217" t="str">
            <v>Sardar Rashid Ilyas Khan</v>
          </cell>
          <cell r="Y1217">
            <v>44987</v>
          </cell>
        </row>
        <row r="1218">
          <cell r="K1218">
            <v>5738</v>
          </cell>
          <cell r="L1218">
            <v>6723</v>
          </cell>
          <cell r="M1218" t="str">
            <v>Intiqal</v>
          </cell>
          <cell r="N1218" t="str">
            <v>Registry</v>
          </cell>
          <cell r="O1218">
            <v>0</v>
          </cell>
          <cell r="P1218">
            <v>6</v>
          </cell>
          <cell r="Q1218">
            <v>0</v>
          </cell>
          <cell r="R1218">
            <v>86600</v>
          </cell>
          <cell r="S1218">
            <v>0</v>
          </cell>
          <cell r="T1218">
            <v>2</v>
          </cell>
          <cell r="U1218">
            <v>-6</v>
          </cell>
          <cell r="V1218">
            <v>0</v>
          </cell>
          <cell r="W1218" t="str">
            <v>Jaweda Jan</v>
          </cell>
          <cell r="X1218" t="str">
            <v>Sardar Rashid Ilyas Khan</v>
          </cell>
          <cell r="Y1218">
            <v>44989</v>
          </cell>
        </row>
        <row r="1219">
          <cell r="K1219">
            <v>4950</v>
          </cell>
          <cell r="L1219">
            <v>9966</v>
          </cell>
          <cell r="M1219" t="str">
            <v>Intiqal</v>
          </cell>
          <cell r="N1219" t="str">
            <v>Registry</v>
          </cell>
          <cell r="O1219">
            <v>0</v>
          </cell>
          <cell r="P1219">
            <v>5</v>
          </cell>
          <cell r="Q1219">
            <v>0</v>
          </cell>
          <cell r="R1219">
            <v>66600</v>
          </cell>
          <cell r="S1219">
            <v>0</v>
          </cell>
          <cell r="T1219">
            <v>5</v>
          </cell>
          <cell r="U1219">
            <v>-1</v>
          </cell>
          <cell r="V1219">
            <v>7</v>
          </cell>
          <cell r="W1219" t="str">
            <v>Muhammad Asif</v>
          </cell>
          <cell r="X1219" t="str">
            <v>Sardar Tanveer Ilyas</v>
          </cell>
          <cell r="Y1219">
            <v>45274</v>
          </cell>
        </row>
        <row r="1220">
          <cell r="K1220">
            <v>5266</v>
          </cell>
          <cell r="L1220">
            <v>8864</v>
          </cell>
          <cell r="M1220" t="str">
            <v>Intiqal</v>
          </cell>
          <cell r="N1220" t="str">
            <v>Registry</v>
          </cell>
          <cell r="O1220">
            <v>4</v>
          </cell>
          <cell r="P1220">
            <v>19</v>
          </cell>
          <cell r="Q1220">
            <v>7</v>
          </cell>
          <cell r="R1220">
            <v>1028100</v>
          </cell>
          <cell r="S1220">
            <v>0</v>
          </cell>
          <cell r="T1220">
            <v>-4</v>
          </cell>
          <cell r="U1220">
            <v>-14</v>
          </cell>
          <cell r="V1220">
            <v>-7</v>
          </cell>
          <cell r="W1220" t="str">
            <v>Ghulam Mustafa</v>
          </cell>
          <cell r="X1220" t="str">
            <v>Sardar Rashid Ilyas Khan</v>
          </cell>
          <cell r="Y1220">
            <v>45006</v>
          </cell>
        </row>
        <row r="1221">
          <cell r="K1221">
            <v>5257</v>
          </cell>
          <cell r="L1221">
            <v>8863</v>
          </cell>
          <cell r="M1221" t="str">
            <v>Intiqal</v>
          </cell>
          <cell r="N1221" t="str">
            <v>Registry</v>
          </cell>
          <cell r="O1221">
            <v>2</v>
          </cell>
          <cell r="P1221">
            <v>8</v>
          </cell>
          <cell r="Q1221">
            <v>4.5</v>
          </cell>
          <cell r="R1221">
            <v>515350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 t="str">
            <v>Ghulam Mustafa</v>
          </cell>
          <cell r="X1221" t="str">
            <v>Sardar Rashid Ilyas Khan</v>
          </cell>
          <cell r="Y1221">
            <v>45006</v>
          </cell>
        </row>
        <row r="1222">
          <cell r="L1222">
            <v>8861</v>
          </cell>
          <cell r="M1222" t="str">
            <v>Not Available</v>
          </cell>
          <cell r="N1222" t="str">
            <v>Registry</v>
          </cell>
          <cell r="O1222">
            <v>3</v>
          </cell>
          <cell r="P1222">
            <v>1</v>
          </cell>
          <cell r="Q1222">
            <v>0</v>
          </cell>
          <cell r="R1222">
            <v>1477100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 t="str">
            <v>Ghulam Mustafa</v>
          </cell>
          <cell r="X1222" t="str">
            <v>Sardar Rashid Ilyas Khan</v>
          </cell>
          <cell r="Y1222">
            <v>45006</v>
          </cell>
        </row>
        <row r="1223">
          <cell r="K1223">
            <v>695</v>
          </cell>
          <cell r="L1223">
            <v>8862</v>
          </cell>
          <cell r="M1223" t="str">
            <v>Intiqal</v>
          </cell>
          <cell r="N1223" t="str">
            <v>Registry</v>
          </cell>
          <cell r="O1223">
            <v>7</v>
          </cell>
          <cell r="P1223">
            <v>14</v>
          </cell>
          <cell r="Q1223">
            <v>5</v>
          </cell>
          <cell r="R1223">
            <v>1669100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 t="str">
            <v>Ghulam Mustafa</v>
          </cell>
          <cell r="X1223" t="str">
            <v>Sardar Rashid Ilyas Khan</v>
          </cell>
          <cell r="Y1223">
            <v>45006</v>
          </cell>
        </row>
        <row r="1224">
          <cell r="K1224">
            <v>5280</v>
          </cell>
          <cell r="L1224">
            <v>11456</v>
          </cell>
          <cell r="M1224" t="str">
            <v>Intiqal</v>
          </cell>
          <cell r="N1224" t="str">
            <v>Registry</v>
          </cell>
          <cell r="O1224">
            <v>1</v>
          </cell>
          <cell r="P1224">
            <v>0</v>
          </cell>
          <cell r="Q1224">
            <v>0</v>
          </cell>
          <cell r="R1224">
            <v>210100</v>
          </cell>
          <cell r="S1224">
            <v>0</v>
          </cell>
          <cell r="T1224">
            <v>3</v>
          </cell>
          <cell r="U1224">
            <v>13</v>
          </cell>
          <cell r="V1224">
            <v>0</v>
          </cell>
          <cell r="W1224" t="str">
            <v>Muhammad usman</v>
          </cell>
          <cell r="X1224" t="str">
            <v>Sardar Tanveer Ilyas</v>
          </cell>
          <cell r="Y1224">
            <v>45034</v>
          </cell>
        </row>
        <row r="1225">
          <cell r="K1225">
            <v>5259</v>
          </cell>
          <cell r="L1225">
            <v>10613</v>
          </cell>
          <cell r="M1225" t="str">
            <v>Intiqal</v>
          </cell>
          <cell r="N1225" t="str">
            <v>Registry</v>
          </cell>
          <cell r="O1225">
            <v>0</v>
          </cell>
          <cell r="P1225">
            <v>4</v>
          </cell>
          <cell r="Q1225">
            <v>1</v>
          </cell>
          <cell r="R1225">
            <v>59600</v>
          </cell>
          <cell r="S1225">
            <v>0</v>
          </cell>
          <cell r="T1225">
            <v>1</v>
          </cell>
          <cell r="U1225">
            <v>-4</v>
          </cell>
          <cell r="V1225">
            <v>-1</v>
          </cell>
          <cell r="W1225" t="str">
            <v>Muhammad Hanif</v>
          </cell>
          <cell r="X1225" t="str">
            <v>Sardar Tanveer Ilyas</v>
          </cell>
          <cell r="Y1225">
            <v>45026</v>
          </cell>
        </row>
        <row r="1226">
          <cell r="K1226">
            <v>5258</v>
          </cell>
          <cell r="L1226">
            <v>10614</v>
          </cell>
          <cell r="M1226" t="str">
            <v>Intiqal</v>
          </cell>
          <cell r="N1226" t="str">
            <v>Registry</v>
          </cell>
          <cell r="O1226">
            <v>1</v>
          </cell>
          <cell r="P1226">
            <v>0</v>
          </cell>
          <cell r="Q1226">
            <v>8</v>
          </cell>
          <cell r="R1226">
            <v>140600</v>
          </cell>
          <cell r="S1226">
            <v>0</v>
          </cell>
          <cell r="T1226">
            <v>-1</v>
          </cell>
          <cell r="U1226">
            <v>4</v>
          </cell>
          <cell r="V1226">
            <v>-7</v>
          </cell>
          <cell r="W1226" t="str">
            <v>Muhammad Shakeel</v>
          </cell>
          <cell r="X1226" t="str">
            <v>Sardar Tanveer Ilyas</v>
          </cell>
          <cell r="Y1226">
            <v>45026</v>
          </cell>
        </row>
        <row r="1227">
          <cell r="K1227">
            <v>4943</v>
          </cell>
          <cell r="L1227">
            <v>7572</v>
          </cell>
          <cell r="M1227" t="str">
            <v>Intiqal</v>
          </cell>
          <cell r="N1227" t="str">
            <v>Registry</v>
          </cell>
          <cell r="O1227">
            <v>0</v>
          </cell>
          <cell r="P1227">
            <v>3</v>
          </cell>
          <cell r="Q1227">
            <v>0</v>
          </cell>
          <cell r="R1227">
            <v>46100</v>
          </cell>
          <cell r="S1227">
            <v>0</v>
          </cell>
          <cell r="T1227">
            <v>1</v>
          </cell>
          <cell r="U1227">
            <v>-3</v>
          </cell>
          <cell r="V1227">
            <v>8</v>
          </cell>
          <cell r="W1227" t="str">
            <v>Qazi Abdul Mujeed Qureshi</v>
          </cell>
          <cell r="X1227" t="str">
            <v>Sardar Rashid Ilyas Khan</v>
          </cell>
          <cell r="Y1227">
            <v>44996</v>
          </cell>
        </row>
        <row r="1228">
          <cell r="L1228">
            <v>7577</v>
          </cell>
          <cell r="M1228" t="str">
            <v>Not Available</v>
          </cell>
          <cell r="N1228" t="str">
            <v>Not Available</v>
          </cell>
          <cell r="O1228">
            <v>1</v>
          </cell>
          <cell r="P1228">
            <v>0</v>
          </cell>
          <cell r="Q1228">
            <v>0</v>
          </cell>
          <cell r="R1228">
            <v>293100</v>
          </cell>
          <cell r="S1228">
            <v>0</v>
          </cell>
          <cell r="T1228">
            <v>-1</v>
          </cell>
          <cell r="U1228">
            <v>3</v>
          </cell>
          <cell r="V1228">
            <v>0</v>
          </cell>
          <cell r="W1228" t="str">
            <v>Sattar Ahmed</v>
          </cell>
          <cell r="X1228" t="str">
            <v>Sardar Rashid Ilyas Khan</v>
          </cell>
        </row>
        <row r="1229">
          <cell r="K1229">
            <v>4949</v>
          </cell>
          <cell r="L1229">
            <v>7534</v>
          </cell>
          <cell r="M1229" t="str">
            <v>Intiqal</v>
          </cell>
          <cell r="N1229" t="str">
            <v>Registry</v>
          </cell>
          <cell r="O1229">
            <v>1</v>
          </cell>
          <cell r="P1229">
            <v>5</v>
          </cell>
          <cell r="Q1229">
            <v>0</v>
          </cell>
          <cell r="R1229">
            <v>166600</v>
          </cell>
          <cell r="S1229">
            <v>0</v>
          </cell>
          <cell r="T1229">
            <v>0</v>
          </cell>
          <cell r="U1229">
            <v>-5</v>
          </cell>
          <cell r="V1229">
            <v>0</v>
          </cell>
          <cell r="W1229" t="str">
            <v>Akhash Hussain</v>
          </cell>
          <cell r="X1229" t="str">
            <v>Taj Residencia</v>
          </cell>
          <cell r="Y1229">
            <v>44995</v>
          </cell>
        </row>
        <row r="1230">
          <cell r="K1230">
            <v>6046</v>
          </cell>
          <cell r="L1230">
            <v>8373</v>
          </cell>
          <cell r="M1230" t="str">
            <v>Intiqal</v>
          </cell>
          <cell r="N1230" t="str">
            <v>Registry</v>
          </cell>
          <cell r="O1230">
            <v>2</v>
          </cell>
          <cell r="P1230">
            <v>6</v>
          </cell>
          <cell r="Q1230">
            <v>0</v>
          </cell>
          <cell r="R1230">
            <v>535100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 t="str">
            <v>Juma Khan</v>
          </cell>
          <cell r="X1230" t="str">
            <v>Sardar Tanveer Ilyas</v>
          </cell>
          <cell r="Y1230">
            <v>45368</v>
          </cell>
        </row>
        <row r="1231">
          <cell r="K1231">
            <v>6147</v>
          </cell>
          <cell r="L1231">
            <v>8371</v>
          </cell>
          <cell r="M1231" t="str">
            <v>Intiqal</v>
          </cell>
          <cell r="N1231" t="str">
            <v>Registry</v>
          </cell>
          <cell r="O1231">
            <v>1</v>
          </cell>
          <cell r="P1231">
            <v>0</v>
          </cell>
          <cell r="Q1231">
            <v>0</v>
          </cell>
          <cell r="R1231">
            <v>233600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 t="str">
            <v>Muhammad Imran Shafique</v>
          </cell>
          <cell r="X1231" t="str">
            <v>Sardar Tanveer Ilyas</v>
          </cell>
          <cell r="Y1231">
            <v>45002</v>
          </cell>
        </row>
        <row r="1232">
          <cell r="K1232">
            <v>5606</v>
          </cell>
          <cell r="L1232">
            <v>10992</v>
          </cell>
          <cell r="M1232" t="str">
            <v>Intiqal</v>
          </cell>
          <cell r="N1232" t="str">
            <v>Registry</v>
          </cell>
          <cell r="O1232">
            <v>0</v>
          </cell>
          <cell r="P1232">
            <v>10</v>
          </cell>
          <cell r="Q1232">
            <v>0</v>
          </cell>
          <cell r="R1232">
            <v>141100</v>
          </cell>
          <cell r="S1232">
            <v>0</v>
          </cell>
          <cell r="T1232">
            <v>1</v>
          </cell>
          <cell r="U1232">
            <v>-10</v>
          </cell>
          <cell r="V1232">
            <v>0</v>
          </cell>
          <cell r="W1232" t="str">
            <v>Muhammad Bashir</v>
          </cell>
          <cell r="X1232" t="str">
            <v>Sardar Tanveer Ilyas</v>
          </cell>
          <cell r="Y1232">
            <v>45029</v>
          </cell>
        </row>
        <row r="1233">
          <cell r="K1233">
            <v>5743</v>
          </cell>
          <cell r="L1233">
            <v>10299</v>
          </cell>
          <cell r="M1233" t="str">
            <v>Not Available</v>
          </cell>
          <cell r="N1233" t="str">
            <v>Registry</v>
          </cell>
          <cell r="O1233">
            <v>0</v>
          </cell>
          <cell r="P1233">
            <v>10</v>
          </cell>
          <cell r="Q1233">
            <v>0</v>
          </cell>
          <cell r="R1233">
            <v>141100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 t="str">
            <v>Muhammad Mumtaz Khan</v>
          </cell>
          <cell r="X1233" t="str">
            <v>Sardar Tanveer Ilyas</v>
          </cell>
          <cell r="Y1233">
            <v>45021</v>
          </cell>
        </row>
        <row r="1234">
          <cell r="K1234">
            <v>5789</v>
          </cell>
          <cell r="L1234">
            <v>15927</v>
          </cell>
          <cell r="M1234" t="str">
            <v>Intiqal</v>
          </cell>
          <cell r="N1234" t="str">
            <v>Registry</v>
          </cell>
          <cell r="O1234">
            <v>0</v>
          </cell>
          <cell r="P1234">
            <v>5</v>
          </cell>
          <cell r="Q1234">
            <v>0</v>
          </cell>
          <cell r="R1234">
            <v>59600</v>
          </cell>
          <cell r="S1234">
            <v>0</v>
          </cell>
          <cell r="T1234">
            <v>5</v>
          </cell>
          <cell r="U1234">
            <v>0</v>
          </cell>
          <cell r="V1234">
            <v>0</v>
          </cell>
          <cell r="W1234" t="str">
            <v>Syed Bashir Hussain Shah</v>
          </cell>
          <cell r="X1234" t="str">
            <v>Sardar Tanveer Ilyas</v>
          </cell>
          <cell r="Y1234">
            <v>45084</v>
          </cell>
        </row>
        <row r="1235">
          <cell r="K1235">
            <v>6087</v>
          </cell>
          <cell r="L1235">
            <v>15929</v>
          </cell>
          <cell r="M1235" t="str">
            <v>Intiqal</v>
          </cell>
          <cell r="N1235" t="str">
            <v>Registry</v>
          </cell>
          <cell r="O1235">
            <v>0</v>
          </cell>
          <cell r="P1235">
            <v>5</v>
          </cell>
          <cell r="Q1235">
            <v>0</v>
          </cell>
          <cell r="R1235">
            <v>59600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 t="str">
            <v>Muhammad Wazir</v>
          </cell>
          <cell r="X1235" t="str">
            <v>Sardar Tanveer Ilyas</v>
          </cell>
          <cell r="Y1235">
            <v>45815</v>
          </cell>
        </row>
        <row r="1236">
          <cell r="K1236">
            <v>5727</v>
          </cell>
          <cell r="L1236">
            <v>11347</v>
          </cell>
          <cell r="M1236" t="str">
            <v>Not Available</v>
          </cell>
          <cell r="N1236" t="str">
            <v>Registry</v>
          </cell>
          <cell r="O1236">
            <v>0</v>
          </cell>
          <cell r="P1236">
            <v>10</v>
          </cell>
          <cell r="Q1236">
            <v>0</v>
          </cell>
          <cell r="R1236">
            <v>181100</v>
          </cell>
          <cell r="S1236">
            <v>0</v>
          </cell>
          <cell r="T1236">
            <v>0</v>
          </cell>
          <cell r="U1236">
            <v>-5</v>
          </cell>
          <cell r="V1236">
            <v>0</v>
          </cell>
          <cell r="W1236" t="str">
            <v>Khalid Mir</v>
          </cell>
          <cell r="X1236" t="str">
            <v>Sardar Tanveer Ilyas</v>
          </cell>
          <cell r="Y1236">
            <v>45274</v>
          </cell>
        </row>
        <row r="1237">
          <cell r="K1237">
            <v>6000</v>
          </cell>
          <cell r="L1237">
            <v>11443</v>
          </cell>
          <cell r="M1237" t="str">
            <v>Intiqal</v>
          </cell>
          <cell r="N1237" t="str">
            <v>Registry</v>
          </cell>
          <cell r="O1237">
            <v>1</v>
          </cell>
          <cell r="P1237">
            <v>0</v>
          </cell>
          <cell r="Q1237">
            <v>0</v>
          </cell>
          <cell r="R1237">
            <v>325100</v>
          </cell>
          <cell r="S1237">
            <v>0</v>
          </cell>
          <cell r="T1237">
            <v>-1</v>
          </cell>
          <cell r="U1237">
            <v>10</v>
          </cell>
          <cell r="V1237">
            <v>0</v>
          </cell>
          <cell r="W1237" t="str">
            <v>Asad Arif</v>
          </cell>
          <cell r="X1237" t="str">
            <v>Sardar Tanveer Ilyas</v>
          </cell>
          <cell r="Y1237">
            <v>45034</v>
          </cell>
        </row>
        <row r="1238">
          <cell r="K1238">
            <v>6001</v>
          </cell>
          <cell r="L1238">
            <v>11442</v>
          </cell>
          <cell r="M1238" t="str">
            <v>Intiqal</v>
          </cell>
          <cell r="N1238" t="str">
            <v>Registry</v>
          </cell>
          <cell r="O1238">
            <v>1</v>
          </cell>
          <cell r="P1238">
            <v>0</v>
          </cell>
          <cell r="Q1238">
            <v>0</v>
          </cell>
          <cell r="R1238">
            <v>240100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 t="str">
            <v>Afsheen Fayyaz</v>
          </cell>
          <cell r="X1238" t="str">
            <v>Sardar Tanveer Ilyas</v>
          </cell>
          <cell r="Y1238">
            <v>45034</v>
          </cell>
        </row>
        <row r="1239">
          <cell r="K1239">
            <v>6039</v>
          </cell>
          <cell r="L1239">
            <v>11467</v>
          </cell>
          <cell r="M1239" t="str">
            <v>Intiqal</v>
          </cell>
          <cell r="N1239" t="str">
            <v>Registry</v>
          </cell>
          <cell r="O1239">
            <v>0</v>
          </cell>
          <cell r="P1239">
            <v>15</v>
          </cell>
          <cell r="Q1239">
            <v>0</v>
          </cell>
          <cell r="R1239">
            <v>188100</v>
          </cell>
          <cell r="S1239">
            <v>0</v>
          </cell>
          <cell r="T1239">
            <v>1</v>
          </cell>
          <cell r="U1239">
            <v>-15</v>
          </cell>
          <cell r="V1239">
            <v>0</v>
          </cell>
          <cell r="W1239" t="str">
            <v>Khurram Khan</v>
          </cell>
          <cell r="X1239" t="str">
            <v>Sardar Tanveer Ilyas</v>
          </cell>
          <cell r="Y1239">
            <v>45034</v>
          </cell>
        </row>
        <row r="1240">
          <cell r="L1240">
            <v>10110</v>
          </cell>
          <cell r="M1240" t="str">
            <v>Not Available</v>
          </cell>
          <cell r="N1240" t="str">
            <v>Not Available</v>
          </cell>
          <cell r="O1240">
            <v>1</v>
          </cell>
          <cell r="P1240">
            <v>0</v>
          </cell>
          <cell r="Q1240">
            <v>0</v>
          </cell>
          <cell r="R1240">
            <v>162100</v>
          </cell>
          <cell r="S1240">
            <v>0</v>
          </cell>
          <cell r="T1240">
            <v>-1</v>
          </cell>
          <cell r="U1240">
            <v>15</v>
          </cell>
          <cell r="V1240">
            <v>0</v>
          </cell>
          <cell r="W1240" t="str">
            <v>Juma Khan</v>
          </cell>
          <cell r="X1240" t="str">
            <v>Sardar Tanveer Ilyas</v>
          </cell>
        </row>
        <row r="1241">
          <cell r="K1241">
            <v>5730</v>
          </cell>
          <cell r="L1241">
            <v>10755</v>
          </cell>
          <cell r="M1241" t="str">
            <v>Not Available</v>
          </cell>
          <cell r="N1241" t="str">
            <v>Registry</v>
          </cell>
          <cell r="O1241">
            <v>0</v>
          </cell>
          <cell r="P1241">
            <v>10</v>
          </cell>
          <cell r="Q1241">
            <v>0</v>
          </cell>
          <cell r="R1241">
            <v>96100</v>
          </cell>
          <cell r="S1241">
            <v>0</v>
          </cell>
          <cell r="T1241">
            <v>1</v>
          </cell>
          <cell r="U1241">
            <v>-10</v>
          </cell>
          <cell r="V1241">
            <v>0</v>
          </cell>
          <cell r="W1241" t="str">
            <v>M Shareef ud din Nasir</v>
          </cell>
          <cell r="X1241" t="str">
            <v>Sardar Tanveer Ilyas</v>
          </cell>
          <cell r="Y1241">
            <v>45306</v>
          </cell>
        </row>
        <row r="1242">
          <cell r="L1242">
            <v>11681</v>
          </cell>
          <cell r="M1242" t="str">
            <v>Not Available</v>
          </cell>
          <cell r="N1242" t="str">
            <v>Registry</v>
          </cell>
          <cell r="O1242">
            <v>1</v>
          </cell>
          <cell r="P1242">
            <v>2</v>
          </cell>
          <cell r="Q1242">
            <v>0</v>
          </cell>
          <cell r="R1242">
            <v>214100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 t="str">
            <v>Muhammad Banaras</v>
          </cell>
          <cell r="X1242" t="str">
            <v>Sardar Tanveer Ilyas</v>
          </cell>
          <cell r="Y1242">
            <v>45045</v>
          </cell>
        </row>
        <row r="1243">
          <cell r="K1243">
            <v>4159</v>
          </cell>
          <cell r="L1243">
            <v>20433</v>
          </cell>
          <cell r="M1243" t="str">
            <v>Intiqal</v>
          </cell>
          <cell r="N1243" t="str">
            <v>Registry</v>
          </cell>
          <cell r="O1243">
            <v>0</v>
          </cell>
          <cell r="P1243">
            <v>4</v>
          </cell>
          <cell r="Q1243">
            <v>4.96</v>
          </cell>
          <cell r="R1243">
            <v>0</v>
          </cell>
          <cell r="S1243">
            <v>0</v>
          </cell>
          <cell r="T1243">
            <v>21</v>
          </cell>
          <cell r="U1243">
            <v>0</v>
          </cell>
          <cell r="V1243">
            <v>-0.35</v>
          </cell>
          <cell r="W1243" t="str">
            <v>Abdul Qadeer</v>
          </cell>
          <cell r="X1243" t="str">
            <v>Sardar Tanveer Ilyas</v>
          </cell>
          <cell r="Y1243">
            <v>45688</v>
          </cell>
        </row>
        <row r="1244">
          <cell r="L1244">
            <v>20393</v>
          </cell>
          <cell r="M1244" t="str">
            <v>Not Available</v>
          </cell>
          <cell r="N1244" t="str">
            <v>Registry</v>
          </cell>
          <cell r="O1244">
            <v>1</v>
          </cell>
          <cell r="P1244">
            <v>0</v>
          </cell>
          <cell r="Q1244">
            <v>0</v>
          </cell>
          <cell r="R1244">
            <v>331800</v>
          </cell>
          <cell r="S1244">
            <v>0</v>
          </cell>
          <cell r="T1244">
            <v>-1</v>
          </cell>
          <cell r="U1244">
            <v>4</v>
          </cell>
          <cell r="V1244">
            <v>4.96</v>
          </cell>
          <cell r="W1244" t="str">
            <v>Raja Muhammad Tanvir</v>
          </cell>
          <cell r="X1244" t="str">
            <v>Sardar Tanveer Ilyas</v>
          </cell>
          <cell r="Y1244">
            <v>45134</v>
          </cell>
        </row>
        <row r="1245">
          <cell r="L1245">
            <v>3976</v>
          </cell>
          <cell r="M1245" t="str">
            <v>Not Available</v>
          </cell>
          <cell r="N1245" t="str">
            <v>Registry</v>
          </cell>
          <cell r="O1245">
            <v>0</v>
          </cell>
          <cell r="P1245">
            <v>3</v>
          </cell>
          <cell r="Q1245">
            <v>6.28</v>
          </cell>
          <cell r="R1245">
            <v>59600</v>
          </cell>
          <cell r="S1245">
            <v>0</v>
          </cell>
          <cell r="T1245">
            <v>1</v>
          </cell>
          <cell r="U1245">
            <v>-3</v>
          </cell>
          <cell r="V1245">
            <v>-6.28</v>
          </cell>
          <cell r="W1245" t="str">
            <v>Syed Qaiser Mehmood</v>
          </cell>
          <cell r="X1245" t="str">
            <v>Sardar Tanveer Ilyas</v>
          </cell>
          <cell r="Y1245">
            <v>45115</v>
          </cell>
        </row>
        <row r="1246">
          <cell r="K1246">
            <v>4158</v>
          </cell>
          <cell r="L1246">
            <v>20950</v>
          </cell>
          <cell r="M1246" t="str">
            <v>Intiqal</v>
          </cell>
          <cell r="N1246" t="str">
            <v>Registry</v>
          </cell>
          <cell r="O1246">
            <v>0</v>
          </cell>
          <cell r="P1246">
            <v>4</v>
          </cell>
          <cell r="Q1246">
            <v>4.5</v>
          </cell>
          <cell r="R1246">
            <v>0</v>
          </cell>
          <cell r="S1246">
            <v>0</v>
          </cell>
          <cell r="T1246">
            <v>0</v>
          </cell>
          <cell r="U1246">
            <v>-1</v>
          </cell>
          <cell r="V1246">
            <v>1.78</v>
          </cell>
          <cell r="W1246" t="str">
            <v>Abdul Qadeer</v>
          </cell>
          <cell r="X1246" t="str">
            <v>Sardar Tanveer Ilyas</v>
          </cell>
          <cell r="Y1246">
            <v>45115</v>
          </cell>
        </row>
        <row r="1247">
          <cell r="K1247" t="str">
            <v>Can't Transfer (treat as adv to Qaiser)</v>
          </cell>
          <cell r="M1247" t="str">
            <v>Not Available</v>
          </cell>
          <cell r="N1247" t="str">
            <v>Not Available</v>
          </cell>
          <cell r="O1247">
            <v>0</v>
          </cell>
          <cell r="P1247">
            <v>5</v>
          </cell>
          <cell r="Q1247">
            <v>4.04</v>
          </cell>
          <cell r="R1247">
            <v>0</v>
          </cell>
          <cell r="S1247">
            <v>0</v>
          </cell>
          <cell r="T1247">
            <v>0</v>
          </cell>
          <cell r="U1247">
            <v>-1</v>
          </cell>
          <cell r="V1247">
            <v>0.46</v>
          </cell>
        </row>
        <row r="1248">
          <cell r="K1248">
            <v>4003</v>
          </cell>
          <cell r="L1248">
            <v>15067</v>
          </cell>
          <cell r="M1248" t="str">
            <v>Intiqal</v>
          </cell>
          <cell r="N1248" t="str">
            <v>Registry</v>
          </cell>
          <cell r="O1248">
            <v>18</v>
          </cell>
          <cell r="P1248">
            <v>8</v>
          </cell>
          <cell r="Q1248">
            <v>0</v>
          </cell>
          <cell r="R1248">
            <v>3224100</v>
          </cell>
          <cell r="S1248">
            <v>0</v>
          </cell>
          <cell r="T1248">
            <v>-18</v>
          </cell>
          <cell r="U1248">
            <v>-3</v>
          </cell>
          <cell r="V1248">
            <v>4.04</v>
          </cell>
          <cell r="W1248" t="str">
            <v>Mansoor Ahmed</v>
          </cell>
          <cell r="X1248" t="str">
            <v>Sardar Tanveer Ilyas</v>
          </cell>
          <cell r="Y1248">
            <v>45077</v>
          </cell>
        </row>
        <row r="1249">
          <cell r="L1249">
            <v>12743</v>
          </cell>
          <cell r="M1249" t="str">
            <v>Not Available</v>
          </cell>
          <cell r="N1249" t="str">
            <v>Registry</v>
          </cell>
          <cell r="O1249">
            <v>0</v>
          </cell>
          <cell r="P1249">
            <v>7</v>
          </cell>
          <cell r="Q1249">
            <v>2.85</v>
          </cell>
          <cell r="R1249">
            <v>150100</v>
          </cell>
          <cell r="S1249">
            <v>0</v>
          </cell>
          <cell r="T1249">
            <v>18</v>
          </cell>
          <cell r="U1249">
            <v>1</v>
          </cell>
          <cell r="V1249">
            <v>-2.85</v>
          </cell>
          <cell r="W1249" t="str">
            <v>Maria Kiyani</v>
          </cell>
          <cell r="X1249" t="str">
            <v>Sardar Tanveer Ilyas</v>
          </cell>
          <cell r="Y1249">
            <v>45058</v>
          </cell>
        </row>
        <row r="1250">
          <cell r="L1250">
            <v>12742</v>
          </cell>
          <cell r="M1250" t="str">
            <v>Not Available</v>
          </cell>
          <cell r="N1250" t="str">
            <v>Registry</v>
          </cell>
          <cell r="O1250">
            <v>0</v>
          </cell>
          <cell r="P1250">
            <v>10</v>
          </cell>
          <cell r="Q1250">
            <v>8.9600000000000009</v>
          </cell>
          <cell r="R1250">
            <v>202100</v>
          </cell>
          <cell r="S1250">
            <v>0</v>
          </cell>
          <cell r="T1250">
            <v>0</v>
          </cell>
          <cell r="U1250">
            <v>-3</v>
          </cell>
          <cell r="V1250">
            <v>-6.11</v>
          </cell>
          <cell r="W1250" t="str">
            <v>Raheela Bibi</v>
          </cell>
          <cell r="X1250" t="str">
            <v>Sardar Tanveer Ilyas</v>
          </cell>
          <cell r="Y1250">
            <v>45058</v>
          </cell>
        </row>
        <row r="1251">
          <cell r="K1251">
            <v>5547</v>
          </cell>
          <cell r="L1251">
            <v>14853</v>
          </cell>
          <cell r="M1251" t="str">
            <v>Intiqal</v>
          </cell>
          <cell r="N1251" t="str">
            <v>Registry</v>
          </cell>
          <cell r="O1251">
            <v>2</v>
          </cell>
          <cell r="P1251">
            <v>1</v>
          </cell>
          <cell r="Q1251">
            <v>0</v>
          </cell>
          <cell r="R1251">
            <v>318100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 t="str">
            <v>Sher Khan</v>
          </cell>
          <cell r="X1251" t="str">
            <v>Sardar Tanveer Ilyas</v>
          </cell>
          <cell r="Y1251">
            <v>45076</v>
          </cell>
        </row>
        <row r="1252">
          <cell r="K1252">
            <v>5591</v>
          </cell>
          <cell r="L1252">
            <v>15446</v>
          </cell>
          <cell r="M1252" t="str">
            <v>Intiqal</v>
          </cell>
          <cell r="N1252" t="str">
            <v>Registry</v>
          </cell>
          <cell r="O1252">
            <v>0</v>
          </cell>
          <cell r="P1252">
            <v>4</v>
          </cell>
          <cell r="Q1252">
            <v>2</v>
          </cell>
          <cell r="R1252">
            <v>43600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Muhammad Qasim</v>
          </cell>
          <cell r="X1252" t="str">
            <v>Sardar Tanveer Ilyas</v>
          </cell>
          <cell r="Y1252">
            <v>45274</v>
          </cell>
        </row>
        <row r="1253">
          <cell r="L1253">
            <v>15030</v>
          </cell>
          <cell r="M1253" t="str">
            <v>Not Available</v>
          </cell>
          <cell r="N1253" t="str">
            <v>Not Available</v>
          </cell>
          <cell r="O1253">
            <v>3</v>
          </cell>
          <cell r="P1253">
            <v>0</v>
          </cell>
          <cell r="Q1253">
            <v>0</v>
          </cell>
          <cell r="R1253">
            <v>454100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Muhammad Riyasat</v>
          </cell>
          <cell r="X1253" t="str">
            <v>Sardar Tanveer Ilyas</v>
          </cell>
        </row>
        <row r="1254">
          <cell r="L1254">
            <v>11016782</v>
          </cell>
          <cell r="M1254" t="str">
            <v>Not Available</v>
          </cell>
          <cell r="N1254" t="str">
            <v>Not Available</v>
          </cell>
          <cell r="O1254">
            <v>0</v>
          </cell>
          <cell r="P1254">
            <v>15</v>
          </cell>
          <cell r="Q1254">
            <v>1.45</v>
          </cell>
          <cell r="R1254">
            <v>0</v>
          </cell>
          <cell r="S1254">
            <v>0</v>
          </cell>
          <cell r="T1254">
            <v>16</v>
          </cell>
          <cell r="U1254">
            <v>-12</v>
          </cell>
          <cell r="V1254">
            <v>5.4</v>
          </cell>
          <cell r="W1254" t="str">
            <v>Gulfaraz Bibi</v>
          </cell>
          <cell r="X1254" t="str">
            <v>Sardar Tanveer Ilyas</v>
          </cell>
        </row>
        <row r="1255">
          <cell r="K1255">
            <v>2963</v>
          </cell>
          <cell r="L1255">
            <v>200</v>
          </cell>
          <cell r="M1255" t="str">
            <v>Intiqal</v>
          </cell>
          <cell r="N1255" t="str">
            <v>Registry</v>
          </cell>
          <cell r="O1255">
            <v>1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-1</v>
          </cell>
          <cell r="U1255">
            <v>15</v>
          </cell>
          <cell r="V1255">
            <v>1.45</v>
          </cell>
          <cell r="W1255" t="str">
            <v>Ali</v>
          </cell>
          <cell r="X1255" t="str">
            <v>Sardar Tanveer Ilyas</v>
          </cell>
          <cell r="Y1255">
            <v>45293</v>
          </cell>
        </row>
        <row r="1256">
          <cell r="L1256">
            <v>10948188</v>
          </cell>
          <cell r="M1256" t="str">
            <v>Not Available</v>
          </cell>
          <cell r="N1256" t="str">
            <v>Not Available</v>
          </cell>
          <cell r="O1256">
            <v>1</v>
          </cell>
          <cell r="P1256">
            <v>4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-4</v>
          </cell>
          <cell r="V1256">
            <v>0</v>
          </cell>
          <cell r="W1256" t="str">
            <v>Israt Jan</v>
          </cell>
          <cell r="X1256" t="str">
            <v>Sardar Tanveer Ilyas</v>
          </cell>
        </row>
        <row r="1257">
          <cell r="L1257">
            <v>10945453</v>
          </cell>
          <cell r="M1257" t="str">
            <v>Not Available</v>
          </cell>
          <cell r="N1257" t="str">
            <v>Not Available</v>
          </cell>
          <cell r="O1257">
            <v>0</v>
          </cell>
          <cell r="P1257">
            <v>17</v>
          </cell>
          <cell r="Q1257">
            <v>0</v>
          </cell>
          <cell r="R1257">
            <v>0</v>
          </cell>
          <cell r="S1257">
            <v>0</v>
          </cell>
          <cell r="T1257">
            <v>1</v>
          </cell>
          <cell r="U1257">
            <v>-13</v>
          </cell>
          <cell r="V1257">
            <v>0</v>
          </cell>
          <cell r="W1257" t="str">
            <v>Amjad Hussain</v>
          </cell>
          <cell r="X1257" t="str">
            <v>Sardar Tanveer Ilyas</v>
          </cell>
        </row>
        <row r="1258">
          <cell r="L1258">
            <v>10924688</v>
          </cell>
          <cell r="M1258" t="str">
            <v>Not Available</v>
          </cell>
          <cell r="N1258" t="str">
            <v>Not Available</v>
          </cell>
          <cell r="O1258">
            <v>0</v>
          </cell>
          <cell r="P1258">
            <v>11</v>
          </cell>
          <cell r="Q1258">
            <v>1</v>
          </cell>
          <cell r="R1258">
            <v>0</v>
          </cell>
          <cell r="S1258">
            <v>0</v>
          </cell>
          <cell r="T1258">
            <v>0</v>
          </cell>
          <cell r="U1258">
            <v>6</v>
          </cell>
          <cell r="V1258">
            <v>-1</v>
          </cell>
          <cell r="W1258" t="str">
            <v>Ghuzala Zain</v>
          </cell>
          <cell r="X1258" t="str">
            <v>Sardar Tanveer Ilyas</v>
          </cell>
        </row>
        <row r="1259">
          <cell r="L1259">
            <v>10924603</v>
          </cell>
          <cell r="M1259" t="str">
            <v>Not Available</v>
          </cell>
          <cell r="N1259" t="str">
            <v>Not Available</v>
          </cell>
          <cell r="O1259">
            <v>0</v>
          </cell>
          <cell r="P1259">
            <v>13</v>
          </cell>
          <cell r="Q1259">
            <v>1.92</v>
          </cell>
          <cell r="R1259">
            <v>0</v>
          </cell>
          <cell r="S1259">
            <v>0</v>
          </cell>
          <cell r="T1259">
            <v>0</v>
          </cell>
          <cell r="U1259">
            <v>-2</v>
          </cell>
          <cell r="V1259">
            <v>-0.92</v>
          </cell>
          <cell r="W1259" t="str">
            <v>Ghuzala Zain</v>
          </cell>
          <cell r="X1259" t="str">
            <v>Sardar Tanveer Ilyas</v>
          </cell>
        </row>
        <row r="1260">
          <cell r="L1260">
            <v>10926721</v>
          </cell>
          <cell r="M1260" t="str">
            <v>Not Available</v>
          </cell>
          <cell r="N1260" t="str">
            <v>Not Available</v>
          </cell>
          <cell r="O1260">
            <v>0</v>
          </cell>
          <cell r="P1260">
            <v>10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3</v>
          </cell>
          <cell r="V1260">
            <v>1.92</v>
          </cell>
          <cell r="W1260" t="str">
            <v>Muhammad Zain</v>
          </cell>
          <cell r="X1260" t="str">
            <v>Sardar Tanveer Ilyas</v>
          </cell>
        </row>
        <row r="1261">
          <cell r="K1261">
            <v>3013</v>
          </cell>
          <cell r="L1261">
            <v>7919</v>
          </cell>
          <cell r="M1261" t="str">
            <v>Intiqal</v>
          </cell>
          <cell r="N1261" t="str">
            <v>Registry</v>
          </cell>
          <cell r="O1261">
            <v>4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-4</v>
          </cell>
          <cell r="U1261">
            <v>10</v>
          </cell>
          <cell r="V1261">
            <v>0</v>
          </cell>
          <cell r="W1261" t="str">
            <v>Shahzadi</v>
          </cell>
          <cell r="X1261" t="str">
            <v>Sardar Tanveer Ilyas</v>
          </cell>
          <cell r="Y1261">
            <v>45226</v>
          </cell>
        </row>
        <row r="1262">
          <cell r="L1262">
            <v>10605981</v>
          </cell>
          <cell r="M1262" t="str">
            <v>Not Available</v>
          </cell>
          <cell r="N1262" t="str">
            <v>Not Available</v>
          </cell>
          <cell r="O1262">
            <v>5</v>
          </cell>
          <cell r="P1262">
            <v>4</v>
          </cell>
          <cell r="Q1262">
            <v>0</v>
          </cell>
          <cell r="R1262">
            <v>0</v>
          </cell>
          <cell r="S1262">
            <v>0</v>
          </cell>
          <cell r="T1262">
            <v>-1</v>
          </cell>
          <cell r="U1262">
            <v>-4</v>
          </cell>
          <cell r="V1262">
            <v>0</v>
          </cell>
          <cell r="W1262" t="str">
            <v>Rasheeda Bibi</v>
          </cell>
          <cell r="X1262" t="str">
            <v>Sardar Tanveer Ilyas</v>
          </cell>
        </row>
        <row r="1263">
          <cell r="L1263">
            <v>24512</v>
          </cell>
          <cell r="M1263" t="str">
            <v>Not Available</v>
          </cell>
          <cell r="N1263" t="str">
            <v>Not Available</v>
          </cell>
          <cell r="O1263">
            <v>1</v>
          </cell>
          <cell r="P1263">
            <v>9</v>
          </cell>
          <cell r="Q1263">
            <v>2.48</v>
          </cell>
          <cell r="R1263">
            <v>0</v>
          </cell>
          <cell r="S1263">
            <v>0</v>
          </cell>
          <cell r="T1263">
            <v>4</v>
          </cell>
          <cell r="U1263">
            <v>-5</v>
          </cell>
          <cell r="V1263">
            <v>-2.48</v>
          </cell>
          <cell r="W1263" t="str">
            <v>Adnan Hussain</v>
          </cell>
          <cell r="X1263" t="str">
            <v>Sardar Tanveer Ilyas</v>
          </cell>
        </row>
        <row r="1264">
          <cell r="L1264">
            <v>19285</v>
          </cell>
          <cell r="M1264" t="str">
            <v>Not Available</v>
          </cell>
          <cell r="N1264" t="str">
            <v>Registry</v>
          </cell>
          <cell r="O1264">
            <v>2</v>
          </cell>
          <cell r="P1264">
            <v>0</v>
          </cell>
          <cell r="Q1264">
            <v>0</v>
          </cell>
          <cell r="R1264">
            <v>284100</v>
          </cell>
          <cell r="S1264">
            <v>0</v>
          </cell>
          <cell r="T1264">
            <v>46</v>
          </cell>
          <cell r="U1264">
            <v>7</v>
          </cell>
          <cell r="V1264">
            <v>0</v>
          </cell>
          <cell r="W1264" t="str">
            <v>Muhammad Ali</v>
          </cell>
          <cell r="X1264" t="str">
            <v>Sardar Tanveer Ilyas</v>
          </cell>
          <cell r="Y1264">
            <v>45124</v>
          </cell>
        </row>
        <row r="1265">
          <cell r="L1265">
            <v>8793</v>
          </cell>
          <cell r="M1265" t="str">
            <v>Not Available</v>
          </cell>
          <cell r="N1265" t="str">
            <v>Registry</v>
          </cell>
          <cell r="O1265">
            <v>4</v>
          </cell>
          <cell r="P1265">
            <v>0</v>
          </cell>
          <cell r="Q1265">
            <v>0</v>
          </cell>
          <cell r="R1265">
            <v>2764100</v>
          </cell>
          <cell r="S1265">
            <v>0</v>
          </cell>
          <cell r="T1265">
            <v>-2</v>
          </cell>
          <cell r="U1265">
            <v>0</v>
          </cell>
          <cell r="V1265">
            <v>0</v>
          </cell>
          <cell r="W1265" t="str">
            <v>Asif Mehmood</v>
          </cell>
          <cell r="X1265" t="str">
            <v>Sardar Tanveer Ilyas</v>
          </cell>
          <cell r="Y1265">
            <v>45435</v>
          </cell>
        </row>
        <row r="1266">
          <cell r="L1266">
            <v>17053</v>
          </cell>
          <cell r="M1266" t="str">
            <v>Not Available</v>
          </cell>
          <cell r="N1266" t="str">
            <v>Registry</v>
          </cell>
          <cell r="O1266">
            <v>1</v>
          </cell>
          <cell r="P1266">
            <v>0</v>
          </cell>
          <cell r="Q1266">
            <v>0</v>
          </cell>
          <cell r="R1266">
            <v>132100</v>
          </cell>
          <cell r="S1266">
            <v>0</v>
          </cell>
          <cell r="T1266">
            <v>3</v>
          </cell>
          <cell r="U1266">
            <v>0</v>
          </cell>
          <cell r="V1266">
            <v>0</v>
          </cell>
          <cell r="W1266" t="str">
            <v>Chaudhary Qadeer Ahmed</v>
          </cell>
          <cell r="X1266" t="str">
            <v>Sardar Tanveer Ilyas</v>
          </cell>
          <cell r="Y1266">
            <v>45092</v>
          </cell>
        </row>
        <row r="1267">
          <cell r="L1267">
            <v>14803</v>
          </cell>
          <cell r="M1267" t="str">
            <v>Not Available</v>
          </cell>
          <cell r="N1267" t="str">
            <v>Registry</v>
          </cell>
          <cell r="O1267">
            <v>41</v>
          </cell>
          <cell r="P1267">
            <v>7</v>
          </cell>
          <cell r="Q1267">
            <v>0</v>
          </cell>
          <cell r="R1267">
            <v>8124100</v>
          </cell>
          <cell r="S1267">
            <v>0</v>
          </cell>
          <cell r="T1267">
            <v>-40</v>
          </cell>
          <cell r="U1267">
            <v>-7</v>
          </cell>
          <cell r="V1267">
            <v>0</v>
          </cell>
          <cell r="W1267" t="str">
            <v>Salah Ud Din</v>
          </cell>
          <cell r="X1267" t="str">
            <v>Sardar Tanveer Ilyas</v>
          </cell>
          <cell r="Y1267">
            <v>45075</v>
          </cell>
        </row>
        <row r="1268">
          <cell r="L1268">
            <v>20788</v>
          </cell>
          <cell r="M1268" t="str">
            <v>Not Available</v>
          </cell>
          <cell r="N1268" t="str">
            <v>Not Available</v>
          </cell>
          <cell r="O1268">
            <v>5</v>
          </cell>
          <cell r="P1268">
            <v>13</v>
          </cell>
          <cell r="Q1268">
            <v>3.72</v>
          </cell>
          <cell r="R1268">
            <v>958100</v>
          </cell>
          <cell r="S1268">
            <v>0</v>
          </cell>
          <cell r="T1268">
            <v>91</v>
          </cell>
          <cell r="U1268">
            <v>-9</v>
          </cell>
          <cell r="V1268">
            <v>-1.52</v>
          </cell>
          <cell r="W1268" t="str">
            <v>Mayser Pine View Developers</v>
          </cell>
          <cell r="X1268" t="str">
            <v>Sardar Tanveer Ilyas</v>
          </cell>
        </row>
        <row r="1269">
          <cell r="L1269">
            <v>19650</v>
          </cell>
          <cell r="M1269" t="str">
            <v>Not Available</v>
          </cell>
          <cell r="N1269" t="str">
            <v>Registry</v>
          </cell>
          <cell r="O1269">
            <v>0</v>
          </cell>
          <cell r="P1269">
            <v>17</v>
          </cell>
          <cell r="Q1269">
            <v>5.2</v>
          </cell>
          <cell r="R1269">
            <v>120100</v>
          </cell>
          <cell r="S1269">
            <v>0</v>
          </cell>
          <cell r="T1269">
            <v>5</v>
          </cell>
          <cell r="U1269">
            <v>-4</v>
          </cell>
          <cell r="V1269">
            <v>-1.48</v>
          </cell>
          <cell r="W1269" t="str">
            <v>Arslan Hussain</v>
          </cell>
          <cell r="X1269" t="str">
            <v>Sardar Tanveer Ilyas</v>
          </cell>
          <cell r="Y1269">
            <v>45126</v>
          </cell>
        </row>
        <row r="1270">
          <cell r="L1270">
            <v>20190</v>
          </cell>
          <cell r="M1270" t="str">
            <v>Not Available</v>
          </cell>
          <cell r="N1270" t="str">
            <v>Not Available</v>
          </cell>
          <cell r="O1270">
            <v>8</v>
          </cell>
          <cell r="P1270">
            <v>0</v>
          </cell>
          <cell r="Q1270">
            <v>4.5</v>
          </cell>
          <cell r="R1270">
            <v>1129100</v>
          </cell>
          <cell r="S1270">
            <v>0</v>
          </cell>
          <cell r="T1270">
            <v>-8</v>
          </cell>
          <cell r="U1270">
            <v>17</v>
          </cell>
          <cell r="V1270">
            <v>0.7</v>
          </cell>
          <cell r="W1270" t="str">
            <v>Zafar Mushtaq</v>
          </cell>
          <cell r="X1270" t="str">
            <v>Sardar Tanveer Ilyas</v>
          </cell>
        </row>
        <row r="1271">
          <cell r="K1271">
            <v>3144</v>
          </cell>
          <cell r="L1271">
            <v>20068</v>
          </cell>
          <cell r="M1271" t="str">
            <v>Intiqal</v>
          </cell>
          <cell r="N1271" t="str">
            <v>Registry</v>
          </cell>
          <cell r="O1271">
            <v>11</v>
          </cell>
          <cell r="P1271">
            <v>11</v>
          </cell>
          <cell r="Q1271">
            <v>0</v>
          </cell>
          <cell r="R1271">
            <v>1624100</v>
          </cell>
          <cell r="S1271">
            <v>0</v>
          </cell>
          <cell r="T1271">
            <v>-3</v>
          </cell>
          <cell r="U1271">
            <v>-11</v>
          </cell>
          <cell r="V1271">
            <v>4.5</v>
          </cell>
          <cell r="W1271" t="str">
            <v>Muhammad Usman Khan</v>
          </cell>
          <cell r="X1271" t="str">
            <v>Sardar Tanveer Ilyas</v>
          </cell>
          <cell r="Y1271">
            <v>45131</v>
          </cell>
        </row>
        <row r="1272">
          <cell r="K1272">
            <v>3145</v>
          </cell>
          <cell r="L1272">
            <v>19651</v>
          </cell>
          <cell r="M1272" t="str">
            <v>Intiqal</v>
          </cell>
          <cell r="N1272" t="str">
            <v>Registry</v>
          </cell>
          <cell r="O1272">
            <v>1</v>
          </cell>
          <cell r="P1272">
            <v>14</v>
          </cell>
          <cell r="Q1272">
            <v>0</v>
          </cell>
          <cell r="R1272">
            <v>244100</v>
          </cell>
          <cell r="S1272">
            <v>0</v>
          </cell>
          <cell r="T1272">
            <v>10</v>
          </cell>
          <cell r="U1272">
            <v>-3</v>
          </cell>
          <cell r="V1272">
            <v>0</v>
          </cell>
          <cell r="W1272" t="str">
            <v>Muhammad Moveed Malik</v>
          </cell>
          <cell r="X1272" t="str">
            <v>Sardar Tanveer Ilyas</v>
          </cell>
          <cell r="Y1272">
            <v>45126</v>
          </cell>
        </row>
        <row r="1273">
          <cell r="L1273">
            <v>19113</v>
          </cell>
          <cell r="M1273" t="str">
            <v>Not Available</v>
          </cell>
          <cell r="N1273" t="str">
            <v>Not Available</v>
          </cell>
          <cell r="O1273">
            <v>21</v>
          </cell>
          <cell r="P1273">
            <v>6</v>
          </cell>
          <cell r="Q1273">
            <v>6.78</v>
          </cell>
          <cell r="R1273">
            <v>3354100</v>
          </cell>
          <cell r="S1273">
            <v>0</v>
          </cell>
          <cell r="T1273">
            <v>-20</v>
          </cell>
          <cell r="U1273">
            <v>8</v>
          </cell>
          <cell r="V1273">
            <v>-6.78</v>
          </cell>
          <cell r="W1273" t="str">
            <v>Salah Ud Din</v>
          </cell>
          <cell r="X1273" t="str">
            <v>Sardar Tanveer Ilyas</v>
          </cell>
        </row>
        <row r="1274">
          <cell r="K1274">
            <v>3167</v>
          </cell>
          <cell r="L1274">
            <v>14462</v>
          </cell>
          <cell r="M1274" t="str">
            <v>Intiqal</v>
          </cell>
          <cell r="N1274" t="str">
            <v>Registry</v>
          </cell>
          <cell r="O1274">
            <v>47</v>
          </cell>
          <cell r="P1274">
            <v>1</v>
          </cell>
          <cell r="Q1274">
            <v>0</v>
          </cell>
          <cell r="R1274">
            <v>9244100</v>
          </cell>
          <cell r="S1274">
            <v>0</v>
          </cell>
          <cell r="T1274">
            <v>-26</v>
          </cell>
          <cell r="U1274">
            <v>5</v>
          </cell>
          <cell r="V1274">
            <v>6.78</v>
          </cell>
          <cell r="W1274" t="str">
            <v>Ghulam Nabi</v>
          </cell>
          <cell r="X1274" t="str">
            <v>Sardar Tanveer Ilyas</v>
          </cell>
          <cell r="Y1274">
            <v>45073</v>
          </cell>
        </row>
        <row r="1275">
          <cell r="L1275">
            <v>11761240</v>
          </cell>
          <cell r="M1275" t="str">
            <v>Not Available</v>
          </cell>
          <cell r="N1275" t="str">
            <v>Not Available</v>
          </cell>
          <cell r="O1275">
            <v>0</v>
          </cell>
          <cell r="P1275">
            <v>2</v>
          </cell>
          <cell r="Q1275">
            <v>0</v>
          </cell>
          <cell r="R1275">
            <v>59700</v>
          </cell>
          <cell r="S1275">
            <v>0</v>
          </cell>
          <cell r="T1275">
            <v>0</v>
          </cell>
          <cell r="U1275">
            <v>5</v>
          </cell>
          <cell r="V1275">
            <v>0</v>
          </cell>
          <cell r="W1275" t="str">
            <v>Azam Elahi</v>
          </cell>
          <cell r="X1275" t="str">
            <v>Sardar Tanveer Ilyas</v>
          </cell>
        </row>
        <row r="1276">
          <cell r="K1276">
            <v>5590</v>
          </cell>
          <cell r="L1276">
            <v>15964</v>
          </cell>
          <cell r="M1276" t="str">
            <v>Intiqal</v>
          </cell>
          <cell r="N1276" t="str">
            <v>Registry</v>
          </cell>
          <cell r="O1276">
            <v>0</v>
          </cell>
          <cell r="P1276">
            <v>5</v>
          </cell>
          <cell r="Q1276">
            <v>0</v>
          </cell>
          <cell r="R1276">
            <v>77600</v>
          </cell>
          <cell r="S1276">
            <v>0</v>
          </cell>
          <cell r="T1276">
            <v>0</v>
          </cell>
          <cell r="U1276">
            <v>-3</v>
          </cell>
          <cell r="V1276">
            <v>0</v>
          </cell>
          <cell r="W1276" t="str">
            <v>Umer Khan</v>
          </cell>
          <cell r="X1276" t="str">
            <v>Sardar Tanveer Ilyas</v>
          </cell>
          <cell r="Y1276">
            <v>45084</v>
          </cell>
        </row>
        <row r="1277">
          <cell r="K1277">
            <v>5609</v>
          </cell>
          <cell r="L1277">
            <v>18986</v>
          </cell>
          <cell r="M1277" t="str">
            <v>Intiqal</v>
          </cell>
          <cell r="N1277" t="str">
            <v>Registry</v>
          </cell>
          <cell r="O1277">
            <v>0</v>
          </cell>
          <cell r="P1277">
            <v>5</v>
          </cell>
          <cell r="Q1277">
            <v>0</v>
          </cell>
          <cell r="R1277">
            <v>64850</v>
          </cell>
          <cell r="S1277">
            <v>0</v>
          </cell>
          <cell r="T1277">
            <v>1</v>
          </cell>
          <cell r="U1277">
            <v>9</v>
          </cell>
          <cell r="V1277">
            <v>0</v>
          </cell>
          <cell r="W1277" t="str">
            <v>Rab Nawaz</v>
          </cell>
          <cell r="X1277" t="str">
            <v>Sardar Tanveer Ilyas</v>
          </cell>
          <cell r="Y1277">
            <v>45104</v>
          </cell>
        </row>
        <row r="1278">
          <cell r="K1278">
            <v>6052</v>
          </cell>
          <cell r="L1278">
            <v>20823</v>
          </cell>
          <cell r="M1278" t="str">
            <v>Intiqal</v>
          </cell>
          <cell r="N1278" t="str">
            <v>Registry</v>
          </cell>
          <cell r="O1278">
            <v>0</v>
          </cell>
          <cell r="P1278">
            <v>11</v>
          </cell>
          <cell r="Q1278">
            <v>0</v>
          </cell>
          <cell r="R1278">
            <v>96100</v>
          </cell>
          <cell r="S1278">
            <v>0</v>
          </cell>
          <cell r="T1278">
            <v>0</v>
          </cell>
          <cell r="U1278">
            <v>-6</v>
          </cell>
          <cell r="V1278">
            <v>0</v>
          </cell>
          <cell r="W1278" t="str">
            <v>Bakht Munir</v>
          </cell>
          <cell r="X1278" t="str">
            <v>Sardar Tanveer Ilyas</v>
          </cell>
          <cell r="Y1278">
            <v>45142</v>
          </cell>
        </row>
        <row r="1279">
          <cell r="K1279">
            <v>6042</v>
          </cell>
          <cell r="L1279">
            <v>15938</v>
          </cell>
          <cell r="M1279" t="str">
            <v>Intiqal</v>
          </cell>
          <cell r="N1279" t="str">
            <v>Registry</v>
          </cell>
          <cell r="O1279">
            <v>0</v>
          </cell>
          <cell r="P1279">
            <v>5</v>
          </cell>
          <cell r="Q1279">
            <v>0</v>
          </cell>
          <cell r="R1279">
            <v>59600</v>
          </cell>
          <cell r="S1279">
            <v>0</v>
          </cell>
          <cell r="T1279">
            <v>0</v>
          </cell>
          <cell r="U1279">
            <v>6</v>
          </cell>
          <cell r="V1279">
            <v>0</v>
          </cell>
          <cell r="W1279" t="str">
            <v>Saira Bano</v>
          </cell>
          <cell r="X1279" t="str">
            <v>Sardar Tanveer Ilyas</v>
          </cell>
          <cell r="Y1279">
            <v>45084</v>
          </cell>
        </row>
        <row r="1280">
          <cell r="K1280">
            <v>6038</v>
          </cell>
          <cell r="L1280">
            <v>27532</v>
          </cell>
          <cell r="M1280" t="str">
            <v>Intiqal</v>
          </cell>
          <cell r="N1280" t="str">
            <v>Registry</v>
          </cell>
          <cell r="O1280">
            <v>0</v>
          </cell>
          <cell r="P1280">
            <v>8</v>
          </cell>
          <cell r="Q1280">
            <v>0</v>
          </cell>
          <cell r="R1280">
            <v>99720</v>
          </cell>
          <cell r="S1280">
            <v>0</v>
          </cell>
          <cell r="T1280">
            <v>0</v>
          </cell>
          <cell r="U1280">
            <v>-3</v>
          </cell>
          <cell r="V1280">
            <v>0</v>
          </cell>
          <cell r="W1280" t="str">
            <v>Shujat Khawar</v>
          </cell>
          <cell r="X1280" t="str">
            <v>Sardar Tanveer Ilyas</v>
          </cell>
          <cell r="Y1280">
            <v>45245</v>
          </cell>
        </row>
        <row r="1281">
          <cell r="K1281">
            <v>5790</v>
          </cell>
          <cell r="L1281">
            <v>15696</v>
          </cell>
          <cell r="M1281" t="str">
            <v>Intiqal</v>
          </cell>
          <cell r="N1281" t="str">
            <v>Registry</v>
          </cell>
          <cell r="O1281">
            <v>0</v>
          </cell>
          <cell r="P1281">
            <v>5</v>
          </cell>
          <cell r="Q1281">
            <v>0</v>
          </cell>
          <cell r="R1281">
            <v>59600</v>
          </cell>
          <cell r="S1281">
            <v>0</v>
          </cell>
          <cell r="T1281">
            <v>0</v>
          </cell>
          <cell r="U1281">
            <v>3</v>
          </cell>
          <cell r="V1281">
            <v>0</v>
          </cell>
          <cell r="W1281" t="str">
            <v>Meer Butt</v>
          </cell>
          <cell r="X1281" t="str">
            <v>Sardar Tanveer Ilyas</v>
          </cell>
          <cell r="Y1281">
            <v>45083</v>
          </cell>
        </row>
        <row r="1282">
          <cell r="K1282">
            <v>5601</v>
          </cell>
          <cell r="L1282">
            <v>17153</v>
          </cell>
          <cell r="M1282" t="str">
            <v>Intiqal</v>
          </cell>
          <cell r="N1282" t="str">
            <v>Registry</v>
          </cell>
          <cell r="O1282">
            <v>0</v>
          </cell>
          <cell r="P1282">
            <v>3</v>
          </cell>
          <cell r="Q1282">
            <v>1.38</v>
          </cell>
          <cell r="R1282">
            <v>37200</v>
          </cell>
          <cell r="S1282">
            <v>0</v>
          </cell>
          <cell r="T1282">
            <v>4</v>
          </cell>
          <cell r="U1282">
            <v>10</v>
          </cell>
          <cell r="V1282">
            <v>6</v>
          </cell>
          <cell r="W1282" t="str">
            <v>Amanat Hussain</v>
          </cell>
          <cell r="X1282" t="str">
            <v>Sardar Tanveer Ilyas</v>
          </cell>
          <cell r="Y1282">
            <v>45093</v>
          </cell>
        </row>
        <row r="1283">
          <cell r="K1283">
            <v>5600</v>
          </cell>
          <cell r="L1283">
            <v>17152</v>
          </cell>
          <cell r="M1283" t="str">
            <v>Intiqal</v>
          </cell>
          <cell r="N1283" t="str">
            <v>Registry</v>
          </cell>
          <cell r="O1283">
            <v>0</v>
          </cell>
          <cell r="P1283">
            <v>2</v>
          </cell>
          <cell r="Q1283">
            <v>1</v>
          </cell>
          <cell r="R1283">
            <v>31600</v>
          </cell>
          <cell r="S1283">
            <v>0</v>
          </cell>
          <cell r="T1283">
            <v>0</v>
          </cell>
          <cell r="U1283">
            <v>1</v>
          </cell>
          <cell r="V1283">
            <v>0.38</v>
          </cell>
          <cell r="W1283" t="str">
            <v>Akhash Hussain</v>
          </cell>
          <cell r="X1283" t="str">
            <v>Sardar Tanveer Ilyas</v>
          </cell>
          <cell r="Y1283">
            <v>45093</v>
          </cell>
        </row>
        <row r="1284">
          <cell r="K1284">
            <v>5593</v>
          </cell>
          <cell r="L1284">
            <v>17151</v>
          </cell>
          <cell r="M1284" t="str">
            <v>Intiqal</v>
          </cell>
          <cell r="N1284" t="str">
            <v>Registry</v>
          </cell>
          <cell r="O1284">
            <v>0</v>
          </cell>
          <cell r="P1284">
            <v>4</v>
          </cell>
          <cell r="Q1284">
            <v>5</v>
          </cell>
          <cell r="R1284">
            <v>44400</v>
          </cell>
          <cell r="S1284">
            <v>0</v>
          </cell>
          <cell r="T1284">
            <v>0</v>
          </cell>
          <cell r="U1284">
            <v>-2</v>
          </cell>
          <cell r="V1284">
            <v>-4</v>
          </cell>
          <cell r="W1284" t="str">
            <v>Akhash Hussain</v>
          </cell>
          <cell r="X1284" t="str">
            <v>Sardar Tanveer Ilyas</v>
          </cell>
          <cell r="Y1284">
            <v>45093</v>
          </cell>
        </row>
        <row r="1285">
          <cell r="L1285">
            <v>16896</v>
          </cell>
          <cell r="M1285" t="str">
            <v>Not Available</v>
          </cell>
          <cell r="N1285" t="str">
            <v>Registry</v>
          </cell>
          <cell r="O1285">
            <v>4</v>
          </cell>
          <cell r="P1285">
            <v>4</v>
          </cell>
          <cell r="Q1285">
            <v>0</v>
          </cell>
          <cell r="R1285">
            <v>508100</v>
          </cell>
          <cell r="S1285">
            <v>0</v>
          </cell>
          <cell r="T1285">
            <v>-4</v>
          </cell>
          <cell r="U1285">
            <v>0</v>
          </cell>
          <cell r="V1285">
            <v>5</v>
          </cell>
          <cell r="W1285" t="str">
            <v>Muhabbat Khan</v>
          </cell>
          <cell r="X1285" t="str">
            <v>Sardar Tanveer Ilyas</v>
          </cell>
          <cell r="Y1285">
            <v>45091</v>
          </cell>
        </row>
        <row r="1286">
          <cell r="L1286">
            <v>20069</v>
          </cell>
          <cell r="M1286" t="str">
            <v>Not Available</v>
          </cell>
          <cell r="N1286" t="str">
            <v>Not Available</v>
          </cell>
          <cell r="O1286">
            <v>1</v>
          </cell>
          <cell r="P1286">
            <v>2</v>
          </cell>
          <cell r="Q1286">
            <v>6</v>
          </cell>
          <cell r="R1286">
            <v>156100</v>
          </cell>
          <cell r="S1286">
            <v>0</v>
          </cell>
          <cell r="T1286">
            <v>1</v>
          </cell>
          <cell r="U1286">
            <v>1</v>
          </cell>
          <cell r="V1286">
            <v>-3</v>
          </cell>
          <cell r="W1286" t="str">
            <v>Asif Mehmood</v>
          </cell>
          <cell r="X1286" t="str">
            <v>Sardar Tanveer Ilyas</v>
          </cell>
        </row>
        <row r="1287">
          <cell r="K1287">
            <v>694</v>
          </cell>
          <cell r="L1287">
            <v>15922</v>
          </cell>
          <cell r="M1287" t="str">
            <v>Intiqal</v>
          </cell>
          <cell r="N1287" t="str">
            <v>Registry</v>
          </cell>
          <cell r="O1287">
            <v>1</v>
          </cell>
          <cell r="P1287">
            <v>0</v>
          </cell>
          <cell r="Q1287">
            <v>6</v>
          </cell>
          <cell r="R1287">
            <v>144100</v>
          </cell>
          <cell r="S1287">
            <v>0</v>
          </cell>
          <cell r="T1287">
            <v>0</v>
          </cell>
          <cell r="U1287">
            <v>2</v>
          </cell>
          <cell r="V1287">
            <v>0</v>
          </cell>
          <cell r="W1287" t="str">
            <v>Ghulam Sughra</v>
          </cell>
          <cell r="X1287" t="str">
            <v>Sardar Tanveer Ilyas</v>
          </cell>
          <cell r="Y1287">
            <v>45084</v>
          </cell>
        </row>
        <row r="1288">
          <cell r="L1288">
            <v>16810</v>
          </cell>
          <cell r="M1288" t="str">
            <v>Not Available</v>
          </cell>
          <cell r="N1288" t="str">
            <v>Not Available</v>
          </cell>
          <cell r="O1288">
            <v>7</v>
          </cell>
          <cell r="P1288">
            <v>4</v>
          </cell>
          <cell r="Q1288">
            <v>0</v>
          </cell>
          <cell r="R1288">
            <v>1404100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 t="str">
            <v>Mirza Abdul Qayyum</v>
          </cell>
          <cell r="X1288" t="str">
            <v>Sardar Tanveer Ilyas</v>
          </cell>
        </row>
        <row r="1289">
          <cell r="L1289">
            <v>16242</v>
          </cell>
          <cell r="M1289" t="str">
            <v>Not Available</v>
          </cell>
          <cell r="N1289" t="str">
            <v>Not Available</v>
          </cell>
          <cell r="O1289">
            <v>1</v>
          </cell>
          <cell r="P1289">
            <v>2</v>
          </cell>
          <cell r="Q1289">
            <v>8.9700000000000006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 t="str">
            <v>Kaniz fatima</v>
          </cell>
          <cell r="X1289" t="str">
            <v>Sardar Tanveer Ilyas</v>
          </cell>
        </row>
        <row r="1290">
          <cell r="L1290">
            <v>19156</v>
          </cell>
          <cell r="M1290" t="str">
            <v>Not Available</v>
          </cell>
          <cell r="N1290" t="str">
            <v>Not Available</v>
          </cell>
          <cell r="O1290">
            <v>0</v>
          </cell>
          <cell r="P1290">
            <v>13</v>
          </cell>
          <cell r="Q1290">
            <v>0</v>
          </cell>
          <cell r="R1290">
            <v>155150</v>
          </cell>
          <cell r="S1290">
            <v>0</v>
          </cell>
          <cell r="T1290">
            <v>1</v>
          </cell>
          <cell r="U1290">
            <v>-4</v>
          </cell>
          <cell r="V1290">
            <v>0</v>
          </cell>
          <cell r="W1290" t="str">
            <v>Zameer Ahmed</v>
          </cell>
          <cell r="X1290" t="str">
            <v>Sardar Tanveer Ilyas</v>
          </cell>
        </row>
        <row r="1291">
          <cell r="K1291">
            <v>746</v>
          </cell>
          <cell r="L1291">
            <v>26847</v>
          </cell>
          <cell r="M1291" t="str">
            <v>Intiqal</v>
          </cell>
          <cell r="N1291" t="str">
            <v>Registry</v>
          </cell>
          <cell r="O1291">
            <v>0</v>
          </cell>
          <cell r="P1291">
            <v>5</v>
          </cell>
          <cell r="Q1291">
            <v>0</v>
          </cell>
          <cell r="R1291">
            <v>64900</v>
          </cell>
          <cell r="S1291">
            <v>0</v>
          </cell>
          <cell r="T1291">
            <v>0</v>
          </cell>
          <cell r="U1291">
            <v>8</v>
          </cell>
          <cell r="V1291">
            <v>0</v>
          </cell>
          <cell r="W1291" t="str">
            <v>Tahir Mehmood</v>
          </cell>
          <cell r="X1291" t="str">
            <v>Sardar Tanveer Ilyas</v>
          </cell>
          <cell r="Y1291">
            <v>45233</v>
          </cell>
        </row>
        <row r="1292">
          <cell r="L1292">
            <v>4615</v>
          </cell>
          <cell r="M1292" t="str">
            <v>Not Available</v>
          </cell>
          <cell r="N1292" t="str">
            <v>Not Available</v>
          </cell>
          <cell r="O1292">
            <v>0</v>
          </cell>
          <cell r="P1292">
            <v>11</v>
          </cell>
          <cell r="Q1292">
            <v>0</v>
          </cell>
          <cell r="R1292">
            <v>100050</v>
          </cell>
          <cell r="S1292">
            <v>0</v>
          </cell>
          <cell r="T1292">
            <v>0</v>
          </cell>
          <cell r="U1292">
            <v>-6</v>
          </cell>
          <cell r="V1292">
            <v>0</v>
          </cell>
          <cell r="W1292" t="str">
            <v>Muhammad Faizan</v>
          </cell>
          <cell r="X1292" t="str">
            <v>Sardar Rashid Ilyas Khan</v>
          </cell>
        </row>
        <row r="1293">
          <cell r="K1293">
            <v>655</v>
          </cell>
          <cell r="L1293">
            <v>18271</v>
          </cell>
          <cell r="M1293" t="str">
            <v>Intiqal</v>
          </cell>
          <cell r="N1293" t="str">
            <v>Registry</v>
          </cell>
          <cell r="O1293">
            <v>23</v>
          </cell>
          <cell r="P1293">
            <v>18</v>
          </cell>
          <cell r="Q1293">
            <v>7</v>
          </cell>
          <cell r="R1293">
            <v>3823100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 t="str">
            <v>Haseeb Shahzad</v>
          </cell>
          <cell r="X1293" t="str">
            <v>Sardar Tanveer Ilyas</v>
          </cell>
          <cell r="Y1293">
            <v>45100</v>
          </cell>
        </row>
        <row r="1294">
          <cell r="L1294">
            <v>24092</v>
          </cell>
          <cell r="M1294" t="str">
            <v>Not Available</v>
          </cell>
          <cell r="N1294" t="str">
            <v>Registry</v>
          </cell>
          <cell r="O1294">
            <v>1</v>
          </cell>
          <cell r="P1294">
            <v>3</v>
          </cell>
          <cell r="Q1294">
            <v>3</v>
          </cell>
          <cell r="R1294">
            <v>212800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 t="str">
            <v>Muhammad Yaseen</v>
          </cell>
          <cell r="X1294" t="str">
            <v>Sardar Tanveer Ilyas</v>
          </cell>
          <cell r="Y1294">
            <v>45180</v>
          </cell>
        </row>
        <row r="1295">
          <cell r="K1295">
            <v>5587</v>
          </cell>
          <cell r="L1295">
            <v>18236</v>
          </cell>
          <cell r="M1295" t="str">
            <v>Intiqal</v>
          </cell>
          <cell r="N1295" t="str">
            <v>Registry</v>
          </cell>
          <cell r="O1295">
            <v>3</v>
          </cell>
          <cell r="P1295">
            <v>5</v>
          </cell>
          <cell r="Q1295">
            <v>0</v>
          </cell>
          <cell r="R1295">
            <v>0</v>
          </cell>
          <cell r="S1295">
            <v>0</v>
          </cell>
          <cell r="T1295">
            <v>8</v>
          </cell>
          <cell r="U1295">
            <v>13</v>
          </cell>
          <cell r="V1295">
            <v>2</v>
          </cell>
          <cell r="W1295" t="str">
            <v>Muhammad Irshad</v>
          </cell>
          <cell r="X1295" t="str">
            <v>Sardar Tanveer Ilyas</v>
          </cell>
          <cell r="Y1295">
            <v>45100</v>
          </cell>
        </row>
        <row r="1296">
          <cell r="K1296">
            <v>5603</v>
          </cell>
          <cell r="L1296">
            <v>18219</v>
          </cell>
          <cell r="M1296" t="str">
            <v>Intiqal</v>
          </cell>
          <cell r="N1296" t="str">
            <v>Registry</v>
          </cell>
          <cell r="O1296">
            <v>2</v>
          </cell>
          <cell r="P1296">
            <v>19</v>
          </cell>
          <cell r="Q1296">
            <v>0</v>
          </cell>
          <cell r="R1296">
            <v>383150</v>
          </cell>
          <cell r="S1296">
            <v>0</v>
          </cell>
          <cell r="T1296">
            <v>1</v>
          </cell>
          <cell r="U1296">
            <v>-14</v>
          </cell>
          <cell r="V1296">
            <v>0</v>
          </cell>
          <cell r="W1296" t="str">
            <v>Haseeb Shahzad</v>
          </cell>
          <cell r="X1296" t="str">
            <v>Sardar Tanveer Ilyas</v>
          </cell>
          <cell r="Y1296">
            <v>45100</v>
          </cell>
        </row>
        <row r="1297">
          <cell r="K1297" t="str">
            <v>4951, 5602</v>
          </cell>
          <cell r="L1297">
            <v>18220</v>
          </cell>
          <cell r="M1297" t="str">
            <v>Intiqal</v>
          </cell>
          <cell r="N1297" t="str">
            <v>Registry</v>
          </cell>
          <cell r="O1297">
            <v>0</v>
          </cell>
          <cell r="P1297">
            <v>16</v>
          </cell>
          <cell r="Q1297">
            <v>3</v>
          </cell>
          <cell r="R1297">
            <v>122450</v>
          </cell>
          <cell r="S1297">
            <v>0</v>
          </cell>
          <cell r="T1297">
            <v>2</v>
          </cell>
          <cell r="U1297">
            <v>3</v>
          </cell>
          <cell r="V1297">
            <v>-3</v>
          </cell>
          <cell r="W1297" t="str">
            <v>Sikandar Shahzad</v>
          </cell>
          <cell r="X1297" t="str">
            <v>Sardar Tanveer Ilyas</v>
          </cell>
          <cell r="Y1297">
            <v>45100</v>
          </cell>
        </row>
        <row r="1298">
          <cell r="L1298">
            <v>19638</v>
          </cell>
          <cell r="M1298" t="str">
            <v>Not Available</v>
          </cell>
          <cell r="N1298" t="str">
            <v>Not Available</v>
          </cell>
          <cell r="O1298">
            <v>4</v>
          </cell>
          <cell r="P1298">
            <v>18</v>
          </cell>
          <cell r="Q1298">
            <v>0</v>
          </cell>
          <cell r="R1298">
            <v>896200</v>
          </cell>
          <cell r="S1298">
            <v>0</v>
          </cell>
          <cell r="T1298">
            <v>-4</v>
          </cell>
          <cell r="U1298">
            <v>-2</v>
          </cell>
          <cell r="V1298">
            <v>3</v>
          </cell>
          <cell r="W1298" t="str">
            <v>Malik Naseem Akhter</v>
          </cell>
          <cell r="X1298" t="str">
            <v>Sardar Tanveer Ilyas</v>
          </cell>
        </row>
        <row r="1299">
          <cell r="K1299">
            <v>5592</v>
          </cell>
          <cell r="L1299">
            <v>17358</v>
          </cell>
          <cell r="M1299" t="str">
            <v>Intiqal</v>
          </cell>
          <cell r="N1299" t="str">
            <v>Registry</v>
          </cell>
          <cell r="O1299">
            <v>0</v>
          </cell>
          <cell r="P1299">
            <v>7</v>
          </cell>
          <cell r="Q1299">
            <v>3.45</v>
          </cell>
          <cell r="R1299">
            <v>59600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 t="str">
            <v>Muhammad Raees</v>
          </cell>
          <cell r="X1299" t="str">
            <v>Sardar Tanveer Ilyas</v>
          </cell>
          <cell r="Y1299">
            <v>45096</v>
          </cell>
        </row>
        <row r="1300">
          <cell r="K1300">
            <v>3143</v>
          </cell>
          <cell r="L1300">
            <v>19469</v>
          </cell>
          <cell r="M1300" t="str">
            <v>Intiqal</v>
          </cell>
          <cell r="N1300" t="str">
            <v>Registry</v>
          </cell>
          <cell r="O1300">
            <v>5</v>
          </cell>
          <cell r="P1300">
            <v>17</v>
          </cell>
          <cell r="Q1300">
            <v>0</v>
          </cell>
          <cell r="R1300">
            <v>988300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 t="str">
            <v>Sania Bibi</v>
          </cell>
          <cell r="X1300" t="str">
            <v>Sardar Tanveer Ilyas</v>
          </cell>
          <cell r="Y1300">
            <v>45125</v>
          </cell>
        </row>
        <row r="1301">
          <cell r="L1301">
            <v>20711</v>
          </cell>
          <cell r="M1301" t="str">
            <v>Not Available</v>
          </cell>
          <cell r="N1301" t="str">
            <v>Registry</v>
          </cell>
          <cell r="O1301">
            <v>10</v>
          </cell>
          <cell r="P1301">
            <v>0</v>
          </cell>
          <cell r="Q1301">
            <v>0</v>
          </cell>
          <cell r="R1301">
            <v>2524100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 t="str">
            <v>Muhammad Akram</v>
          </cell>
          <cell r="X1301" t="str">
            <v>Sardar Tanveer Ilyas</v>
          </cell>
          <cell r="Y1301">
            <v>45141</v>
          </cell>
        </row>
        <row r="1302">
          <cell r="L1302">
            <v>20842</v>
          </cell>
          <cell r="M1302" t="str">
            <v>Not Available</v>
          </cell>
          <cell r="N1302" t="str">
            <v>Not Available</v>
          </cell>
          <cell r="O1302">
            <v>31</v>
          </cell>
          <cell r="P1302">
            <v>3</v>
          </cell>
          <cell r="Q1302">
            <v>4.18</v>
          </cell>
          <cell r="R1302">
            <v>4379100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 t="str">
            <v>Salah Ud Din</v>
          </cell>
          <cell r="X1302" t="str">
            <v>Sardar Tanveer Ilyas</v>
          </cell>
        </row>
        <row r="1303">
          <cell r="L1303">
            <v>20779</v>
          </cell>
          <cell r="M1303" t="str">
            <v>Not Available</v>
          </cell>
          <cell r="N1303" t="str">
            <v>Not Available</v>
          </cell>
          <cell r="O1303">
            <v>0</v>
          </cell>
          <cell r="P1303">
            <v>15</v>
          </cell>
          <cell r="Q1303">
            <v>0</v>
          </cell>
          <cell r="R1303">
            <v>184300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 t="str">
            <v>Asiya Bibi</v>
          </cell>
          <cell r="X1303" t="str">
            <v>Sardar Tanveer Ilyas</v>
          </cell>
        </row>
        <row r="1304">
          <cell r="L1304">
            <v>20776</v>
          </cell>
          <cell r="M1304" t="str">
            <v>Not Available</v>
          </cell>
          <cell r="N1304" t="str">
            <v>Not Available</v>
          </cell>
          <cell r="O1304">
            <v>0</v>
          </cell>
          <cell r="P1304">
            <v>9</v>
          </cell>
          <cell r="Q1304">
            <v>1.9</v>
          </cell>
          <cell r="R1304">
            <v>124300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 t="str">
            <v>Asiya Bibi</v>
          </cell>
          <cell r="X1304" t="str">
            <v>Sardar Tanveer Ilyas</v>
          </cell>
        </row>
        <row r="1305">
          <cell r="K1305">
            <v>5659</v>
          </cell>
          <cell r="L1305">
            <v>22122</v>
          </cell>
          <cell r="M1305" t="str">
            <v>Intiqal</v>
          </cell>
          <cell r="N1305" t="str">
            <v>Registry</v>
          </cell>
          <cell r="O1305">
            <v>10</v>
          </cell>
          <cell r="P1305">
            <v>0</v>
          </cell>
          <cell r="Q1305">
            <v>0</v>
          </cell>
          <cell r="R1305">
            <v>2063500</v>
          </cell>
          <cell r="S1305">
            <v>0</v>
          </cell>
          <cell r="T1305">
            <v>1</v>
          </cell>
          <cell r="U1305">
            <v>0</v>
          </cell>
          <cell r="V1305">
            <v>0</v>
          </cell>
          <cell r="W1305" t="str">
            <v>Hamna Bibi</v>
          </cell>
          <cell r="X1305" t="str">
            <v>Sardar Tanveer Ilyas</v>
          </cell>
          <cell r="Y1305">
            <v>45583</v>
          </cell>
        </row>
        <row r="1306">
          <cell r="L1306">
            <v>22121</v>
          </cell>
          <cell r="M1306" t="str">
            <v>Not Available</v>
          </cell>
          <cell r="N1306" t="str">
            <v>Registry</v>
          </cell>
          <cell r="O1306">
            <v>1</v>
          </cell>
          <cell r="P1306">
            <v>0</v>
          </cell>
          <cell r="Q1306">
            <v>0</v>
          </cell>
          <cell r="R1306">
            <v>209550</v>
          </cell>
          <cell r="S1306">
            <v>0</v>
          </cell>
          <cell r="T1306">
            <v>9</v>
          </cell>
          <cell r="U1306">
            <v>0</v>
          </cell>
          <cell r="V1306">
            <v>0</v>
          </cell>
          <cell r="W1306" t="str">
            <v>Muhammad Nazeer</v>
          </cell>
          <cell r="X1306" t="str">
            <v>Sardar Tanveer Ilyas</v>
          </cell>
          <cell r="Y1306">
            <v>45156</v>
          </cell>
        </row>
        <row r="1307">
          <cell r="K1307">
            <v>5589</v>
          </cell>
          <cell r="L1307">
            <v>22572</v>
          </cell>
          <cell r="M1307" t="str">
            <v>Intiqal</v>
          </cell>
          <cell r="N1307" t="str">
            <v>Registry</v>
          </cell>
          <cell r="O1307">
            <v>0</v>
          </cell>
          <cell r="P1307">
            <v>15</v>
          </cell>
          <cell r="Q1307">
            <v>4.5</v>
          </cell>
          <cell r="R1307">
            <v>77800</v>
          </cell>
          <cell r="S1307">
            <v>0</v>
          </cell>
          <cell r="T1307">
            <v>1</v>
          </cell>
          <cell r="U1307">
            <v>0</v>
          </cell>
          <cell r="V1307">
            <v>0</v>
          </cell>
          <cell r="W1307" t="str">
            <v>Abdul Mannan</v>
          </cell>
          <cell r="X1307" t="str">
            <v>Sardar Tanveer Ilyas</v>
          </cell>
          <cell r="Y1307">
            <v>45160</v>
          </cell>
        </row>
        <row r="1308">
          <cell r="L1308">
            <v>22573</v>
          </cell>
          <cell r="M1308" t="str">
            <v>Not Available</v>
          </cell>
          <cell r="N1308" t="str">
            <v>Not Available</v>
          </cell>
          <cell r="O1308">
            <v>1</v>
          </cell>
          <cell r="P1308">
            <v>0</v>
          </cell>
          <cell r="Q1308">
            <v>0</v>
          </cell>
          <cell r="R1308">
            <v>95300</v>
          </cell>
          <cell r="S1308">
            <v>0</v>
          </cell>
          <cell r="T1308">
            <v>-1</v>
          </cell>
          <cell r="U1308">
            <v>15</v>
          </cell>
          <cell r="V1308">
            <v>4.5</v>
          </cell>
          <cell r="W1308" t="str">
            <v>Mohsin Raza</v>
          </cell>
          <cell r="X1308" t="str">
            <v>Sardar Tanveer Ilyas</v>
          </cell>
        </row>
        <row r="1309">
          <cell r="K1309">
            <v>6088</v>
          </cell>
          <cell r="L1309">
            <v>28783</v>
          </cell>
          <cell r="M1309" t="str">
            <v>Intiqal</v>
          </cell>
          <cell r="N1309" t="str">
            <v>Registry</v>
          </cell>
          <cell r="O1309">
            <v>1</v>
          </cell>
          <cell r="P1309">
            <v>2</v>
          </cell>
          <cell r="Q1309">
            <v>4.5</v>
          </cell>
          <cell r="R1309">
            <v>245800</v>
          </cell>
          <cell r="S1309">
            <v>0</v>
          </cell>
          <cell r="T1309">
            <v>2</v>
          </cell>
          <cell r="U1309">
            <v>3</v>
          </cell>
          <cell r="V1309">
            <v>-4.5</v>
          </cell>
          <cell r="W1309" t="str">
            <v>Mumtaz Abbasi</v>
          </cell>
          <cell r="X1309" t="str">
            <v>Sardar Tanveer Ilyas</v>
          </cell>
          <cell r="Y1309">
            <v>45265</v>
          </cell>
        </row>
        <row r="1310">
          <cell r="L1310">
            <v>28978</v>
          </cell>
          <cell r="M1310" t="str">
            <v>Not Available</v>
          </cell>
          <cell r="N1310" t="str">
            <v>Not Available</v>
          </cell>
          <cell r="O1310">
            <v>2</v>
          </cell>
          <cell r="P1310">
            <v>2</v>
          </cell>
          <cell r="Q1310">
            <v>4.5</v>
          </cell>
          <cell r="R1310">
            <v>466300</v>
          </cell>
          <cell r="S1310">
            <v>0</v>
          </cell>
          <cell r="T1310">
            <v>-1</v>
          </cell>
          <cell r="U1310">
            <v>0</v>
          </cell>
          <cell r="V1310">
            <v>0</v>
          </cell>
          <cell r="W1310" t="str">
            <v>Laraib Asad</v>
          </cell>
          <cell r="X1310" t="str">
            <v>Sardar Tanveer Ilyas</v>
          </cell>
        </row>
        <row r="1311">
          <cell r="K1311">
            <v>6049</v>
          </cell>
          <cell r="L1311">
            <v>23877</v>
          </cell>
          <cell r="M1311" t="str">
            <v>Intiqal</v>
          </cell>
          <cell r="N1311" t="str">
            <v>Registry</v>
          </cell>
          <cell r="O1311">
            <v>0</v>
          </cell>
          <cell r="P1311">
            <v>5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 t="str">
            <v>Ameer Aslam</v>
          </cell>
          <cell r="X1311" t="str">
            <v>Sardar Tanveer Ilyas</v>
          </cell>
          <cell r="Y1311">
            <v>45177</v>
          </cell>
        </row>
        <row r="1312">
          <cell r="L1312">
            <v>22877</v>
          </cell>
          <cell r="M1312" t="str">
            <v>Not Available</v>
          </cell>
          <cell r="N1312" t="str">
            <v>Not Available</v>
          </cell>
          <cell r="O1312">
            <v>1</v>
          </cell>
          <cell r="P1312">
            <v>0</v>
          </cell>
          <cell r="Q1312">
            <v>0</v>
          </cell>
          <cell r="R1312">
            <v>202700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 t="str">
            <v>Azam Elahi</v>
          </cell>
          <cell r="X1312" t="str">
            <v>Sardar Tanveer Ilyas</v>
          </cell>
        </row>
        <row r="1313">
          <cell r="K1313">
            <v>4207</v>
          </cell>
          <cell r="L1313">
            <v>23469</v>
          </cell>
          <cell r="M1313" t="str">
            <v>Intiqal</v>
          </cell>
          <cell r="N1313" t="str">
            <v>Registry</v>
          </cell>
          <cell r="O1313">
            <v>2</v>
          </cell>
          <cell r="P1313">
            <v>16</v>
          </cell>
          <cell r="Q1313">
            <v>3.03</v>
          </cell>
          <cell r="R1313">
            <v>964300</v>
          </cell>
          <cell r="S1313">
            <v>0</v>
          </cell>
          <cell r="T1313">
            <v>1</v>
          </cell>
          <cell r="U1313">
            <v>-9</v>
          </cell>
          <cell r="V1313">
            <v>0</v>
          </cell>
          <cell r="W1313" t="str">
            <v>Farakh Bibi</v>
          </cell>
          <cell r="X1313" t="str">
            <v>Sardar Tanveer Ilyas</v>
          </cell>
          <cell r="Y1313">
            <v>45900</v>
          </cell>
        </row>
        <row r="1314">
          <cell r="K1314">
            <v>4162</v>
          </cell>
          <cell r="L1314">
            <v>24610</v>
          </cell>
          <cell r="M1314" t="str">
            <v>Intiqal</v>
          </cell>
          <cell r="N1314" t="str">
            <v>Registry</v>
          </cell>
          <cell r="O1314">
            <v>0</v>
          </cell>
          <cell r="P1314">
            <v>5</v>
          </cell>
          <cell r="Q1314">
            <v>0</v>
          </cell>
          <cell r="R1314">
            <v>97300</v>
          </cell>
          <cell r="S1314">
            <v>0</v>
          </cell>
          <cell r="T1314">
            <v>2</v>
          </cell>
          <cell r="U1314">
            <v>11</v>
          </cell>
          <cell r="V1314">
            <v>3.03</v>
          </cell>
          <cell r="W1314" t="str">
            <v>Sadia Iftikhar</v>
          </cell>
          <cell r="X1314" t="str">
            <v>Sardar Tanveer Ilyas</v>
          </cell>
          <cell r="Y1314">
            <v>45189</v>
          </cell>
        </row>
        <row r="1315">
          <cell r="K1315">
            <v>4160</v>
          </cell>
          <cell r="L1315">
            <v>24611</v>
          </cell>
          <cell r="M1315" t="str">
            <v>Intiqal</v>
          </cell>
          <cell r="N1315" t="str">
            <v>Registry</v>
          </cell>
          <cell r="O1315">
            <v>0</v>
          </cell>
          <cell r="P1315">
            <v>6</v>
          </cell>
          <cell r="Q1315">
            <v>0</v>
          </cell>
          <cell r="R1315">
            <v>120500</v>
          </cell>
          <cell r="S1315">
            <v>0</v>
          </cell>
          <cell r="T1315">
            <v>0</v>
          </cell>
          <cell r="U1315">
            <v>-1</v>
          </cell>
          <cell r="V1315">
            <v>0</v>
          </cell>
          <cell r="W1315" t="str">
            <v>Farhat Hayat</v>
          </cell>
          <cell r="X1315" t="str">
            <v>Sardar Tanveer Ilyas</v>
          </cell>
          <cell r="Y1315">
            <v>45192</v>
          </cell>
        </row>
        <row r="1316">
          <cell r="L1316">
            <v>29003</v>
          </cell>
          <cell r="M1316" t="str">
            <v>Not Available</v>
          </cell>
          <cell r="N1316" t="str">
            <v>Not Available</v>
          </cell>
          <cell r="O1316">
            <v>0</v>
          </cell>
          <cell r="P1316">
            <v>10</v>
          </cell>
          <cell r="Q1316">
            <v>0</v>
          </cell>
          <cell r="R1316">
            <v>101150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 t="str">
            <v>Muhammad Iqbal</v>
          </cell>
          <cell r="X1316" t="str">
            <v>Sardar Tanveer Ilyas</v>
          </cell>
        </row>
        <row r="1317">
          <cell r="K1317">
            <v>6043</v>
          </cell>
          <cell r="L1317">
            <v>26221</v>
          </cell>
          <cell r="M1317" t="str">
            <v>Intiqal</v>
          </cell>
          <cell r="N1317" t="str">
            <v>Registry</v>
          </cell>
          <cell r="O1317">
            <v>2</v>
          </cell>
          <cell r="P1317">
            <v>17</v>
          </cell>
          <cell r="Q1317">
            <v>0</v>
          </cell>
          <cell r="R1317">
            <v>632950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 t="str">
            <v>Rukhsana</v>
          </cell>
          <cell r="X1317" t="str">
            <v>Sardar Tanveer Ilyas</v>
          </cell>
          <cell r="Y1317">
            <v>45226</v>
          </cell>
        </row>
        <row r="1318">
          <cell r="K1318">
            <v>747</v>
          </cell>
          <cell r="L1318">
            <v>26542</v>
          </cell>
          <cell r="M1318" t="str">
            <v>Intiqal</v>
          </cell>
          <cell r="N1318" t="str">
            <v>Registry</v>
          </cell>
          <cell r="O1318">
            <v>1</v>
          </cell>
          <cell r="P1318">
            <v>1</v>
          </cell>
          <cell r="Q1318">
            <v>8.74</v>
          </cell>
          <cell r="R1318">
            <v>218300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 t="str">
            <v>Farzan Bibi</v>
          </cell>
          <cell r="X1318" t="str">
            <v>Sardar Tanveer Ilyas</v>
          </cell>
          <cell r="Y1318">
            <v>45230</v>
          </cell>
        </row>
        <row r="1319">
          <cell r="L1319">
            <v>11956885</v>
          </cell>
          <cell r="M1319" t="str">
            <v>Not Available</v>
          </cell>
          <cell r="N1319" t="str">
            <v>Not Available</v>
          </cell>
          <cell r="O1319">
            <v>0</v>
          </cell>
          <cell r="P1319">
            <v>18</v>
          </cell>
          <cell r="Q1319">
            <v>6</v>
          </cell>
          <cell r="R1319">
            <v>314450</v>
          </cell>
          <cell r="S1319">
            <v>0</v>
          </cell>
          <cell r="T1319">
            <v>4</v>
          </cell>
          <cell r="U1319">
            <v>-3</v>
          </cell>
          <cell r="V1319">
            <v>-6</v>
          </cell>
          <cell r="W1319" t="str">
            <v>Azka Younas</v>
          </cell>
          <cell r="X1319" t="str">
            <v>Sardar Tanveer Ilyas</v>
          </cell>
        </row>
        <row r="1320">
          <cell r="L1320">
            <v>11956863</v>
          </cell>
          <cell r="M1320" t="str">
            <v>Not Available</v>
          </cell>
          <cell r="N1320" t="str">
            <v>Not Available</v>
          </cell>
          <cell r="O1320">
            <v>0</v>
          </cell>
          <cell r="P1320">
            <v>6</v>
          </cell>
          <cell r="Q1320">
            <v>3</v>
          </cell>
          <cell r="R1320">
            <v>148400</v>
          </cell>
          <cell r="S1320">
            <v>0</v>
          </cell>
          <cell r="T1320">
            <v>0</v>
          </cell>
          <cell r="U1320">
            <v>12</v>
          </cell>
          <cell r="V1320">
            <v>3</v>
          </cell>
          <cell r="W1320" t="str">
            <v>Azka Younas</v>
          </cell>
          <cell r="X1320" t="str">
            <v>Sardar Tanveer Ilyas</v>
          </cell>
        </row>
        <row r="1321">
          <cell r="L1321">
            <v>11955054</v>
          </cell>
          <cell r="M1321" t="str">
            <v>Not Available</v>
          </cell>
          <cell r="N1321" t="str">
            <v>Not Available</v>
          </cell>
          <cell r="O1321">
            <v>0</v>
          </cell>
          <cell r="P1321">
            <v>10</v>
          </cell>
          <cell r="Q1321">
            <v>0</v>
          </cell>
          <cell r="R1321">
            <v>208700</v>
          </cell>
          <cell r="S1321">
            <v>0</v>
          </cell>
          <cell r="T1321">
            <v>0</v>
          </cell>
          <cell r="U1321">
            <v>-4</v>
          </cell>
          <cell r="V1321">
            <v>3</v>
          </cell>
          <cell r="W1321" t="str">
            <v>Ansar Bibi</v>
          </cell>
          <cell r="X1321" t="str">
            <v>Sardar Tanveer Ilyas</v>
          </cell>
        </row>
        <row r="1322">
          <cell r="L1322">
            <v>11955074</v>
          </cell>
          <cell r="M1322" t="str">
            <v>Not Available</v>
          </cell>
          <cell r="N1322" t="str">
            <v>Not Available</v>
          </cell>
          <cell r="O1322">
            <v>1</v>
          </cell>
          <cell r="P1322">
            <v>0</v>
          </cell>
          <cell r="Q1322">
            <v>0</v>
          </cell>
          <cell r="R1322">
            <v>325700</v>
          </cell>
          <cell r="S1322">
            <v>0</v>
          </cell>
          <cell r="T1322">
            <v>-1</v>
          </cell>
          <cell r="U1322">
            <v>10</v>
          </cell>
          <cell r="V1322">
            <v>0</v>
          </cell>
          <cell r="W1322" t="str">
            <v>Waqas Younis</v>
          </cell>
          <cell r="X1322" t="str">
            <v>Sardar Tanveer Ilyas</v>
          </cell>
        </row>
        <row r="1323">
          <cell r="L1323">
            <v>23314</v>
          </cell>
          <cell r="M1323" t="str">
            <v>Not Available</v>
          </cell>
          <cell r="N1323" t="str">
            <v>Not Available</v>
          </cell>
          <cell r="O1323">
            <v>1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 t="str">
            <v>Muswara Shaheen</v>
          </cell>
          <cell r="X1323" t="str">
            <v>Sardar Tanveer Ilyas</v>
          </cell>
        </row>
        <row r="1324">
          <cell r="M1324" t="str">
            <v>Not Available</v>
          </cell>
          <cell r="N1324" t="str">
            <v>Not Available</v>
          </cell>
          <cell r="O1324">
            <v>0</v>
          </cell>
          <cell r="P1324">
            <v>5</v>
          </cell>
          <cell r="Q1324">
            <v>0</v>
          </cell>
          <cell r="R1324">
            <v>0</v>
          </cell>
          <cell r="S1324">
            <v>0</v>
          </cell>
          <cell r="T1324">
            <v>1</v>
          </cell>
          <cell r="U1324">
            <v>-5</v>
          </cell>
          <cell r="V1324">
            <v>0</v>
          </cell>
          <cell r="W1324" t="str">
            <v>Ameer Aslam</v>
          </cell>
          <cell r="X1324" t="str">
            <v>Sardar Tanveer Ilyas</v>
          </cell>
        </row>
        <row r="1325">
          <cell r="K1325">
            <v>6045</v>
          </cell>
          <cell r="L1325">
            <v>24459</v>
          </cell>
          <cell r="M1325" t="str">
            <v>Intiqal</v>
          </cell>
          <cell r="N1325" t="str">
            <v>Registry</v>
          </cell>
          <cell r="O1325">
            <v>0</v>
          </cell>
          <cell r="P1325">
            <v>5</v>
          </cell>
          <cell r="Q1325">
            <v>0</v>
          </cell>
          <cell r="R1325">
            <v>74800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 t="str">
            <v>Wahnar Shahzad</v>
          </cell>
          <cell r="X1325" t="str">
            <v>Sardar Tanveer Ilyas</v>
          </cell>
          <cell r="Y1325">
            <v>45187</v>
          </cell>
        </row>
        <row r="1326">
          <cell r="K1326">
            <v>6044</v>
          </cell>
          <cell r="L1326">
            <v>24460</v>
          </cell>
          <cell r="M1326" t="str">
            <v>Intiqal</v>
          </cell>
          <cell r="N1326" t="str">
            <v>Registry</v>
          </cell>
          <cell r="O1326">
            <v>0</v>
          </cell>
          <cell r="P1326">
            <v>5</v>
          </cell>
          <cell r="Q1326">
            <v>0</v>
          </cell>
          <cell r="R1326">
            <v>74800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 t="str">
            <v>Hudaibia Shahzad</v>
          </cell>
          <cell r="X1326" t="str">
            <v>Sardar Tanveer Ilyas</v>
          </cell>
          <cell r="Y1326">
            <v>45187</v>
          </cell>
        </row>
        <row r="1327">
          <cell r="K1327">
            <v>6061</v>
          </cell>
          <cell r="L1327">
            <v>28206</v>
          </cell>
          <cell r="M1327" t="str">
            <v>Intiqal</v>
          </cell>
          <cell r="N1327" t="str">
            <v>Registry</v>
          </cell>
          <cell r="O1327">
            <v>0</v>
          </cell>
          <cell r="P1327">
            <v>5</v>
          </cell>
          <cell r="Q1327">
            <v>0</v>
          </cell>
          <cell r="R1327">
            <v>80100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 t="str">
            <v>Waqar Younis</v>
          </cell>
          <cell r="X1327" t="str">
            <v>Sardar Tanveer Ilyas</v>
          </cell>
          <cell r="Y1327">
            <v>45255</v>
          </cell>
        </row>
        <row r="1328">
          <cell r="L1328">
            <v>26129</v>
          </cell>
          <cell r="M1328" t="str">
            <v>Not Available</v>
          </cell>
          <cell r="N1328" t="str">
            <v>Not Available</v>
          </cell>
          <cell r="O1328">
            <v>1</v>
          </cell>
          <cell r="P1328">
            <v>17</v>
          </cell>
          <cell r="Q1328">
            <v>0</v>
          </cell>
          <cell r="R1328">
            <v>318400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 t="str">
            <v>Azam Elahi</v>
          </cell>
          <cell r="X1328" t="str">
            <v>Sardar Tanveer Ilyas</v>
          </cell>
        </row>
        <row r="1329">
          <cell r="L1329">
            <v>10848852</v>
          </cell>
          <cell r="M1329" t="str">
            <v>Not Available</v>
          </cell>
          <cell r="N1329" t="str">
            <v>Not Available</v>
          </cell>
          <cell r="O1329">
            <v>0</v>
          </cell>
          <cell r="P1329">
            <v>10</v>
          </cell>
          <cell r="Q1329">
            <v>5.98</v>
          </cell>
          <cell r="R1329">
            <v>190680</v>
          </cell>
          <cell r="S1329">
            <v>0</v>
          </cell>
          <cell r="T1329">
            <v>11</v>
          </cell>
          <cell r="U1329">
            <v>4</v>
          </cell>
          <cell r="V1329">
            <v>1</v>
          </cell>
          <cell r="W1329" t="str">
            <v>Maroof Bibi</v>
          </cell>
          <cell r="X1329" t="str">
            <v>Sardar Tanveer Ilyas</v>
          </cell>
        </row>
        <row r="1330">
          <cell r="K1330">
            <v>4218</v>
          </cell>
          <cell r="L1330">
            <v>10962</v>
          </cell>
          <cell r="M1330" t="str">
            <v>Intiqal</v>
          </cell>
          <cell r="N1330" t="str">
            <v>Registry</v>
          </cell>
          <cell r="O1330">
            <v>11</v>
          </cell>
          <cell r="P1330">
            <v>4</v>
          </cell>
          <cell r="Q1330">
            <v>1</v>
          </cell>
          <cell r="R1330">
            <v>3473500</v>
          </cell>
          <cell r="S1330">
            <v>0</v>
          </cell>
          <cell r="T1330">
            <v>-11</v>
          </cell>
          <cell r="U1330">
            <v>6</v>
          </cell>
          <cell r="V1330">
            <v>4.9800000000000004</v>
          </cell>
          <cell r="W1330" t="str">
            <v>Azmat Khan</v>
          </cell>
          <cell r="X1330" t="str">
            <v>Sardar Tanveer Ilyas</v>
          </cell>
          <cell r="Y1330">
            <v>45238</v>
          </cell>
        </row>
        <row r="1331">
          <cell r="K1331">
            <v>5751</v>
          </cell>
          <cell r="L1331">
            <v>27037</v>
          </cell>
          <cell r="M1331" t="str">
            <v>Intiqal</v>
          </cell>
          <cell r="N1331" t="str">
            <v>Registry</v>
          </cell>
          <cell r="O1331">
            <v>2</v>
          </cell>
          <cell r="P1331">
            <v>0</v>
          </cell>
          <cell r="Q1331">
            <v>0</v>
          </cell>
          <cell r="R1331">
            <v>417580</v>
          </cell>
          <cell r="S1331">
            <v>0</v>
          </cell>
          <cell r="T1331">
            <v>4</v>
          </cell>
          <cell r="U1331">
            <v>0</v>
          </cell>
          <cell r="V1331">
            <v>0</v>
          </cell>
          <cell r="W1331" t="str">
            <v>Rasheed Begum</v>
          </cell>
          <cell r="X1331" t="str">
            <v>Sardar Tanveer Ilyas</v>
          </cell>
          <cell r="Y1331">
            <v>45241</v>
          </cell>
        </row>
        <row r="1332">
          <cell r="K1332">
            <v>5750</v>
          </cell>
          <cell r="L1332">
            <v>27030</v>
          </cell>
          <cell r="M1332" t="str">
            <v>Intiqal</v>
          </cell>
          <cell r="N1332" t="str">
            <v>Registry</v>
          </cell>
          <cell r="O1332">
            <v>1</v>
          </cell>
          <cell r="P1332">
            <v>0</v>
          </cell>
          <cell r="Q1332">
            <v>0</v>
          </cell>
          <cell r="R1332">
            <v>209630</v>
          </cell>
          <cell r="S1332">
            <v>0</v>
          </cell>
          <cell r="T1332">
            <v>1</v>
          </cell>
          <cell r="U1332">
            <v>0</v>
          </cell>
          <cell r="V1332">
            <v>0</v>
          </cell>
          <cell r="W1332" t="str">
            <v>Zarina Begum</v>
          </cell>
          <cell r="X1332" t="str">
            <v>Sardar Tanveer Ilyas</v>
          </cell>
          <cell r="Y1332">
            <v>45241</v>
          </cell>
        </row>
        <row r="1333">
          <cell r="K1333">
            <v>5749</v>
          </cell>
          <cell r="L1333">
            <v>27028</v>
          </cell>
          <cell r="M1333" t="str">
            <v>Intiqal</v>
          </cell>
          <cell r="N1333" t="str">
            <v>Registry</v>
          </cell>
          <cell r="O1333">
            <v>3</v>
          </cell>
          <cell r="P1333">
            <v>0</v>
          </cell>
          <cell r="Q1333">
            <v>0</v>
          </cell>
          <cell r="R1333">
            <v>623730</v>
          </cell>
          <cell r="S1333">
            <v>0</v>
          </cell>
          <cell r="T1333">
            <v>-2</v>
          </cell>
          <cell r="U1333">
            <v>0</v>
          </cell>
          <cell r="V1333">
            <v>0</v>
          </cell>
          <cell r="W1333" t="str">
            <v>Bushra Bibi</v>
          </cell>
          <cell r="X1333" t="str">
            <v>Sardar Tanveer Ilyas</v>
          </cell>
          <cell r="Y1333">
            <v>45241</v>
          </cell>
        </row>
        <row r="1334">
          <cell r="L1334">
            <v>28939</v>
          </cell>
          <cell r="M1334" t="str">
            <v>Not Available</v>
          </cell>
          <cell r="N1334" t="str">
            <v>Registry</v>
          </cell>
          <cell r="O1334">
            <v>5</v>
          </cell>
          <cell r="P1334">
            <v>10</v>
          </cell>
          <cell r="Q1334">
            <v>0</v>
          </cell>
          <cell r="R1334">
            <v>945350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 t="str">
            <v>Zeeshan Ellahi</v>
          </cell>
          <cell r="X1334" t="str">
            <v>Sardar Tanveer Ilyas</v>
          </cell>
          <cell r="Y1334">
            <v>45267</v>
          </cell>
        </row>
        <row r="1335">
          <cell r="L1335">
            <v>25979</v>
          </cell>
          <cell r="M1335" t="str">
            <v>Not Available</v>
          </cell>
          <cell r="N1335" t="str">
            <v>Registry</v>
          </cell>
          <cell r="O1335">
            <v>10</v>
          </cell>
          <cell r="P1335">
            <v>0</v>
          </cell>
          <cell r="Q1335">
            <v>0</v>
          </cell>
          <cell r="R1335">
            <v>967300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 t="str">
            <v>Aurangzaib</v>
          </cell>
          <cell r="X1335" t="str">
            <v>Sardar Tanveer Ilyas</v>
          </cell>
          <cell r="Y1335">
            <v>45224</v>
          </cell>
        </row>
        <row r="1336">
          <cell r="K1336">
            <v>6147</v>
          </cell>
          <cell r="L1336">
            <v>1657</v>
          </cell>
          <cell r="M1336" t="str">
            <v>Intiqal</v>
          </cell>
          <cell r="N1336" t="str">
            <v>Registry</v>
          </cell>
          <cell r="O1336">
            <v>2</v>
          </cell>
          <cell r="P1336">
            <v>0</v>
          </cell>
          <cell r="Q1336">
            <v>0</v>
          </cell>
          <cell r="R1336">
            <v>421400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 t="str">
            <v>Shaikh Muhammad Saeed</v>
          </cell>
          <cell r="X1336" t="str">
            <v>Sardar Tanveer Ilyas</v>
          </cell>
          <cell r="Y1336">
            <v>45314</v>
          </cell>
        </row>
        <row r="1337">
          <cell r="K1337">
            <v>6093</v>
          </cell>
          <cell r="L1337">
            <v>25066</v>
          </cell>
          <cell r="M1337" t="str">
            <v>Intiqal</v>
          </cell>
          <cell r="N1337" t="str">
            <v>Registry</v>
          </cell>
          <cell r="O1337">
            <v>1</v>
          </cell>
          <cell r="P1337">
            <v>10</v>
          </cell>
          <cell r="Q1337">
            <v>0</v>
          </cell>
          <cell r="R1337">
            <v>340300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 t="str">
            <v>Muhammad Latif Khan</v>
          </cell>
          <cell r="X1337" t="str">
            <v>Sardar Tanveer Ilyas</v>
          </cell>
          <cell r="Y1337">
            <v>45197</v>
          </cell>
        </row>
        <row r="1338">
          <cell r="K1338">
            <v>6053</v>
          </cell>
          <cell r="L1338">
            <v>26635</v>
          </cell>
          <cell r="M1338" t="str">
            <v>Intiqal</v>
          </cell>
          <cell r="N1338" t="str">
            <v>Registry</v>
          </cell>
          <cell r="O1338">
            <v>1</v>
          </cell>
          <cell r="P1338">
            <v>0</v>
          </cell>
          <cell r="Q1338">
            <v>0</v>
          </cell>
          <cell r="R1338">
            <v>228400</v>
          </cell>
          <cell r="S1338">
            <v>100000</v>
          </cell>
          <cell r="T1338">
            <v>0</v>
          </cell>
          <cell r="U1338">
            <v>0</v>
          </cell>
          <cell r="V1338">
            <v>0</v>
          </cell>
          <cell r="W1338" t="str">
            <v>Adnan Afzal</v>
          </cell>
          <cell r="X1338" t="str">
            <v>Sardar Tanveer Ilyas</v>
          </cell>
          <cell r="Y1338">
            <v>45231</v>
          </cell>
        </row>
        <row r="1339">
          <cell r="L1339">
            <v>11824215</v>
          </cell>
          <cell r="M1339" t="str">
            <v>Not Available</v>
          </cell>
          <cell r="N1339" t="str">
            <v>Not Available</v>
          </cell>
          <cell r="O1339">
            <v>2</v>
          </cell>
          <cell r="P1339">
            <v>0</v>
          </cell>
          <cell r="Q1339">
            <v>0</v>
          </cell>
          <cell r="R1339">
            <v>1528500</v>
          </cell>
          <cell r="S1339">
            <v>0</v>
          </cell>
          <cell r="T1339">
            <v>2</v>
          </cell>
          <cell r="U1339">
            <v>0</v>
          </cell>
          <cell r="V1339">
            <v>0</v>
          </cell>
          <cell r="W1339" t="str">
            <v>Khuda Dad</v>
          </cell>
          <cell r="X1339" t="str">
            <v>Sardar Tanveer Ilyas</v>
          </cell>
        </row>
        <row r="1340">
          <cell r="L1340">
            <v>11850420</v>
          </cell>
          <cell r="M1340" t="str">
            <v>Not Available</v>
          </cell>
          <cell r="N1340" t="str">
            <v>Not Available</v>
          </cell>
          <cell r="O1340">
            <v>2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 t="str">
            <v>Nighat Shaheen</v>
          </cell>
          <cell r="X1340" t="str">
            <v>Sardar Tanveer Ilyas</v>
          </cell>
        </row>
        <row r="1341">
          <cell r="L1341">
            <v>11955054</v>
          </cell>
          <cell r="M1341" t="str">
            <v>Not Available</v>
          </cell>
          <cell r="N1341" t="str">
            <v>Not Available</v>
          </cell>
          <cell r="O1341">
            <v>0</v>
          </cell>
          <cell r="P1341">
            <v>5</v>
          </cell>
          <cell r="Q1341">
            <v>0</v>
          </cell>
          <cell r="R1341">
            <v>0</v>
          </cell>
          <cell r="S1341">
            <v>0</v>
          </cell>
          <cell r="T1341">
            <v>3</v>
          </cell>
          <cell r="U1341">
            <v>6</v>
          </cell>
          <cell r="V1341">
            <v>0</v>
          </cell>
        </row>
        <row r="1342">
          <cell r="K1342">
            <v>6239</v>
          </cell>
          <cell r="L1342">
            <v>27436</v>
          </cell>
          <cell r="M1342" t="str">
            <v>Intiqal</v>
          </cell>
          <cell r="N1342" t="str">
            <v>Registry</v>
          </cell>
          <cell r="O1342">
            <v>3</v>
          </cell>
          <cell r="P1342">
            <v>6</v>
          </cell>
          <cell r="Q1342">
            <v>0</v>
          </cell>
          <cell r="R1342">
            <v>692900</v>
          </cell>
          <cell r="S1342">
            <v>0</v>
          </cell>
          <cell r="T1342">
            <v>-3</v>
          </cell>
          <cell r="U1342">
            <v>-1</v>
          </cell>
          <cell r="V1342">
            <v>0</v>
          </cell>
          <cell r="W1342" t="str">
            <v>M Yousaf Noman</v>
          </cell>
          <cell r="X1342" t="str">
            <v>Sardar Tanveer Ilyas</v>
          </cell>
          <cell r="Y1342">
            <v>45244</v>
          </cell>
        </row>
        <row r="1343">
          <cell r="K1343">
            <v>6048</v>
          </cell>
          <cell r="L1343">
            <v>2321</v>
          </cell>
          <cell r="M1343" t="str">
            <v>Intiqal</v>
          </cell>
          <cell r="N1343" t="str">
            <v>Registry</v>
          </cell>
          <cell r="O1343">
            <v>2</v>
          </cell>
          <cell r="P1343">
            <v>0</v>
          </cell>
          <cell r="Q1343">
            <v>0</v>
          </cell>
          <cell r="R1343">
            <v>313100</v>
          </cell>
          <cell r="S1343">
            <v>0</v>
          </cell>
          <cell r="T1343">
            <v>3</v>
          </cell>
          <cell r="U1343">
            <v>0</v>
          </cell>
          <cell r="V1343">
            <v>0</v>
          </cell>
          <cell r="W1343" t="str">
            <v>Saeeda</v>
          </cell>
          <cell r="X1343" t="str">
            <v>Sardar Tanveer Ilyas</v>
          </cell>
          <cell r="Y1343">
            <v>45311</v>
          </cell>
        </row>
        <row r="1344">
          <cell r="K1344">
            <v>6055</v>
          </cell>
          <cell r="L1344">
            <v>1692</v>
          </cell>
          <cell r="M1344" t="str">
            <v>Intiqal</v>
          </cell>
          <cell r="N1344" t="str">
            <v>Registry</v>
          </cell>
          <cell r="O1344">
            <v>1</v>
          </cell>
          <cell r="P1344">
            <v>0</v>
          </cell>
          <cell r="Q1344">
            <v>0</v>
          </cell>
          <cell r="R1344">
            <v>218850</v>
          </cell>
          <cell r="S1344">
            <v>0</v>
          </cell>
          <cell r="T1344">
            <v>1</v>
          </cell>
          <cell r="U1344">
            <v>0</v>
          </cell>
          <cell r="V1344">
            <v>0</v>
          </cell>
          <cell r="W1344" t="str">
            <v>Maria Malik</v>
          </cell>
          <cell r="X1344" t="str">
            <v>Sardar Tanveer Ilyas</v>
          </cell>
          <cell r="Y1344">
            <v>45313</v>
          </cell>
        </row>
        <row r="1345">
          <cell r="K1345">
            <v>6056</v>
          </cell>
          <cell r="L1345">
            <v>1708</v>
          </cell>
          <cell r="M1345" t="str">
            <v>Intiqal</v>
          </cell>
          <cell r="N1345" t="str">
            <v>Registry</v>
          </cell>
          <cell r="O1345">
            <v>2</v>
          </cell>
          <cell r="P1345">
            <v>0</v>
          </cell>
          <cell r="Q1345">
            <v>0</v>
          </cell>
          <cell r="R1345">
            <v>417400</v>
          </cell>
          <cell r="S1345">
            <v>500000</v>
          </cell>
          <cell r="T1345">
            <v>-1</v>
          </cell>
          <cell r="U1345">
            <v>0</v>
          </cell>
          <cell r="V1345">
            <v>0</v>
          </cell>
          <cell r="W1345" t="str">
            <v>Javed Anjum</v>
          </cell>
          <cell r="X1345" t="str">
            <v>Sardar Tanveer Ilyas</v>
          </cell>
          <cell r="Y1345">
            <v>45313</v>
          </cell>
        </row>
        <row r="1346">
          <cell r="K1346">
            <v>745</v>
          </cell>
          <cell r="L1346">
            <v>1693</v>
          </cell>
          <cell r="M1346" t="str">
            <v>Intiqal</v>
          </cell>
          <cell r="N1346" t="str">
            <v>Registry</v>
          </cell>
          <cell r="O1346">
            <v>0</v>
          </cell>
          <cell r="P1346">
            <v>10</v>
          </cell>
          <cell r="Q1346">
            <v>0</v>
          </cell>
          <cell r="R1346">
            <v>109400</v>
          </cell>
          <cell r="S1346">
            <v>0</v>
          </cell>
          <cell r="T1346">
            <v>1</v>
          </cell>
          <cell r="U1346">
            <v>-10</v>
          </cell>
          <cell r="V1346">
            <v>0</v>
          </cell>
          <cell r="W1346" t="str">
            <v>Alleha Hameed</v>
          </cell>
          <cell r="X1346" t="str">
            <v>Sardar Tanveer Ilyas</v>
          </cell>
          <cell r="Y1346">
            <v>45313</v>
          </cell>
        </row>
        <row r="1347">
          <cell r="K1347">
            <v>744</v>
          </cell>
          <cell r="L1347">
            <v>2322</v>
          </cell>
          <cell r="M1347" t="str">
            <v>Intiqal</v>
          </cell>
          <cell r="N1347" t="str">
            <v>Registry</v>
          </cell>
          <cell r="O1347">
            <v>0</v>
          </cell>
          <cell r="P1347">
            <v>10</v>
          </cell>
          <cell r="Q1347">
            <v>0</v>
          </cell>
          <cell r="R1347">
            <v>119850</v>
          </cell>
          <cell r="S1347">
            <v>100000</v>
          </cell>
          <cell r="T1347">
            <v>0</v>
          </cell>
          <cell r="U1347">
            <v>0</v>
          </cell>
          <cell r="V1347">
            <v>0</v>
          </cell>
          <cell r="W1347" t="str">
            <v>Makhmal Jan</v>
          </cell>
          <cell r="X1347" t="str">
            <v>Sardar Tanveer Ilyas</v>
          </cell>
          <cell r="Y1347">
            <v>45313</v>
          </cell>
        </row>
        <row r="1348">
          <cell r="K1348">
            <v>6003</v>
          </cell>
          <cell r="L1348">
            <v>143</v>
          </cell>
          <cell r="M1348" t="str">
            <v>Intiqal</v>
          </cell>
          <cell r="N1348" t="str">
            <v>Registry</v>
          </cell>
          <cell r="O1348">
            <v>0</v>
          </cell>
          <cell r="P1348">
            <v>5</v>
          </cell>
          <cell r="Q1348">
            <v>0</v>
          </cell>
          <cell r="R1348">
            <v>71770</v>
          </cell>
          <cell r="S1348">
            <v>25000</v>
          </cell>
          <cell r="T1348">
            <v>0</v>
          </cell>
          <cell r="U1348">
            <v>0</v>
          </cell>
          <cell r="V1348">
            <v>0</v>
          </cell>
          <cell r="W1348" t="str">
            <v>Tahir Khan</v>
          </cell>
          <cell r="X1348" t="str">
            <v>Sardar Tanveer Ilyas</v>
          </cell>
          <cell r="Y1348">
            <v>45294</v>
          </cell>
        </row>
        <row r="1349">
          <cell r="L1349">
            <v>27352</v>
          </cell>
          <cell r="M1349" t="str">
            <v>Not Available</v>
          </cell>
          <cell r="N1349" t="str">
            <v>Registry</v>
          </cell>
          <cell r="O1349">
            <v>0</v>
          </cell>
          <cell r="P1349">
            <v>16</v>
          </cell>
          <cell r="Q1349">
            <v>0</v>
          </cell>
          <cell r="R1349">
            <v>181450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 t="str">
            <v>Muhammad Najib Khan</v>
          </cell>
          <cell r="X1349" t="str">
            <v>Sardar Tanveer Ilyas</v>
          </cell>
          <cell r="Y1349">
            <v>45276</v>
          </cell>
        </row>
        <row r="1350">
          <cell r="K1350">
            <v>6041</v>
          </cell>
          <cell r="L1350">
            <v>27972</v>
          </cell>
          <cell r="M1350" t="str">
            <v>Intiqal</v>
          </cell>
          <cell r="N1350" t="str">
            <v>Registry</v>
          </cell>
          <cell r="O1350">
            <v>0</v>
          </cell>
          <cell r="P1350">
            <v>10</v>
          </cell>
          <cell r="Q1350">
            <v>0</v>
          </cell>
          <cell r="R1350">
            <v>119850</v>
          </cell>
          <cell r="S1350">
            <v>0</v>
          </cell>
          <cell r="T1350">
            <v>2</v>
          </cell>
          <cell r="U1350">
            <v>0</v>
          </cell>
          <cell r="V1350">
            <v>0</v>
          </cell>
          <cell r="W1350" t="str">
            <v>Arsalan ahmed</v>
          </cell>
          <cell r="X1350" t="str">
            <v>Sardar Tanveer Ilyas</v>
          </cell>
          <cell r="Y1350">
            <v>45252</v>
          </cell>
        </row>
        <row r="1351">
          <cell r="K1351">
            <v>5732</v>
          </cell>
          <cell r="L1351">
            <v>28773</v>
          </cell>
          <cell r="M1351" t="str">
            <v>Intiqal</v>
          </cell>
          <cell r="N1351" t="str">
            <v>Registry</v>
          </cell>
          <cell r="O1351">
            <v>2</v>
          </cell>
          <cell r="P1351">
            <v>0</v>
          </cell>
          <cell r="Q1351">
            <v>0</v>
          </cell>
          <cell r="R1351">
            <v>417400</v>
          </cell>
          <cell r="S1351">
            <v>0</v>
          </cell>
          <cell r="T1351">
            <v>-2</v>
          </cell>
          <cell r="U1351">
            <v>10</v>
          </cell>
          <cell r="V1351">
            <v>0</v>
          </cell>
          <cell r="W1351" t="str">
            <v>Arsalan ahmed</v>
          </cell>
          <cell r="X1351" t="str">
            <v>Sardar Tanveer Ilyas</v>
          </cell>
          <cell r="Y1351">
            <v>45265</v>
          </cell>
        </row>
        <row r="1352">
          <cell r="K1352">
            <v>5731</v>
          </cell>
          <cell r="L1352">
            <v>28786</v>
          </cell>
          <cell r="M1352" t="str">
            <v>Intiqal</v>
          </cell>
          <cell r="N1352" t="str">
            <v>Registry</v>
          </cell>
          <cell r="O1352">
            <v>1</v>
          </cell>
          <cell r="P1352">
            <v>10</v>
          </cell>
          <cell r="Q1352">
            <v>0</v>
          </cell>
          <cell r="R1352">
            <v>181750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 t="str">
            <v>Muhammad Faizan Chaudhary</v>
          </cell>
          <cell r="X1352" t="str">
            <v>Sardar Tanveer Ilyas</v>
          </cell>
          <cell r="Y1352">
            <v>45290</v>
          </cell>
        </row>
        <row r="1353">
          <cell r="K1353" t="str">
            <v>5733/5734</v>
          </cell>
          <cell r="L1353">
            <v>28904</v>
          </cell>
          <cell r="M1353" t="str">
            <v>Intiqal</v>
          </cell>
          <cell r="N1353" t="str">
            <v>Registry</v>
          </cell>
          <cell r="O1353">
            <v>6</v>
          </cell>
          <cell r="P1353">
            <v>0</v>
          </cell>
          <cell r="Q1353">
            <v>0</v>
          </cell>
          <cell r="R1353">
            <v>644800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 t="str">
            <v>Raja Muhammad Yasin</v>
          </cell>
          <cell r="X1353" t="str">
            <v>Sardar Tanveer Ilyas</v>
          </cell>
          <cell r="Y1353">
            <v>45290</v>
          </cell>
        </row>
        <row r="1354">
          <cell r="M1354" t="str">
            <v>Not Available</v>
          </cell>
          <cell r="N1354" t="str">
            <v>Not Available</v>
          </cell>
          <cell r="O1354">
            <v>0</v>
          </cell>
          <cell r="P1354">
            <v>16</v>
          </cell>
          <cell r="Q1354">
            <v>0</v>
          </cell>
          <cell r="R1354">
            <v>181450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 t="str">
            <v>Abdul Raheem Khan</v>
          </cell>
          <cell r="X1354" t="str">
            <v>Sardar Tanveer Ilyas</v>
          </cell>
        </row>
        <row r="1355">
          <cell r="K1355">
            <v>5732</v>
          </cell>
          <cell r="L1355">
            <v>28787</v>
          </cell>
          <cell r="M1355" t="str">
            <v>Intiqal</v>
          </cell>
          <cell r="N1355" t="str">
            <v>Registry</v>
          </cell>
          <cell r="O1355">
            <v>2</v>
          </cell>
          <cell r="P1355">
            <v>0</v>
          </cell>
          <cell r="Q1355">
            <v>0</v>
          </cell>
          <cell r="R1355">
            <v>241510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 t="str">
            <v>Arsalan ahmed</v>
          </cell>
          <cell r="X1355" t="str">
            <v>Sardar Tanveer Ilyas</v>
          </cell>
          <cell r="Y1355">
            <v>45290</v>
          </cell>
        </row>
        <row r="1356">
          <cell r="L1356">
            <v>9272</v>
          </cell>
          <cell r="M1356" t="str">
            <v>Not Available</v>
          </cell>
          <cell r="N1356" t="str">
            <v>Registry</v>
          </cell>
          <cell r="O1356">
            <v>3</v>
          </cell>
          <cell r="P1356">
            <v>8</v>
          </cell>
          <cell r="Q1356">
            <v>4.5</v>
          </cell>
          <cell r="R1356">
            <v>0</v>
          </cell>
          <cell r="S1356">
            <v>0</v>
          </cell>
          <cell r="T1356">
            <v>6</v>
          </cell>
          <cell r="U1356">
            <v>-3</v>
          </cell>
          <cell r="V1356">
            <v>-4.5</v>
          </cell>
          <cell r="W1356" t="str">
            <v>Hayat Muhammad</v>
          </cell>
          <cell r="X1356" t="str">
            <v>Sardar Tanveer Ilyas</v>
          </cell>
          <cell r="Y1356">
            <v>45521</v>
          </cell>
        </row>
        <row r="1357">
          <cell r="L1357">
            <v>28642</v>
          </cell>
          <cell r="M1357" t="str">
            <v>Not Available</v>
          </cell>
          <cell r="N1357" t="str">
            <v>Registry</v>
          </cell>
          <cell r="O1357">
            <v>5</v>
          </cell>
          <cell r="P1357">
            <v>16</v>
          </cell>
          <cell r="Q1357">
            <v>4.5</v>
          </cell>
          <cell r="R1357">
            <v>561440</v>
          </cell>
          <cell r="S1357">
            <v>0</v>
          </cell>
          <cell r="T1357">
            <v>-2</v>
          </cell>
          <cell r="U1357">
            <v>-8</v>
          </cell>
          <cell r="V1357">
            <v>0</v>
          </cell>
          <cell r="W1357" t="str">
            <v>Shahid Iqbal</v>
          </cell>
          <cell r="X1357" t="str">
            <v>Sardar Tanveer Ilyas</v>
          </cell>
          <cell r="Y1357">
            <v>45264</v>
          </cell>
        </row>
        <row r="1358">
          <cell r="L1358">
            <v>28633</v>
          </cell>
          <cell r="M1358" t="str">
            <v>Not Available</v>
          </cell>
          <cell r="N1358" t="str">
            <v>Registry</v>
          </cell>
          <cell r="O1358">
            <v>2</v>
          </cell>
          <cell r="P1358">
            <v>5</v>
          </cell>
          <cell r="Q1358">
            <v>0</v>
          </cell>
          <cell r="R1358">
            <v>191000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 t="str">
            <v>Muhammad Rasheed Khan</v>
          </cell>
          <cell r="X1358" t="str">
            <v>Sardar Tanveer Ilyas</v>
          </cell>
          <cell r="Y1358">
            <v>44930</v>
          </cell>
        </row>
        <row r="1359">
          <cell r="K1359">
            <v>6094</v>
          </cell>
          <cell r="L1359">
            <v>29245</v>
          </cell>
          <cell r="M1359" t="str">
            <v>Intiqal</v>
          </cell>
          <cell r="N1359" t="str">
            <v>Registry</v>
          </cell>
          <cell r="O1359">
            <v>1</v>
          </cell>
          <cell r="P1359">
            <v>0</v>
          </cell>
          <cell r="Q1359">
            <v>0</v>
          </cell>
          <cell r="R1359">
            <v>228400</v>
          </cell>
          <cell r="S1359">
            <v>100000</v>
          </cell>
          <cell r="T1359">
            <v>0</v>
          </cell>
          <cell r="U1359">
            <v>0</v>
          </cell>
          <cell r="V1359">
            <v>0</v>
          </cell>
          <cell r="W1359" t="str">
            <v>Waqar Younis</v>
          </cell>
          <cell r="X1359" t="str">
            <v>Sardar Tanveer Ilyas</v>
          </cell>
          <cell r="Y1359">
            <v>45272</v>
          </cell>
        </row>
        <row r="1360">
          <cell r="K1360">
            <v>6238</v>
          </cell>
          <cell r="L1360">
            <v>8572</v>
          </cell>
          <cell r="M1360" t="str">
            <v>Intiqal</v>
          </cell>
          <cell r="N1360" t="str">
            <v>Registry</v>
          </cell>
          <cell r="O1360">
            <v>1</v>
          </cell>
          <cell r="P1360">
            <v>0</v>
          </cell>
          <cell r="Q1360">
            <v>0</v>
          </cell>
          <cell r="R1360">
            <v>274700</v>
          </cell>
          <cell r="S1360">
            <v>0</v>
          </cell>
          <cell r="T1360">
            <v>2</v>
          </cell>
          <cell r="U1360">
            <v>15</v>
          </cell>
          <cell r="V1360">
            <v>0</v>
          </cell>
          <cell r="W1360" t="str">
            <v>Nazim Khan</v>
          </cell>
          <cell r="X1360" t="str">
            <v>Sardar Tanveer Ilyas</v>
          </cell>
          <cell r="Y1360">
            <v>45539</v>
          </cell>
        </row>
        <row r="1361">
          <cell r="K1361">
            <v>6289</v>
          </cell>
          <cell r="L1361">
            <v>8033</v>
          </cell>
          <cell r="M1361" t="str">
            <v>Intiqal</v>
          </cell>
          <cell r="N1361" t="str">
            <v>Registry</v>
          </cell>
          <cell r="O1361">
            <v>0</v>
          </cell>
          <cell r="P1361">
            <v>10</v>
          </cell>
          <cell r="Q1361">
            <v>0</v>
          </cell>
          <cell r="R1361">
            <v>221300</v>
          </cell>
          <cell r="S1361">
            <v>0</v>
          </cell>
          <cell r="T1361">
            <v>1</v>
          </cell>
          <cell r="U1361">
            <v>-10</v>
          </cell>
          <cell r="V1361">
            <v>0</v>
          </cell>
          <cell r="W1361" t="str">
            <v>Thana Dar Khan</v>
          </cell>
          <cell r="X1361" t="str">
            <v>Sardar Tanveer Ilyas</v>
          </cell>
          <cell r="Y1361">
            <v>45539</v>
          </cell>
        </row>
        <row r="1362">
          <cell r="K1362">
            <v>6238</v>
          </cell>
          <cell r="L1362">
            <v>8034</v>
          </cell>
          <cell r="M1362" t="str">
            <v>Intiqal</v>
          </cell>
          <cell r="N1362" t="str">
            <v>Registry</v>
          </cell>
          <cell r="O1362">
            <v>1</v>
          </cell>
          <cell r="P1362">
            <v>0</v>
          </cell>
          <cell r="Q1362">
            <v>0</v>
          </cell>
          <cell r="R1362">
            <v>274700</v>
          </cell>
          <cell r="S1362">
            <v>0</v>
          </cell>
          <cell r="T1362">
            <v>-1</v>
          </cell>
          <cell r="U1362">
            <v>10</v>
          </cell>
          <cell r="V1362">
            <v>0</v>
          </cell>
          <cell r="W1362" t="str">
            <v>Shakeel Ahmed</v>
          </cell>
          <cell r="X1362" t="str">
            <v>Sardar Tanveer Ilyas</v>
          </cell>
          <cell r="Y1362">
            <v>45539</v>
          </cell>
        </row>
        <row r="1363">
          <cell r="L1363">
            <v>11758591</v>
          </cell>
          <cell r="M1363" t="str">
            <v>Not Available</v>
          </cell>
          <cell r="N1363" t="str">
            <v>Not Available</v>
          </cell>
          <cell r="O1363">
            <v>0</v>
          </cell>
          <cell r="P1363">
            <v>10</v>
          </cell>
          <cell r="Q1363">
            <v>0</v>
          </cell>
          <cell r="R1363">
            <v>221300</v>
          </cell>
          <cell r="S1363">
            <v>0</v>
          </cell>
          <cell r="T1363">
            <v>1</v>
          </cell>
          <cell r="U1363">
            <v>-10</v>
          </cell>
          <cell r="V1363">
            <v>0</v>
          </cell>
          <cell r="W1363" t="str">
            <v>Rab NAwaz</v>
          </cell>
          <cell r="X1363" t="str">
            <v>Sardar Tanveer Ilyas</v>
          </cell>
        </row>
        <row r="1364">
          <cell r="K1364">
            <v>5998</v>
          </cell>
          <cell r="L1364">
            <v>7201</v>
          </cell>
          <cell r="M1364" t="str">
            <v>Intiqal</v>
          </cell>
          <cell r="N1364" t="str">
            <v>Registry</v>
          </cell>
          <cell r="O1364">
            <v>0</v>
          </cell>
          <cell r="P1364">
            <v>5</v>
          </cell>
          <cell r="Q1364">
            <v>0</v>
          </cell>
          <cell r="R1364">
            <v>125450</v>
          </cell>
          <cell r="S1364">
            <v>0</v>
          </cell>
          <cell r="T1364">
            <v>0</v>
          </cell>
          <cell r="U1364">
            <v>5</v>
          </cell>
          <cell r="V1364">
            <v>0</v>
          </cell>
          <cell r="W1364" t="str">
            <v>Nadeem Sajid</v>
          </cell>
          <cell r="X1364" t="str">
            <v>Sardar Tanveer Ilyas</v>
          </cell>
          <cell r="Y1364">
            <v>45533</v>
          </cell>
        </row>
        <row r="1365">
          <cell r="K1365">
            <v>5998</v>
          </cell>
          <cell r="L1365">
            <v>7497</v>
          </cell>
          <cell r="M1365" t="str">
            <v>Intiqal</v>
          </cell>
          <cell r="N1365" t="str">
            <v>Registry</v>
          </cell>
          <cell r="O1365">
            <v>0</v>
          </cell>
          <cell r="P1365">
            <v>5</v>
          </cell>
          <cell r="Q1365">
            <v>0</v>
          </cell>
          <cell r="R1365">
            <v>125450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 t="str">
            <v>Shamim Akhtar</v>
          </cell>
          <cell r="X1365" t="str">
            <v>Sardar Tanveer Ilyas</v>
          </cell>
          <cell r="Y1365">
            <v>45533</v>
          </cell>
        </row>
        <row r="1366">
          <cell r="K1366">
            <v>5999</v>
          </cell>
          <cell r="L1366">
            <v>7039</v>
          </cell>
          <cell r="M1366" t="str">
            <v>Intiqal</v>
          </cell>
          <cell r="N1366" t="str">
            <v>Registry</v>
          </cell>
          <cell r="O1366">
            <v>0</v>
          </cell>
          <cell r="P1366">
            <v>5</v>
          </cell>
          <cell r="Q1366">
            <v>0</v>
          </cell>
          <cell r="R1366">
            <v>125450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 t="str">
            <v>Khan Muhammad</v>
          </cell>
          <cell r="X1366" t="str">
            <v>Sardar Tanveer Ilyas</v>
          </cell>
          <cell r="Y1366">
            <v>45533</v>
          </cell>
        </row>
        <row r="1367">
          <cell r="K1367">
            <v>4025</v>
          </cell>
          <cell r="L1367" t="str">
            <v>142-2023-0000459</v>
          </cell>
          <cell r="M1367" t="str">
            <v>Intiqal</v>
          </cell>
          <cell r="N1367" t="str">
            <v>Registry</v>
          </cell>
          <cell r="O1367">
            <v>0</v>
          </cell>
          <cell r="P1367">
            <v>10</v>
          </cell>
          <cell r="Q1367">
            <v>0</v>
          </cell>
          <cell r="R1367">
            <v>0</v>
          </cell>
          <cell r="S1367">
            <v>0</v>
          </cell>
          <cell r="T1367">
            <v>2</v>
          </cell>
          <cell r="U1367">
            <v>0</v>
          </cell>
          <cell r="V1367">
            <v>0</v>
          </cell>
          <cell r="W1367" t="str">
            <v>Waqar Ahmed</v>
          </cell>
          <cell r="X1367" t="str">
            <v>Sardar Tanveer Ilyas</v>
          </cell>
          <cell r="Y1367">
            <v>45253</v>
          </cell>
        </row>
        <row r="1368">
          <cell r="K1368">
            <v>4026</v>
          </cell>
          <cell r="L1368" t="str">
            <v>142-2023-0000463</v>
          </cell>
          <cell r="M1368" t="str">
            <v>Intiqal</v>
          </cell>
          <cell r="N1368" t="str">
            <v>Registry</v>
          </cell>
          <cell r="O1368">
            <v>2</v>
          </cell>
          <cell r="P1368">
            <v>0</v>
          </cell>
          <cell r="Q1368">
            <v>0</v>
          </cell>
          <cell r="R1368">
            <v>674400</v>
          </cell>
          <cell r="S1368">
            <v>0</v>
          </cell>
          <cell r="T1368">
            <v>-2</v>
          </cell>
          <cell r="U1368">
            <v>10</v>
          </cell>
          <cell r="V1368">
            <v>0</v>
          </cell>
          <cell r="W1368" t="str">
            <v>Muhammad Arif</v>
          </cell>
          <cell r="X1368" t="str">
            <v>Sardar Tanveer Ilyas</v>
          </cell>
          <cell r="Y1368">
            <v>45253</v>
          </cell>
        </row>
        <row r="1369">
          <cell r="K1369">
            <v>5656</v>
          </cell>
          <cell r="L1369">
            <v>22437</v>
          </cell>
          <cell r="M1369" t="str">
            <v>Intiqal</v>
          </cell>
          <cell r="N1369" t="str">
            <v>Not Available</v>
          </cell>
          <cell r="O1369">
            <v>0</v>
          </cell>
          <cell r="P1369">
            <v>10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 t="str">
            <v>Khurram Shahzad</v>
          </cell>
          <cell r="X1369" t="str">
            <v>Sardar Tanveer Ilyas</v>
          </cell>
        </row>
        <row r="1370">
          <cell r="K1370">
            <v>679</v>
          </cell>
          <cell r="L1370">
            <v>24697</v>
          </cell>
          <cell r="M1370" t="str">
            <v>Intiqal</v>
          </cell>
          <cell r="N1370" t="str">
            <v>Registry</v>
          </cell>
          <cell r="O1370">
            <v>1</v>
          </cell>
          <cell r="P1370">
            <v>0</v>
          </cell>
          <cell r="Q1370">
            <v>0</v>
          </cell>
          <cell r="R1370">
            <v>196210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 t="str">
            <v>Toseef Ahmed</v>
          </cell>
          <cell r="X1370" t="str">
            <v>Sardar Tanveer Ilyas</v>
          </cell>
          <cell r="Y1370">
            <v>45190</v>
          </cell>
        </row>
        <row r="1371">
          <cell r="K1371">
            <v>4905</v>
          </cell>
          <cell r="L1371">
            <v>24582</v>
          </cell>
          <cell r="M1371" t="str">
            <v>Intiqal</v>
          </cell>
          <cell r="N1371" t="str">
            <v>Registry</v>
          </cell>
          <cell r="O1371">
            <v>1</v>
          </cell>
          <cell r="P1371">
            <v>15</v>
          </cell>
          <cell r="Q1371">
            <v>5</v>
          </cell>
          <cell r="R1371">
            <v>306260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 t="str">
            <v>Junaid Qamar</v>
          </cell>
          <cell r="X1371" t="str">
            <v>Sardar Tanveer Ilyas</v>
          </cell>
          <cell r="Y1371">
            <v>45192</v>
          </cell>
        </row>
        <row r="1372">
          <cell r="L1372">
            <v>26115</v>
          </cell>
          <cell r="M1372" t="str">
            <v>Not Available</v>
          </cell>
          <cell r="N1372" t="str">
            <v>Registry</v>
          </cell>
          <cell r="O1372">
            <v>3</v>
          </cell>
          <cell r="P1372">
            <v>1</v>
          </cell>
          <cell r="Q1372">
            <v>4.5</v>
          </cell>
          <cell r="R1372">
            <v>481000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 t="str">
            <v>Faheem Sarwar</v>
          </cell>
          <cell r="X1372" t="str">
            <v>Sardar Tanveer Ilyas</v>
          </cell>
          <cell r="Y1372">
            <v>45225</v>
          </cell>
        </row>
        <row r="1373">
          <cell r="L1373">
            <v>11900264</v>
          </cell>
          <cell r="M1373" t="str">
            <v>Not Available</v>
          </cell>
          <cell r="N1373" t="str">
            <v>Not Available</v>
          </cell>
          <cell r="O1373">
            <v>0</v>
          </cell>
          <cell r="P1373">
            <v>2</v>
          </cell>
          <cell r="Q1373">
            <v>6</v>
          </cell>
          <cell r="R1373">
            <v>74550</v>
          </cell>
          <cell r="S1373">
            <v>0</v>
          </cell>
          <cell r="T1373">
            <v>0</v>
          </cell>
          <cell r="U1373">
            <v>16</v>
          </cell>
          <cell r="V1373">
            <v>-3</v>
          </cell>
          <cell r="W1373" t="str">
            <v>Malik Azhar Mehmood Awan</v>
          </cell>
          <cell r="X1373" t="str">
            <v>Sardar Tanveer Ilyas</v>
          </cell>
        </row>
        <row r="1374">
          <cell r="L1374">
            <v>11900106</v>
          </cell>
          <cell r="M1374" t="str">
            <v>Not Available</v>
          </cell>
          <cell r="N1374" t="str">
            <v>Not Available</v>
          </cell>
          <cell r="O1374">
            <v>0</v>
          </cell>
          <cell r="P1374">
            <v>15</v>
          </cell>
          <cell r="Q1374">
            <v>6</v>
          </cell>
          <cell r="R1374">
            <v>195220</v>
          </cell>
          <cell r="S1374">
            <v>0</v>
          </cell>
          <cell r="T1374">
            <v>0</v>
          </cell>
          <cell r="U1374">
            <v>-13</v>
          </cell>
          <cell r="V1374">
            <v>0</v>
          </cell>
          <cell r="W1374" t="str">
            <v>Tariq Mehmood</v>
          </cell>
          <cell r="X1374" t="str">
            <v>Sardar Tanveer Ilyas</v>
          </cell>
        </row>
        <row r="1375">
          <cell r="K1375">
            <v>4134</v>
          </cell>
          <cell r="L1375">
            <v>614</v>
          </cell>
          <cell r="M1375" t="str">
            <v>Intiqal</v>
          </cell>
          <cell r="N1375" t="str">
            <v>Registry</v>
          </cell>
          <cell r="O1375">
            <v>0</v>
          </cell>
          <cell r="P1375">
            <v>5</v>
          </cell>
          <cell r="Q1375">
            <v>4.5</v>
          </cell>
          <cell r="R1375">
            <v>133200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 t="str">
            <v>Abid</v>
          </cell>
          <cell r="X1375" t="str">
            <v>Sardar Tanveer Ilyas</v>
          </cell>
          <cell r="Y1375">
            <v>45533</v>
          </cell>
        </row>
        <row r="1376">
          <cell r="K1376">
            <v>5998</v>
          </cell>
          <cell r="L1376">
            <v>7036</v>
          </cell>
          <cell r="M1376" t="str">
            <v>Intiqal</v>
          </cell>
          <cell r="N1376" t="str">
            <v>Registry</v>
          </cell>
          <cell r="O1376">
            <v>0</v>
          </cell>
          <cell r="P1376">
            <v>6</v>
          </cell>
          <cell r="Q1376">
            <v>0</v>
          </cell>
          <cell r="R1376">
            <v>80250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 t="str">
            <v>Malik Zahid Masood</v>
          </cell>
          <cell r="X1376" t="str">
            <v>Sardar Tanveer Ilyas</v>
          </cell>
          <cell r="Y1376">
            <v>45533</v>
          </cell>
        </row>
        <row r="1377">
          <cell r="L1377">
            <v>11785273</v>
          </cell>
          <cell r="M1377" t="str">
            <v>Not Available</v>
          </cell>
          <cell r="N1377" t="str">
            <v>Not Available</v>
          </cell>
          <cell r="O1377">
            <v>0</v>
          </cell>
          <cell r="P1377">
            <v>5</v>
          </cell>
          <cell r="Q1377">
            <v>0</v>
          </cell>
          <cell r="R1377">
            <v>95650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 t="str">
            <v>Muhammad Altaf</v>
          </cell>
          <cell r="X1377" t="str">
            <v>Sardar Tanveer Ilyas</v>
          </cell>
        </row>
        <row r="1378">
          <cell r="K1378">
            <v>5996</v>
          </cell>
          <cell r="L1378">
            <v>7034</v>
          </cell>
          <cell r="M1378" t="str">
            <v>Intiqal</v>
          </cell>
          <cell r="N1378" t="str">
            <v>Registry</v>
          </cell>
          <cell r="O1378">
            <v>0</v>
          </cell>
          <cell r="P1378">
            <v>6</v>
          </cell>
          <cell r="Q1378">
            <v>3</v>
          </cell>
          <cell r="R1378">
            <v>83330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 t="str">
            <v>Muhammad Qasim</v>
          </cell>
          <cell r="X1378" t="str">
            <v>Sardar Tanveer Ilyas</v>
          </cell>
          <cell r="Y1378">
            <v>45533</v>
          </cell>
        </row>
        <row r="1379">
          <cell r="M1379" t="str">
            <v>Not Available</v>
          </cell>
          <cell r="N1379" t="str">
            <v>Not Available</v>
          </cell>
          <cell r="O1379">
            <v>0</v>
          </cell>
          <cell r="P1379">
            <v>7</v>
          </cell>
          <cell r="Q1379">
            <v>0</v>
          </cell>
          <cell r="R1379">
            <v>63840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 t="str">
            <v>Sana Naeem Butt</v>
          </cell>
          <cell r="X1379" t="str">
            <v>Sardar Tanveer Ilyas</v>
          </cell>
        </row>
        <row r="1380">
          <cell r="L1380">
            <v>3792</v>
          </cell>
          <cell r="M1380" t="str">
            <v>Not Available</v>
          </cell>
          <cell r="N1380" t="str">
            <v>Registry</v>
          </cell>
          <cell r="O1380">
            <v>0</v>
          </cell>
          <cell r="P1380">
            <v>15</v>
          </cell>
          <cell r="Q1380">
            <v>0</v>
          </cell>
          <cell r="R1380">
            <v>134350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 t="str">
            <v>Khush Naseeb Khan</v>
          </cell>
          <cell r="X1380" t="str">
            <v>Sardar Tanveer Ilyas</v>
          </cell>
          <cell r="Y1380">
            <v>45415</v>
          </cell>
        </row>
        <row r="1381">
          <cell r="M1381" t="str">
            <v>Not Available</v>
          </cell>
          <cell r="N1381" t="str">
            <v>Not Available</v>
          </cell>
          <cell r="O1381">
            <v>0</v>
          </cell>
          <cell r="P1381">
            <v>10</v>
          </cell>
          <cell r="Q1381">
            <v>0</v>
          </cell>
          <cell r="R1381">
            <v>82950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 t="str">
            <v>Mujahid Huusain</v>
          </cell>
          <cell r="X1381" t="str">
            <v>Sardar Tanveer Ilyas</v>
          </cell>
        </row>
        <row r="1382">
          <cell r="L1382">
            <v>3550</v>
          </cell>
          <cell r="M1382" t="str">
            <v>Not Available</v>
          </cell>
          <cell r="N1382" t="str">
            <v>Registry</v>
          </cell>
          <cell r="O1382">
            <v>0</v>
          </cell>
          <cell r="P1382">
            <v>8</v>
          </cell>
          <cell r="Q1382">
            <v>0</v>
          </cell>
          <cell r="R1382">
            <v>69460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 t="str">
            <v>Shoukat Hayat Khan</v>
          </cell>
          <cell r="X1382" t="str">
            <v>Sardar Tanveer Ilyas</v>
          </cell>
          <cell r="Y1382">
            <v>45478</v>
          </cell>
        </row>
        <row r="1383">
          <cell r="M1383" t="str">
            <v>Not Available</v>
          </cell>
          <cell r="N1383" t="str">
            <v>Not Available</v>
          </cell>
          <cell r="O1383">
            <v>1</v>
          </cell>
          <cell r="P1383">
            <v>0</v>
          </cell>
          <cell r="Q1383">
            <v>0</v>
          </cell>
          <cell r="R1383">
            <v>139500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 t="str">
            <v>Shakeel Ahmed</v>
          </cell>
          <cell r="X1383" t="str">
            <v>Sardar Tanveer Ilyas</v>
          </cell>
        </row>
        <row r="1384">
          <cell r="K1384">
            <v>4919</v>
          </cell>
          <cell r="L1384">
            <v>28596</v>
          </cell>
          <cell r="M1384" t="str">
            <v>Intiqal</v>
          </cell>
          <cell r="N1384" t="str">
            <v>Registry</v>
          </cell>
          <cell r="O1384">
            <v>0</v>
          </cell>
          <cell r="P1384">
            <v>5</v>
          </cell>
          <cell r="Q1384">
            <v>0</v>
          </cell>
          <cell r="R1384">
            <v>48465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 t="str">
            <v>Umer Rehman</v>
          </cell>
          <cell r="X1384" t="str">
            <v>Sardar Tanveer Ilyas</v>
          </cell>
          <cell r="Y1384">
            <v>45290</v>
          </cell>
        </row>
        <row r="1385">
          <cell r="K1385">
            <v>4920</v>
          </cell>
          <cell r="L1385">
            <v>28389</v>
          </cell>
          <cell r="M1385" t="str">
            <v>Intiqal</v>
          </cell>
          <cell r="N1385" t="str">
            <v>Registry</v>
          </cell>
          <cell r="O1385">
            <v>0</v>
          </cell>
          <cell r="P1385">
            <v>10</v>
          </cell>
          <cell r="Q1385">
            <v>0</v>
          </cell>
          <cell r="R1385">
            <v>77750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 t="str">
            <v>Zubair Bin farooq</v>
          </cell>
          <cell r="X1385" t="str">
            <v>Sardar Tanveer Ilyas</v>
          </cell>
          <cell r="Y1385">
            <v>45290</v>
          </cell>
        </row>
        <row r="1386">
          <cell r="K1386">
            <v>5267</v>
          </cell>
          <cell r="L1386">
            <v>1030</v>
          </cell>
          <cell r="M1386" t="str">
            <v>Intiqal</v>
          </cell>
          <cell r="N1386" t="str">
            <v>Registry</v>
          </cell>
          <cell r="O1386">
            <v>0</v>
          </cell>
          <cell r="P1386">
            <v>10</v>
          </cell>
          <cell r="Q1386">
            <v>0</v>
          </cell>
          <cell r="R1386">
            <v>94630</v>
          </cell>
          <cell r="S1386">
            <v>0</v>
          </cell>
          <cell r="T1386">
            <v>1</v>
          </cell>
          <cell r="U1386">
            <v>-10</v>
          </cell>
          <cell r="V1386">
            <v>0</v>
          </cell>
          <cell r="W1386" t="str">
            <v>Umer Mehmood</v>
          </cell>
          <cell r="X1386" t="str">
            <v>Sardar Tanveer Ilyas</v>
          </cell>
          <cell r="Y1386">
            <v>45307</v>
          </cell>
        </row>
        <row r="1387">
          <cell r="K1387">
            <v>5268</v>
          </cell>
          <cell r="L1387">
            <v>1191</v>
          </cell>
          <cell r="M1387" t="str">
            <v>Intiqal</v>
          </cell>
          <cell r="N1387" t="str">
            <v>Registry</v>
          </cell>
          <cell r="O1387">
            <v>0</v>
          </cell>
          <cell r="P1387">
            <v>10</v>
          </cell>
          <cell r="Q1387">
            <v>0</v>
          </cell>
          <cell r="R1387">
            <v>94630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 t="str">
            <v>Amir Mehmood</v>
          </cell>
          <cell r="X1387" t="str">
            <v>Sardar Tanveer Ilyas</v>
          </cell>
          <cell r="Y1387">
            <v>45307</v>
          </cell>
        </row>
        <row r="1388">
          <cell r="K1388">
            <v>5997</v>
          </cell>
          <cell r="L1388">
            <v>10612</v>
          </cell>
          <cell r="M1388" t="str">
            <v>Intiqal</v>
          </cell>
          <cell r="N1388" t="str">
            <v>Registry</v>
          </cell>
          <cell r="O1388">
            <v>0</v>
          </cell>
          <cell r="P1388">
            <v>5</v>
          </cell>
          <cell r="Q1388">
            <v>0</v>
          </cell>
          <cell r="R1388">
            <v>71770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 t="str">
            <v>M Younis Khan</v>
          </cell>
          <cell r="X1388" t="str">
            <v>Sardar Tanveer Ilyas</v>
          </cell>
          <cell r="Y1388">
            <v>45379</v>
          </cell>
        </row>
        <row r="1389">
          <cell r="K1389">
            <v>4081</v>
          </cell>
          <cell r="L1389">
            <v>7523</v>
          </cell>
          <cell r="M1389" t="str">
            <v>Intiqal</v>
          </cell>
          <cell r="N1389" t="str">
            <v>Registry</v>
          </cell>
          <cell r="O1389">
            <v>2</v>
          </cell>
          <cell r="P1389">
            <v>8</v>
          </cell>
          <cell r="Q1389">
            <v>0</v>
          </cell>
          <cell r="R1389">
            <v>0</v>
          </cell>
          <cell r="S1389">
            <v>0</v>
          </cell>
          <cell r="T1389">
            <v>19</v>
          </cell>
          <cell r="U1389">
            <v>10</v>
          </cell>
          <cell r="V1389">
            <v>4</v>
          </cell>
          <cell r="W1389" t="str">
            <v>Maqsood Bibi</v>
          </cell>
          <cell r="X1389" t="str">
            <v>Sardar Tanveer Ilyas</v>
          </cell>
          <cell r="Y1389">
            <v>45470</v>
          </cell>
        </row>
        <row r="1390">
          <cell r="K1390">
            <v>4079</v>
          </cell>
          <cell r="L1390">
            <v>7204</v>
          </cell>
          <cell r="M1390" t="str">
            <v>Intiqal</v>
          </cell>
          <cell r="N1390" t="str">
            <v>Registry</v>
          </cell>
          <cell r="O1390">
            <v>13</v>
          </cell>
          <cell r="P1390">
            <v>14</v>
          </cell>
          <cell r="Q1390">
            <v>0</v>
          </cell>
          <cell r="R1390">
            <v>2124500</v>
          </cell>
          <cell r="S1390">
            <v>0</v>
          </cell>
          <cell r="T1390">
            <v>-11</v>
          </cell>
          <cell r="U1390">
            <v>-6</v>
          </cell>
          <cell r="V1390">
            <v>0</v>
          </cell>
          <cell r="W1390" t="str">
            <v>Muhammad Ramzan</v>
          </cell>
          <cell r="X1390" t="str">
            <v>Sardar Tanveer Ilyas</v>
          </cell>
          <cell r="Y1390">
            <v>45458</v>
          </cell>
        </row>
        <row r="1391">
          <cell r="K1391">
            <v>4080</v>
          </cell>
          <cell r="L1391">
            <v>7268</v>
          </cell>
          <cell r="M1391" t="str">
            <v>Intiqal</v>
          </cell>
          <cell r="N1391" t="str">
            <v>Registry</v>
          </cell>
          <cell r="O1391">
            <v>5</v>
          </cell>
          <cell r="P1391">
            <v>16</v>
          </cell>
          <cell r="Q1391">
            <v>4</v>
          </cell>
          <cell r="R1391">
            <v>2030000</v>
          </cell>
          <cell r="S1391">
            <v>0</v>
          </cell>
          <cell r="T1391">
            <v>8</v>
          </cell>
          <cell r="U1391">
            <v>-2</v>
          </cell>
          <cell r="V1391">
            <v>-4</v>
          </cell>
          <cell r="W1391" t="str">
            <v>Raja Muhammad Irfan</v>
          </cell>
          <cell r="X1391" t="str">
            <v>Sardar Tanveer Ilyas</v>
          </cell>
          <cell r="Y1391">
            <v>45450</v>
          </cell>
        </row>
        <row r="1392">
          <cell r="L1392">
            <v>21526</v>
          </cell>
          <cell r="M1392" t="str">
            <v>Not Available</v>
          </cell>
          <cell r="N1392" t="str">
            <v>Not Available</v>
          </cell>
          <cell r="O1392">
            <v>4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 t="str">
            <v>Maqsood Begum</v>
          </cell>
          <cell r="X1392" t="str">
            <v>Sardar Tanveer Ilyas</v>
          </cell>
        </row>
        <row r="1393">
          <cell r="K1393">
            <v>756</v>
          </cell>
          <cell r="L1393">
            <v>29044</v>
          </cell>
          <cell r="M1393" t="str">
            <v>Intiqal</v>
          </cell>
          <cell r="N1393" t="str">
            <v>Registry</v>
          </cell>
          <cell r="O1393">
            <v>0</v>
          </cell>
          <cell r="P1393">
            <v>15</v>
          </cell>
          <cell r="Q1393">
            <v>6</v>
          </cell>
          <cell r="R1393">
            <v>175400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 t="str">
            <v>Nazak Khan</v>
          </cell>
          <cell r="X1393" t="str">
            <v>Sardar Tanveer Ilyas</v>
          </cell>
          <cell r="Y1393">
            <v>45268</v>
          </cell>
        </row>
        <row r="1394">
          <cell r="L1394">
            <v>8935</v>
          </cell>
          <cell r="M1394" t="str">
            <v>Not Available</v>
          </cell>
          <cell r="N1394" t="str">
            <v>Not Available</v>
          </cell>
          <cell r="O1394">
            <v>0</v>
          </cell>
          <cell r="P1394">
            <v>7</v>
          </cell>
          <cell r="Q1394">
            <v>0</v>
          </cell>
          <cell r="R1394">
            <v>79250</v>
          </cell>
          <cell r="S1394">
            <v>0</v>
          </cell>
          <cell r="T1394">
            <v>2</v>
          </cell>
          <cell r="U1394">
            <v>5</v>
          </cell>
          <cell r="V1394">
            <v>0</v>
          </cell>
          <cell r="W1394" t="str">
            <v>Taimoor Younis</v>
          </cell>
          <cell r="X1394" t="str">
            <v>Sardar Tanveer Ilyas</v>
          </cell>
        </row>
        <row r="1395">
          <cell r="K1395">
            <v>6141</v>
          </cell>
          <cell r="L1395">
            <v>28054</v>
          </cell>
          <cell r="M1395" t="str">
            <v>Intiqal</v>
          </cell>
          <cell r="N1395" t="str">
            <v>Registry</v>
          </cell>
          <cell r="O1395">
            <v>0</v>
          </cell>
          <cell r="P1395">
            <v>10</v>
          </cell>
          <cell r="Q1395">
            <v>0</v>
          </cell>
          <cell r="R1395">
            <v>132350</v>
          </cell>
          <cell r="S1395">
            <v>0</v>
          </cell>
          <cell r="T1395">
            <v>0</v>
          </cell>
          <cell r="U1395">
            <v>-3</v>
          </cell>
          <cell r="V1395">
            <v>0</v>
          </cell>
          <cell r="W1395" t="str">
            <v>Yasmeen</v>
          </cell>
          <cell r="X1395" t="str">
            <v>Sardar Tanveer Ilyas</v>
          </cell>
          <cell r="Y1395">
            <v>45253</v>
          </cell>
        </row>
        <row r="1396">
          <cell r="K1396">
            <v>6063</v>
          </cell>
          <cell r="L1396">
            <v>28055</v>
          </cell>
          <cell r="M1396" t="str">
            <v>Intiqal</v>
          </cell>
          <cell r="N1396" t="str">
            <v>Registry</v>
          </cell>
          <cell r="O1396">
            <v>0</v>
          </cell>
          <cell r="P1396">
            <v>15</v>
          </cell>
          <cell r="Q1396">
            <v>0</v>
          </cell>
          <cell r="R1396">
            <v>184650</v>
          </cell>
          <cell r="S1396">
            <v>0</v>
          </cell>
          <cell r="T1396">
            <v>0</v>
          </cell>
          <cell r="U1396">
            <v>-5</v>
          </cell>
          <cell r="V1396">
            <v>0</v>
          </cell>
          <cell r="W1396" t="str">
            <v>Yasmeen</v>
          </cell>
          <cell r="X1396" t="str">
            <v>Sardar Tanveer Ilyas</v>
          </cell>
          <cell r="Y1396">
            <v>45253</v>
          </cell>
        </row>
        <row r="1397">
          <cell r="K1397">
            <v>6095</v>
          </cell>
          <cell r="L1397">
            <v>28056</v>
          </cell>
          <cell r="M1397" t="str">
            <v>Intiqal</v>
          </cell>
          <cell r="N1397" t="str">
            <v>Registry</v>
          </cell>
          <cell r="O1397">
            <v>1</v>
          </cell>
          <cell r="P1397">
            <v>0</v>
          </cell>
          <cell r="Q1397">
            <v>0</v>
          </cell>
          <cell r="R1397">
            <v>219400</v>
          </cell>
          <cell r="S1397">
            <v>0</v>
          </cell>
          <cell r="T1397">
            <v>-1</v>
          </cell>
          <cell r="U1397">
            <v>15</v>
          </cell>
          <cell r="V1397">
            <v>0</v>
          </cell>
          <cell r="W1397" t="str">
            <v>Muswara Shaheen</v>
          </cell>
          <cell r="X1397" t="str">
            <v>Sardar Tanveer Ilyas</v>
          </cell>
          <cell r="Y1397">
            <v>45253</v>
          </cell>
        </row>
        <row r="1398">
          <cell r="K1398">
            <v>4181</v>
          </cell>
          <cell r="L1398">
            <v>7025</v>
          </cell>
          <cell r="M1398" t="str">
            <v>Intiqal</v>
          </cell>
          <cell r="N1398" t="str">
            <v>Registry</v>
          </cell>
          <cell r="O1398">
            <v>0</v>
          </cell>
          <cell r="P1398">
            <v>8</v>
          </cell>
          <cell r="Q1398">
            <v>3.8</v>
          </cell>
          <cell r="R1398">
            <v>139384</v>
          </cell>
          <cell r="S1398">
            <v>0</v>
          </cell>
          <cell r="T1398">
            <v>64</v>
          </cell>
          <cell r="U1398">
            <v>12</v>
          </cell>
          <cell r="V1398">
            <v>-0.14000000000000001</v>
          </cell>
          <cell r="W1398" t="str">
            <v>Irum Younas</v>
          </cell>
          <cell r="X1398" t="str">
            <v>Sardar Tanveer Ilyas</v>
          </cell>
          <cell r="Y1398">
            <v>45779</v>
          </cell>
        </row>
        <row r="1399">
          <cell r="K1399">
            <v>4183</v>
          </cell>
          <cell r="L1399">
            <v>7027</v>
          </cell>
          <cell r="M1399" t="str">
            <v>Intiqal</v>
          </cell>
          <cell r="N1399" t="str">
            <v>Registry</v>
          </cell>
          <cell r="O1399">
            <v>0</v>
          </cell>
          <cell r="P1399">
            <v>5</v>
          </cell>
          <cell r="Q1399">
            <v>0</v>
          </cell>
          <cell r="R1399">
            <v>94650</v>
          </cell>
          <cell r="S1399">
            <v>0</v>
          </cell>
          <cell r="T1399">
            <v>0</v>
          </cell>
          <cell r="U1399">
            <v>3</v>
          </cell>
          <cell r="V1399">
            <v>3.8</v>
          </cell>
          <cell r="W1399" t="str">
            <v>Irum Younas</v>
          </cell>
          <cell r="X1399" t="str">
            <v>Sardar Tanveer Ilyas</v>
          </cell>
          <cell r="Y1399">
            <v>45779</v>
          </cell>
        </row>
        <row r="1400">
          <cell r="K1400">
            <v>4201</v>
          </cell>
          <cell r="L1400">
            <v>9400</v>
          </cell>
          <cell r="M1400" t="str">
            <v>Intiqal</v>
          </cell>
          <cell r="N1400" t="str">
            <v>Registry</v>
          </cell>
          <cell r="O1400">
            <v>4</v>
          </cell>
          <cell r="P1400">
            <v>7</v>
          </cell>
          <cell r="Q1400">
            <v>6.51</v>
          </cell>
          <cell r="R1400">
            <v>1203217</v>
          </cell>
          <cell r="S1400">
            <v>0</v>
          </cell>
          <cell r="T1400">
            <v>-4</v>
          </cell>
          <cell r="U1400">
            <v>-2</v>
          </cell>
          <cell r="V1400">
            <v>-6.51</v>
          </cell>
          <cell r="W1400" t="str">
            <v>Raja Muhammad Irfan</v>
          </cell>
          <cell r="X1400" t="str">
            <v>Sardar Tanveer Ilyas</v>
          </cell>
          <cell r="Y1400">
            <v>45779</v>
          </cell>
        </row>
        <row r="1401">
          <cell r="K1401">
            <v>4186</v>
          </cell>
          <cell r="L1401">
            <v>7031</v>
          </cell>
          <cell r="M1401" t="str">
            <v>Intiqal</v>
          </cell>
          <cell r="N1401" t="str">
            <v>Registry</v>
          </cell>
          <cell r="O1401">
            <v>0</v>
          </cell>
          <cell r="P1401">
            <v>16</v>
          </cell>
          <cell r="Q1401">
            <v>8.0399999999999991</v>
          </cell>
          <cell r="R1401">
            <v>248800</v>
          </cell>
          <cell r="S1401">
            <v>0</v>
          </cell>
          <cell r="T1401">
            <v>4</v>
          </cell>
          <cell r="U1401">
            <v>-9</v>
          </cell>
          <cell r="V1401">
            <v>-1.53</v>
          </cell>
          <cell r="W1401" t="str">
            <v>Nadia Irfan</v>
          </cell>
          <cell r="X1401" t="str">
            <v>Sardar Tanveer Ilyas</v>
          </cell>
          <cell r="Y1401">
            <v>45779</v>
          </cell>
        </row>
        <row r="1402">
          <cell r="K1402">
            <v>4179</v>
          </cell>
          <cell r="L1402">
            <v>7020</v>
          </cell>
          <cell r="M1402" t="str">
            <v>Intiqal</v>
          </cell>
          <cell r="N1402" t="str">
            <v>Registry</v>
          </cell>
          <cell r="O1402">
            <v>0</v>
          </cell>
          <cell r="P1402">
            <v>14</v>
          </cell>
          <cell r="Q1402">
            <v>1.0900000000000001</v>
          </cell>
          <cell r="R1402">
            <v>367854</v>
          </cell>
          <cell r="S1402">
            <v>0</v>
          </cell>
          <cell r="T1402">
            <v>0</v>
          </cell>
          <cell r="U1402">
            <v>2</v>
          </cell>
          <cell r="V1402">
            <v>6.95</v>
          </cell>
          <cell r="W1402" t="str">
            <v>Yasmin Kousar</v>
          </cell>
          <cell r="X1402" t="str">
            <v>Sardar Tanveer Ilyas</v>
          </cell>
          <cell r="Y1402">
            <v>45779</v>
          </cell>
        </row>
        <row r="1403">
          <cell r="K1403">
            <v>4200</v>
          </cell>
          <cell r="L1403">
            <v>9398</v>
          </cell>
          <cell r="M1403" t="str">
            <v>Intiqal</v>
          </cell>
          <cell r="N1403" t="str">
            <v>Registry</v>
          </cell>
          <cell r="O1403">
            <v>2</v>
          </cell>
          <cell r="P1403">
            <v>0</v>
          </cell>
          <cell r="Q1403">
            <v>0</v>
          </cell>
          <cell r="R1403">
            <v>554440</v>
          </cell>
          <cell r="S1403">
            <v>0</v>
          </cell>
          <cell r="T1403">
            <v>-2</v>
          </cell>
          <cell r="U1403">
            <v>14</v>
          </cell>
          <cell r="V1403">
            <v>1.0900000000000001</v>
          </cell>
          <cell r="W1403" t="str">
            <v>Muhammad Ishtiaq Jhangir</v>
          </cell>
          <cell r="X1403" t="str">
            <v>Sardar Tanveer Ilyas</v>
          </cell>
          <cell r="Y1403">
            <v>45779</v>
          </cell>
        </row>
        <row r="1404">
          <cell r="K1404">
            <v>4198</v>
          </cell>
          <cell r="L1404">
            <v>9396</v>
          </cell>
          <cell r="M1404" t="str">
            <v>Intiqal</v>
          </cell>
          <cell r="N1404" t="str">
            <v>Registry</v>
          </cell>
          <cell r="O1404">
            <v>2</v>
          </cell>
          <cell r="P1404">
            <v>18</v>
          </cell>
          <cell r="Q1404">
            <v>7.87</v>
          </cell>
          <cell r="R1404">
            <v>812132</v>
          </cell>
          <cell r="S1404">
            <v>0</v>
          </cell>
          <cell r="T1404">
            <v>0</v>
          </cell>
          <cell r="U1404">
            <v>-18</v>
          </cell>
          <cell r="V1404">
            <v>-7.87</v>
          </cell>
          <cell r="W1404" t="str">
            <v>Raja Muhammad Zaheer</v>
          </cell>
          <cell r="X1404" t="str">
            <v>Sardar Tanveer Ilyas</v>
          </cell>
          <cell r="Y1404">
            <v>45779</v>
          </cell>
        </row>
        <row r="1405">
          <cell r="K1405">
            <v>4178</v>
          </cell>
          <cell r="L1405">
            <v>7019</v>
          </cell>
          <cell r="M1405" t="str">
            <v>Intiqal</v>
          </cell>
          <cell r="N1405" t="str">
            <v>Registry</v>
          </cell>
          <cell r="O1405">
            <v>0</v>
          </cell>
          <cell r="P1405">
            <v>11</v>
          </cell>
          <cell r="Q1405">
            <v>2.78</v>
          </cell>
          <cell r="R1405">
            <v>176685</v>
          </cell>
          <cell r="S1405">
            <v>0</v>
          </cell>
          <cell r="T1405">
            <v>2</v>
          </cell>
          <cell r="U1405">
            <v>7</v>
          </cell>
          <cell r="V1405">
            <v>5.09</v>
          </cell>
          <cell r="W1405" t="str">
            <v>Nadia Kausar</v>
          </cell>
          <cell r="X1405" t="str">
            <v>Sardar Tanveer Ilyas</v>
          </cell>
          <cell r="Y1405">
            <v>45779</v>
          </cell>
        </row>
        <row r="1406">
          <cell r="K1406">
            <v>4184</v>
          </cell>
          <cell r="L1406">
            <v>7028</v>
          </cell>
          <cell r="M1406" t="str">
            <v>Intiqal</v>
          </cell>
          <cell r="N1406" t="str">
            <v>Registry</v>
          </cell>
          <cell r="O1406">
            <v>1</v>
          </cell>
          <cell r="P1406">
            <v>5</v>
          </cell>
          <cell r="Q1406">
            <v>0.69</v>
          </cell>
          <cell r="R1406">
            <v>355804</v>
          </cell>
          <cell r="S1406">
            <v>0</v>
          </cell>
          <cell r="T1406">
            <v>-1</v>
          </cell>
          <cell r="U1406">
            <v>6</v>
          </cell>
          <cell r="V1406">
            <v>2.09</v>
          </cell>
          <cell r="W1406" t="str">
            <v>Raja Muhammad Masood</v>
          </cell>
          <cell r="X1406" t="str">
            <v>Sardar Tanveer Ilyas</v>
          </cell>
          <cell r="Y1406">
            <v>45779</v>
          </cell>
        </row>
        <row r="1407">
          <cell r="K1407">
            <v>4180</v>
          </cell>
          <cell r="L1407">
            <v>7021</v>
          </cell>
          <cell r="M1407" t="str">
            <v>Intiqal</v>
          </cell>
          <cell r="N1407" t="str">
            <v>Registry</v>
          </cell>
          <cell r="O1407">
            <v>2</v>
          </cell>
          <cell r="P1407">
            <v>14</v>
          </cell>
          <cell r="Q1407">
            <v>6.75</v>
          </cell>
          <cell r="R1407">
            <v>755543</v>
          </cell>
          <cell r="S1407">
            <v>0</v>
          </cell>
          <cell r="T1407">
            <v>-1</v>
          </cell>
          <cell r="U1407">
            <v>-9</v>
          </cell>
          <cell r="V1407">
            <v>-6.06</v>
          </cell>
          <cell r="W1407" t="str">
            <v>Raja Muhammad Zahoor</v>
          </cell>
          <cell r="X1407" t="str">
            <v>Sardar Tanveer Ilyas</v>
          </cell>
          <cell r="Y1407">
            <v>45779</v>
          </cell>
        </row>
        <row r="1408">
          <cell r="K1408">
            <v>4185</v>
          </cell>
          <cell r="L1408">
            <v>7030</v>
          </cell>
          <cell r="M1408" t="str">
            <v>Intiqal</v>
          </cell>
          <cell r="N1408" t="str">
            <v>Registry</v>
          </cell>
          <cell r="O1408">
            <v>1</v>
          </cell>
          <cell r="P1408">
            <v>5</v>
          </cell>
          <cell r="Q1408">
            <v>0.76</v>
          </cell>
          <cell r="R1408">
            <v>355807</v>
          </cell>
          <cell r="S1408">
            <v>0</v>
          </cell>
          <cell r="T1408">
            <v>1</v>
          </cell>
          <cell r="U1408">
            <v>9</v>
          </cell>
          <cell r="V1408">
            <v>5.99</v>
          </cell>
          <cell r="W1408" t="str">
            <v>Raja Muhammad Farooq</v>
          </cell>
          <cell r="X1408" t="str">
            <v>Sardar Tanveer Ilyas</v>
          </cell>
          <cell r="Y1408">
            <v>45779</v>
          </cell>
        </row>
        <row r="1409">
          <cell r="K1409">
            <v>4199</v>
          </cell>
          <cell r="L1409">
            <v>9397</v>
          </cell>
          <cell r="M1409" t="str">
            <v>Intiqal</v>
          </cell>
          <cell r="N1409" t="str">
            <v>Registry</v>
          </cell>
          <cell r="O1409">
            <v>3</v>
          </cell>
          <cell r="P1409">
            <v>0</v>
          </cell>
          <cell r="Q1409">
            <v>0</v>
          </cell>
          <cell r="R1409">
            <v>829400</v>
          </cell>
          <cell r="S1409">
            <v>0</v>
          </cell>
          <cell r="T1409">
            <v>-2</v>
          </cell>
          <cell r="U1409">
            <v>5</v>
          </cell>
          <cell r="V1409">
            <v>0.76</v>
          </cell>
          <cell r="W1409" t="str">
            <v>Raja Muhammad Naveed</v>
          </cell>
          <cell r="X1409" t="str">
            <v>Sardar Tanveer Ilyas</v>
          </cell>
          <cell r="Y1409">
            <v>45779</v>
          </cell>
        </row>
        <row r="1410">
          <cell r="K1410">
            <v>4145</v>
          </cell>
          <cell r="L1410">
            <v>1248</v>
          </cell>
          <cell r="M1410" t="str">
            <v>Intiqal</v>
          </cell>
          <cell r="N1410" t="str">
            <v>Registry</v>
          </cell>
          <cell r="O1410">
            <v>3</v>
          </cell>
          <cell r="P1410">
            <v>8</v>
          </cell>
          <cell r="Q1410">
            <v>6.49</v>
          </cell>
          <cell r="R1410">
            <v>946940</v>
          </cell>
          <cell r="S1410">
            <v>0</v>
          </cell>
          <cell r="T1410">
            <v>0</v>
          </cell>
          <cell r="U1410">
            <v>-8</v>
          </cell>
          <cell r="V1410">
            <v>-6.49</v>
          </cell>
          <cell r="W1410" t="str">
            <v>Raja Muhammad Zahoor</v>
          </cell>
          <cell r="X1410" t="str">
            <v>Sardar Tanveer Ilyas</v>
          </cell>
          <cell r="Y1410">
            <v>45870</v>
          </cell>
        </row>
        <row r="1411">
          <cell r="L1411">
            <v>11993750</v>
          </cell>
          <cell r="M1411" t="str">
            <v>Not Available</v>
          </cell>
          <cell r="N1411" t="str">
            <v>Not Available</v>
          </cell>
          <cell r="O1411">
            <v>6</v>
          </cell>
          <cell r="P1411">
            <v>13</v>
          </cell>
          <cell r="Q1411">
            <v>6.19</v>
          </cell>
          <cell r="R1411">
            <v>1838875</v>
          </cell>
          <cell r="S1411">
            <v>0</v>
          </cell>
          <cell r="T1411">
            <v>-3</v>
          </cell>
          <cell r="U1411">
            <v>-5</v>
          </cell>
          <cell r="V1411">
            <v>0.3</v>
          </cell>
          <cell r="W1411" t="str">
            <v>Rashida Kousar</v>
          </cell>
          <cell r="X1411" t="str">
            <v>Sardar Tanveer Ilyas</v>
          </cell>
        </row>
        <row r="1412">
          <cell r="K1412">
            <v>4135</v>
          </cell>
          <cell r="L1412">
            <v>616</v>
          </cell>
          <cell r="M1412" t="str">
            <v>Intiqal</v>
          </cell>
          <cell r="N1412" t="str">
            <v>Registry</v>
          </cell>
          <cell r="O1412">
            <v>0</v>
          </cell>
          <cell r="P1412">
            <v>10</v>
          </cell>
          <cell r="Q1412">
            <v>0</v>
          </cell>
          <cell r="R1412">
            <v>158000</v>
          </cell>
          <cell r="S1412">
            <v>0</v>
          </cell>
          <cell r="T1412">
            <v>6</v>
          </cell>
          <cell r="U1412">
            <v>3</v>
          </cell>
          <cell r="V1412">
            <v>6.19</v>
          </cell>
          <cell r="W1412" t="str">
            <v>Raja Kamran</v>
          </cell>
          <cell r="X1412" t="str">
            <v>Sardar Tanveer Ilyas</v>
          </cell>
          <cell r="Y1412">
            <v>45607</v>
          </cell>
        </row>
        <row r="1413">
          <cell r="K1413">
            <v>4136</v>
          </cell>
          <cell r="L1413">
            <v>623</v>
          </cell>
          <cell r="M1413" t="str">
            <v>Intiqal</v>
          </cell>
          <cell r="N1413" t="str">
            <v>Registry</v>
          </cell>
          <cell r="O1413">
            <v>0</v>
          </cell>
          <cell r="P1413">
            <v>10</v>
          </cell>
          <cell r="Q1413">
            <v>0</v>
          </cell>
          <cell r="R1413">
            <v>158000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 t="str">
            <v>Raja nasir Kiyani</v>
          </cell>
          <cell r="X1413" t="str">
            <v>Sardar Tanveer Ilyas</v>
          </cell>
          <cell r="Y1413">
            <v>45607</v>
          </cell>
        </row>
        <row r="1414">
          <cell r="K1414">
            <v>4117</v>
          </cell>
          <cell r="L1414">
            <v>14755</v>
          </cell>
          <cell r="M1414" t="str">
            <v>Intiqal</v>
          </cell>
          <cell r="N1414" t="str">
            <v>Registry</v>
          </cell>
          <cell r="O1414">
            <v>8</v>
          </cell>
          <cell r="P1414">
            <v>14</v>
          </cell>
          <cell r="Q1414">
            <v>1</v>
          </cell>
          <cell r="R1414">
            <v>3571841</v>
          </cell>
          <cell r="S1414">
            <v>0</v>
          </cell>
          <cell r="T1414">
            <v>-8</v>
          </cell>
          <cell r="U1414">
            <v>-4</v>
          </cell>
          <cell r="V1414">
            <v>-1</v>
          </cell>
          <cell r="W1414" t="str">
            <v>Raja Muhammad Farooq</v>
          </cell>
          <cell r="X1414" t="str">
            <v>Sardar Tanveer Ilyas</v>
          </cell>
          <cell r="Y1414">
            <v>45590</v>
          </cell>
        </row>
        <row r="1415">
          <cell r="L1415">
            <v>11915050</v>
          </cell>
          <cell r="M1415" t="str">
            <v>Not Available</v>
          </cell>
          <cell r="N1415" t="str">
            <v>Not Available</v>
          </cell>
          <cell r="O1415">
            <v>1</v>
          </cell>
          <cell r="P1415">
            <v>5</v>
          </cell>
          <cell r="Q1415">
            <v>2.08</v>
          </cell>
          <cell r="R1415">
            <v>474670</v>
          </cell>
          <cell r="S1415">
            <v>0</v>
          </cell>
          <cell r="T1415">
            <v>7</v>
          </cell>
          <cell r="U1415">
            <v>9</v>
          </cell>
          <cell r="V1415">
            <v>-1.08</v>
          </cell>
          <cell r="W1415" t="str">
            <v>Muhammad Ishtiaq Jhangir</v>
          </cell>
          <cell r="X1415" t="str">
            <v>Sardar Tanveer Ilyas</v>
          </cell>
        </row>
        <row r="1416">
          <cell r="K1416">
            <v>4099</v>
          </cell>
          <cell r="L1416">
            <v>12046</v>
          </cell>
          <cell r="M1416" t="str">
            <v>Intiqal</v>
          </cell>
          <cell r="N1416" t="str">
            <v>Registry</v>
          </cell>
          <cell r="O1416">
            <v>7</v>
          </cell>
          <cell r="P1416">
            <v>19</v>
          </cell>
          <cell r="Q1416">
            <v>2.61</v>
          </cell>
          <cell r="R1416">
            <v>3446550</v>
          </cell>
          <cell r="S1416">
            <v>0</v>
          </cell>
          <cell r="T1416">
            <v>-6</v>
          </cell>
          <cell r="U1416">
            <v>-14</v>
          </cell>
          <cell r="V1416">
            <v>-0.54</v>
          </cell>
          <cell r="W1416" t="str">
            <v>Raja Muhammad Naveed</v>
          </cell>
          <cell r="X1416" t="str">
            <v>Sardar Tanveer Ilyas</v>
          </cell>
          <cell r="Y1416">
            <v>45500</v>
          </cell>
        </row>
        <row r="1417">
          <cell r="K1417">
            <v>4104</v>
          </cell>
          <cell r="L1417">
            <v>12871</v>
          </cell>
          <cell r="M1417" t="str">
            <v>Intiqal</v>
          </cell>
          <cell r="N1417" t="str">
            <v>Registry</v>
          </cell>
          <cell r="O1417">
            <v>11</v>
          </cell>
          <cell r="P1417">
            <v>13</v>
          </cell>
          <cell r="Q1417">
            <v>6.02</v>
          </cell>
          <cell r="R1417">
            <v>4941520</v>
          </cell>
          <cell r="S1417">
            <v>0</v>
          </cell>
          <cell r="T1417">
            <v>-4</v>
          </cell>
          <cell r="U1417">
            <v>6</v>
          </cell>
          <cell r="V1417">
            <v>-3.41</v>
          </cell>
          <cell r="W1417" t="str">
            <v>Raja Muhammad Farooq</v>
          </cell>
          <cell r="X1417" t="str">
            <v>Sardar Tanveer Ilyas</v>
          </cell>
          <cell r="Y1417">
            <v>45505</v>
          </cell>
        </row>
        <row r="1418">
          <cell r="K1418">
            <v>4084</v>
          </cell>
          <cell r="L1418">
            <v>8984</v>
          </cell>
          <cell r="M1418" t="str">
            <v>Intiqal</v>
          </cell>
          <cell r="N1418" t="str">
            <v>Registry</v>
          </cell>
          <cell r="O1418">
            <v>8</v>
          </cell>
          <cell r="P1418">
            <v>7</v>
          </cell>
          <cell r="Q1418">
            <v>0</v>
          </cell>
          <cell r="R1418">
            <v>2142400</v>
          </cell>
          <cell r="S1418">
            <v>0</v>
          </cell>
          <cell r="T1418">
            <v>3</v>
          </cell>
          <cell r="U1418">
            <v>6</v>
          </cell>
          <cell r="V1418">
            <v>6.02</v>
          </cell>
          <cell r="W1418" t="str">
            <v>Nadia Kausar</v>
          </cell>
          <cell r="X1418" t="str">
            <v>Sardar Tanveer Ilyas</v>
          </cell>
          <cell r="Y1418">
            <v>45455</v>
          </cell>
        </row>
        <row r="1419">
          <cell r="K1419">
            <v>4085</v>
          </cell>
          <cell r="L1419">
            <v>8985</v>
          </cell>
          <cell r="M1419" t="str">
            <v>Intiqal</v>
          </cell>
          <cell r="N1419" t="str">
            <v>Registry</v>
          </cell>
          <cell r="O1419">
            <v>11</v>
          </cell>
          <cell r="P1419">
            <v>11</v>
          </cell>
          <cell r="Q1419">
            <v>2.97</v>
          </cell>
          <cell r="R1419">
            <v>2962800</v>
          </cell>
          <cell r="S1419">
            <v>0</v>
          </cell>
          <cell r="T1419">
            <v>-3</v>
          </cell>
          <cell r="U1419">
            <v>-4</v>
          </cell>
          <cell r="V1419">
            <v>-2.97</v>
          </cell>
          <cell r="W1419" t="str">
            <v>Raja Muhammad Masood</v>
          </cell>
          <cell r="X1419" t="str">
            <v>Sardar Tanveer Ilyas</v>
          </cell>
          <cell r="Y1419">
            <v>45455</v>
          </cell>
        </row>
        <row r="1420">
          <cell r="M1420" t="str">
            <v>Not Available</v>
          </cell>
          <cell r="N1420" t="str">
            <v>Not Available</v>
          </cell>
          <cell r="O1420">
            <v>0</v>
          </cell>
          <cell r="P1420">
            <v>0</v>
          </cell>
          <cell r="Q1420">
            <v>1</v>
          </cell>
          <cell r="R1420">
            <v>0</v>
          </cell>
          <cell r="S1420">
            <v>0</v>
          </cell>
          <cell r="T1420">
            <v>16</v>
          </cell>
          <cell r="U1420">
            <v>0</v>
          </cell>
          <cell r="V1420">
            <v>-1</v>
          </cell>
        </row>
        <row r="1421">
          <cell r="K1421">
            <v>137</v>
          </cell>
          <cell r="L1421">
            <v>4657</v>
          </cell>
          <cell r="M1421" t="str">
            <v>Intiqal</v>
          </cell>
          <cell r="N1421" t="str">
            <v>Registry</v>
          </cell>
          <cell r="O1421">
            <v>3</v>
          </cell>
          <cell r="P1421">
            <v>0</v>
          </cell>
          <cell r="Q1421">
            <v>0</v>
          </cell>
          <cell r="R1421">
            <v>1034860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 t="str">
            <v>Muhammad Sabir</v>
          </cell>
          <cell r="X1421" t="str">
            <v>Sardar Tanveer Ilyas</v>
          </cell>
          <cell r="Y1421">
            <v>45498</v>
          </cell>
        </row>
        <row r="1422">
          <cell r="K1422">
            <v>136</v>
          </cell>
          <cell r="L1422">
            <v>5709</v>
          </cell>
          <cell r="M1422" t="str">
            <v>Intiqal</v>
          </cell>
          <cell r="N1422" t="str">
            <v>Registry</v>
          </cell>
          <cell r="O1422">
            <v>9</v>
          </cell>
          <cell r="P1422">
            <v>10</v>
          </cell>
          <cell r="Q1422">
            <v>0</v>
          </cell>
          <cell r="R1422">
            <v>3232700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 t="str">
            <v>Muhammad Rizwan</v>
          </cell>
          <cell r="X1422" t="str">
            <v>Sardar Tanveer Ilyas</v>
          </cell>
          <cell r="Y1422">
            <v>45506</v>
          </cell>
        </row>
        <row r="1423">
          <cell r="L1423">
            <v>11949000</v>
          </cell>
          <cell r="M1423" t="str">
            <v>Not Available</v>
          </cell>
          <cell r="N1423" t="str">
            <v>Not Available</v>
          </cell>
          <cell r="O1423">
            <v>1</v>
          </cell>
          <cell r="P1423">
            <v>0</v>
          </cell>
          <cell r="Q1423">
            <v>0</v>
          </cell>
          <cell r="R1423">
            <v>769200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 t="str">
            <v>Shahida Parveen</v>
          </cell>
          <cell r="X1423" t="str">
            <v>Sardar Tanveer Ilyas</v>
          </cell>
        </row>
        <row r="1424">
          <cell r="K1424">
            <v>5269</v>
          </cell>
          <cell r="L1424">
            <v>54</v>
          </cell>
          <cell r="M1424" t="str">
            <v>Intiqal</v>
          </cell>
          <cell r="N1424" t="str">
            <v>Registry</v>
          </cell>
          <cell r="O1424">
            <v>0</v>
          </cell>
          <cell r="P1424">
            <v>18</v>
          </cell>
          <cell r="Q1424">
            <v>0</v>
          </cell>
          <cell r="R1424">
            <v>122600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 t="str">
            <v>Mst Nabila Yaseen</v>
          </cell>
          <cell r="X1424" t="str">
            <v>Sardar Tanveer Ilyas</v>
          </cell>
          <cell r="Y1424">
            <v>45293</v>
          </cell>
        </row>
        <row r="1425">
          <cell r="K1425">
            <v>5270</v>
          </cell>
          <cell r="L1425">
            <v>28802</v>
          </cell>
          <cell r="M1425" t="str">
            <v>Intiqal</v>
          </cell>
          <cell r="N1425" t="str">
            <v>Registry</v>
          </cell>
          <cell r="O1425">
            <v>2</v>
          </cell>
          <cell r="P1425">
            <v>0</v>
          </cell>
          <cell r="Q1425">
            <v>0</v>
          </cell>
          <cell r="R1425">
            <v>354520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 t="str">
            <v>Muhammad Shabbir</v>
          </cell>
          <cell r="X1425" t="str">
            <v>Sardar Tanveer Ilyas</v>
          </cell>
          <cell r="Y1425">
            <v>45266</v>
          </cell>
        </row>
        <row r="1426">
          <cell r="K1426">
            <v>5359</v>
          </cell>
          <cell r="L1426">
            <v>13277</v>
          </cell>
          <cell r="M1426" t="str">
            <v>Intiqal</v>
          </cell>
          <cell r="N1426" t="str">
            <v>Registry</v>
          </cell>
          <cell r="O1426">
            <v>3</v>
          </cell>
          <cell r="P1426">
            <v>0</v>
          </cell>
          <cell r="Q1426">
            <v>0</v>
          </cell>
          <cell r="R1426">
            <v>825700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 t="str">
            <v>Chaudhary Muhammad Jahangir</v>
          </cell>
          <cell r="X1426" t="str">
            <v>Sardar Tanveer Ilyas</v>
          </cell>
          <cell r="Y1426">
            <v>45516</v>
          </cell>
        </row>
        <row r="1427">
          <cell r="L1427">
            <v>3551</v>
          </cell>
          <cell r="M1427" t="str">
            <v>Not Available</v>
          </cell>
          <cell r="N1427" t="str">
            <v>Registry</v>
          </cell>
          <cell r="O1427">
            <v>0</v>
          </cell>
          <cell r="P1427">
            <v>10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 t="str">
            <v>Arsalan ahmed</v>
          </cell>
          <cell r="X1427" t="str">
            <v>Sardar Tanveer Ilyas</v>
          </cell>
          <cell r="Y1427">
            <v>45419</v>
          </cell>
        </row>
        <row r="1428">
          <cell r="L1428">
            <v>2586</v>
          </cell>
          <cell r="M1428" t="str">
            <v>Not Available</v>
          </cell>
          <cell r="N1428" t="str">
            <v>Registry</v>
          </cell>
          <cell r="O1428">
            <v>0</v>
          </cell>
          <cell r="P1428">
            <v>9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 t="str">
            <v>Habib Zada</v>
          </cell>
          <cell r="X1428" t="str">
            <v>Sardar Tanveer Ilyas</v>
          </cell>
          <cell r="Y1428">
            <v>45437</v>
          </cell>
        </row>
        <row r="1429">
          <cell r="K1429">
            <v>5464</v>
          </cell>
          <cell r="L1429">
            <v>15413</v>
          </cell>
          <cell r="M1429" t="str">
            <v>Intiqal</v>
          </cell>
          <cell r="N1429" t="str">
            <v>Registry</v>
          </cell>
          <cell r="O1429">
            <v>0</v>
          </cell>
          <cell r="P1429">
            <v>2</v>
          </cell>
          <cell r="Q1429">
            <v>4.5</v>
          </cell>
          <cell r="R1429">
            <v>64200</v>
          </cell>
          <cell r="S1429">
            <v>1</v>
          </cell>
          <cell r="T1429">
            <v>7</v>
          </cell>
          <cell r="U1429">
            <v>-2</v>
          </cell>
          <cell r="V1429">
            <v>-4.5</v>
          </cell>
          <cell r="W1429" t="str">
            <v>Muhammad Shabbir</v>
          </cell>
          <cell r="X1429" t="str">
            <v>Sardar Tanveer Ilyas</v>
          </cell>
          <cell r="Y1429">
            <v>45637</v>
          </cell>
        </row>
        <row r="1430">
          <cell r="K1430">
            <v>5463</v>
          </cell>
          <cell r="L1430">
            <v>14969</v>
          </cell>
          <cell r="M1430" t="str">
            <v>Intiqal</v>
          </cell>
          <cell r="N1430" t="str">
            <v>Registry</v>
          </cell>
          <cell r="O1430">
            <v>2</v>
          </cell>
          <cell r="P1430">
            <v>0</v>
          </cell>
          <cell r="Q1430">
            <v>0</v>
          </cell>
          <cell r="R1430">
            <v>579460</v>
          </cell>
          <cell r="S1430">
            <v>1</v>
          </cell>
          <cell r="T1430">
            <v>-2</v>
          </cell>
          <cell r="U1430">
            <v>2</v>
          </cell>
          <cell r="V1430">
            <v>4.5</v>
          </cell>
          <cell r="W1430" t="str">
            <v>Muhammad Altaf</v>
          </cell>
          <cell r="X1430" t="str">
            <v>Sardar Tanveer Ilyas</v>
          </cell>
          <cell r="Y1430">
            <v>45630</v>
          </cell>
        </row>
        <row r="1431">
          <cell r="K1431">
            <v>5462</v>
          </cell>
          <cell r="L1431">
            <v>14970</v>
          </cell>
          <cell r="M1431" t="str">
            <v>Intiqal</v>
          </cell>
          <cell r="N1431" t="str">
            <v>Registry</v>
          </cell>
          <cell r="O1431">
            <v>3</v>
          </cell>
          <cell r="P1431">
            <v>17</v>
          </cell>
          <cell r="Q1431">
            <v>4.5</v>
          </cell>
          <cell r="R1431">
            <v>1109100</v>
          </cell>
          <cell r="S1431">
            <v>1</v>
          </cell>
          <cell r="T1431">
            <v>-1</v>
          </cell>
          <cell r="U1431">
            <v>-17</v>
          </cell>
          <cell r="V1431">
            <v>-4.5</v>
          </cell>
          <cell r="W1431" t="str">
            <v>Dilawar Khan</v>
          </cell>
          <cell r="X1431" t="str">
            <v>Sardar Tanveer Ilyas</v>
          </cell>
          <cell r="Y1431">
            <v>45630</v>
          </cell>
        </row>
        <row r="1432">
          <cell r="L1432">
            <v>11708</v>
          </cell>
          <cell r="M1432" t="str">
            <v>Not Available</v>
          </cell>
          <cell r="N1432" t="str">
            <v>Registry</v>
          </cell>
          <cell r="O1432">
            <v>1</v>
          </cell>
          <cell r="P1432">
            <v>0</v>
          </cell>
          <cell r="Q1432">
            <v>0</v>
          </cell>
          <cell r="R1432">
            <v>348400</v>
          </cell>
          <cell r="S1432">
            <v>0</v>
          </cell>
          <cell r="T1432">
            <v>2</v>
          </cell>
          <cell r="U1432">
            <v>17</v>
          </cell>
          <cell r="V1432">
            <v>4.5</v>
          </cell>
          <cell r="W1432" t="str">
            <v>Azhar Mehmood</v>
          </cell>
          <cell r="X1432" t="str">
            <v>Sardar Tanveer Ilyas</v>
          </cell>
          <cell r="Y1432">
            <v>45594</v>
          </cell>
        </row>
        <row r="1433">
          <cell r="K1433">
            <v>6050</v>
          </cell>
          <cell r="L1433">
            <v>7189</v>
          </cell>
          <cell r="M1433" t="str">
            <v>Intiqal</v>
          </cell>
          <cell r="N1433" t="str">
            <v>Registry</v>
          </cell>
          <cell r="O1433">
            <v>0</v>
          </cell>
          <cell r="P1433">
            <v>5</v>
          </cell>
          <cell r="Q1433">
            <v>4</v>
          </cell>
          <cell r="R1433">
            <v>0</v>
          </cell>
          <cell r="S1433">
            <v>0</v>
          </cell>
          <cell r="T1433">
            <v>5</v>
          </cell>
          <cell r="U1433">
            <v>11</v>
          </cell>
          <cell r="V1433">
            <v>4</v>
          </cell>
          <cell r="W1433" t="str">
            <v>Muhammad Zubair</v>
          </cell>
          <cell r="X1433" t="str">
            <v>Sardar Tanveer Ilyas</v>
          </cell>
          <cell r="Y1433">
            <v>45533</v>
          </cell>
        </row>
        <row r="1434">
          <cell r="K1434">
            <v>6057</v>
          </cell>
          <cell r="L1434">
            <v>283</v>
          </cell>
          <cell r="M1434" t="str">
            <v>Intiqal</v>
          </cell>
          <cell r="N1434" t="str">
            <v>Registry</v>
          </cell>
          <cell r="O1434">
            <v>0</v>
          </cell>
          <cell r="P1434">
            <v>4</v>
          </cell>
          <cell r="Q1434">
            <v>0</v>
          </cell>
          <cell r="R1434">
            <v>102000</v>
          </cell>
          <cell r="S1434">
            <v>0</v>
          </cell>
          <cell r="T1434">
            <v>0</v>
          </cell>
          <cell r="U1434">
            <v>1</v>
          </cell>
          <cell r="V1434">
            <v>4</v>
          </cell>
          <cell r="W1434" t="str">
            <v>Suleman Khan</v>
          </cell>
          <cell r="X1434" t="str">
            <v>Sardar Tanveer Ilyas</v>
          </cell>
          <cell r="Y1434">
            <v>45614</v>
          </cell>
        </row>
        <row r="1435">
          <cell r="L1435">
            <v>12545</v>
          </cell>
          <cell r="M1435" t="str">
            <v>Not Available</v>
          </cell>
          <cell r="N1435" t="str">
            <v>Registry</v>
          </cell>
          <cell r="O1435">
            <v>3</v>
          </cell>
          <cell r="P1435">
            <v>16</v>
          </cell>
          <cell r="Q1435">
            <v>4</v>
          </cell>
          <cell r="R1435">
            <v>0</v>
          </cell>
          <cell r="S1435">
            <v>0</v>
          </cell>
          <cell r="T1435">
            <v>-3</v>
          </cell>
          <cell r="U1435">
            <v>-12</v>
          </cell>
          <cell r="V1435">
            <v>-4</v>
          </cell>
          <cell r="W1435" t="str">
            <v>Khurshid Sultan</v>
          </cell>
          <cell r="X1435" t="str">
            <v>Sardar Tanveer Ilyas</v>
          </cell>
          <cell r="Y1435">
            <v>45899</v>
          </cell>
        </row>
        <row r="1436">
          <cell r="L1436">
            <v>11949184</v>
          </cell>
          <cell r="M1436" t="str">
            <v>Not Available</v>
          </cell>
          <cell r="N1436" t="str">
            <v>Not Available</v>
          </cell>
          <cell r="O1436">
            <v>1</v>
          </cell>
          <cell r="P1436">
            <v>0</v>
          </cell>
          <cell r="Q1436">
            <v>0</v>
          </cell>
          <cell r="R1436">
            <v>393200</v>
          </cell>
          <cell r="S1436">
            <v>0</v>
          </cell>
          <cell r="T1436">
            <v>2</v>
          </cell>
          <cell r="U1436">
            <v>16</v>
          </cell>
          <cell r="V1436">
            <v>4</v>
          </cell>
          <cell r="W1436" t="str">
            <v>Mirmat Khan</v>
          </cell>
          <cell r="X1436" t="str">
            <v>Sardar Tanveer Ilyas</v>
          </cell>
        </row>
        <row r="1437">
          <cell r="K1437">
            <v>6091</v>
          </cell>
          <cell r="L1437">
            <v>3833</v>
          </cell>
          <cell r="M1437" t="str">
            <v>Intiqal</v>
          </cell>
          <cell r="N1437" t="str">
            <v>Registry</v>
          </cell>
          <cell r="O1437">
            <v>0</v>
          </cell>
          <cell r="P1437">
            <v>8</v>
          </cell>
          <cell r="Q1437">
            <v>0</v>
          </cell>
          <cell r="R1437">
            <v>176300</v>
          </cell>
          <cell r="S1437">
            <v>0</v>
          </cell>
          <cell r="T1437">
            <v>1</v>
          </cell>
          <cell r="U1437">
            <v>-8</v>
          </cell>
          <cell r="V1437">
            <v>0</v>
          </cell>
          <cell r="W1437" t="str">
            <v>Imran Abbas</v>
          </cell>
          <cell r="X1437" t="str">
            <v>Sardar Tanveer Ilyas</v>
          </cell>
          <cell r="Y1437">
            <v>45806</v>
          </cell>
        </row>
        <row r="1438">
          <cell r="L1438">
            <v>11955054</v>
          </cell>
          <cell r="M1438" t="str">
            <v>Not Available</v>
          </cell>
          <cell r="N1438" t="str">
            <v>Not Available</v>
          </cell>
          <cell r="O1438">
            <v>0</v>
          </cell>
          <cell r="P1438">
            <v>5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3</v>
          </cell>
          <cell r="V1438">
            <v>0</v>
          </cell>
        </row>
        <row r="1439">
          <cell r="K1439">
            <v>4168</v>
          </cell>
          <cell r="L1439">
            <v>5030</v>
          </cell>
          <cell r="M1439" t="str">
            <v>Intiqal</v>
          </cell>
          <cell r="N1439" t="str">
            <v>Registry</v>
          </cell>
          <cell r="O1439">
            <v>1</v>
          </cell>
          <cell r="P1439">
            <v>0</v>
          </cell>
          <cell r="Q1439">
            <v>0</v>
          </cell>
          <cell r="R1439">
            <v>599300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 t="str">
            <v>Muhammad Yaqoob</v>
          </cell>
          <cell r="X1439" t="str">
            <v>Sardar Tanveer Ilyas</v>
          </cell>
          <cell r="Y1439">
            <v>45775</v>
          </cell>
        </row>
        <row r="1440">
          <cell r="L1440">
            <v>11918708</v>
          </cell>
          <cell r="M1440" t="str">
            <v>Not Available</v>
          </cell>
          <cell r="N1440" t="str">
            <v>Not Available</v>
          </cell>
          <cell r="O1440">
            <v>2</v>
          </cell>
          <cell r="P1440">
            <v>2</v>
          </cell>
          <cell r="Q1440">
            <v>0</v>
          </cell>
          <cell r="R1440">
            <v>688000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 t="str">
            <v>Raja Rashid Sohail Kiyani</v>
          </cell>
          <cell r="X1440" t="str">
            <v>Sardar Tanveer Ilyas</v>
          </cell>
        </row>
        <row r="1441">
          <cell r="K1441">
            <v>755</v>
          </cell>
          <cell r="L1441">
            <v>8406</v>
          </cell>
          <cell r="M1441" t="str">
            <v>Intiqal</v>
          </cell>
          <cell r="N1441" t="str">
            <v>Registry</v>
          </cell>
          <cell r="O1441">
            <v>1</v>
          </cell>
          <cell r="P1441">
            <v>4</v>
          </cell>
          <cell r="Q1441">
            <v>0</v>
          </cell>
          <cell r="R1441">
            <v>440950</v>
          </cell>
          <cell r="S1441">
            <v>3000000</v>
          </cell>
          <cell r="T1441">
            <v>1</v>
          </cell>
          <cell r="U1441">
            <v>0</v>
          </cell>
          <cell r="V1441">
            <v>0</v>
          </cell>
          <cell r="W1441" t="str">
            <v>Rafaqat Hussain</v>
          </cell>
          <cell r="X1441" t="str">
            <v>Sardar Tanveer Ilyas</v>
          </cell>
          <cell r="Y1441">
            <v>45794</v>
          </cell>
        </row>
        <row r="1442">
          <cell r="L1442">
            <v>11862491</v>
          </cell>
          <cell r="M1442" t="str">
            <v>Not Available</v>
          </cell>
          <cell r="N1442" t="str">
            <v>Not Available</v>
          </cell>
          <cell r="O1442">
            <v>1</v>
          </cell>
          <cell r="P1442">
            <v>0</v>
          </cell>
          <cell r="Q1442">
            <v>0</v>
          </cell>
          <cell r="R1442">
            <v>389200</v>
          </cell>
          <cell r="S1442">
            <v>0</v>
          </cell>
          <cell r="T1442">
            <v>0</v>
          </cell>
          <cell r="U1442">
            <v>4</v>
          </cell>
          <cell r="V1442">
            <v>0</v>
          </cell>
          <cell r="W1442" t="str">
            <v>Muhammad Liaqat Ali</v>
          </cell>
          <cell r="X1442" t="str">
            <v>Sardar Tanveer Ilyas</v>
          </cell>
        </row>
        <row r="1443">
          <cell r="K1443">
            <v>6104</v>
          </cell>
          <cell r="L1443">
            <v>2810</v>
          </cell>
          <cell r="M1443" t="str">
            <v>Intiqal</v>
          </cell>
          <cell r="N1443" t="str">
            <v>Registry</v>
          </cell>
          <cell r="O1443">
            <v>1</v>
          </cell>
          <cell r="P1443">
            <v>0</v>
          </cell>
          <cell r="Q1443">
            <v>0</v>
          </cell>
          <cell r="R1443">
            <v>359500</v>
          </cell>
          <cell r="S1443">
            <v>1</v>
          </cell>
          <cell r="T1443">
            <v>10</v>
          </cell>
          <cell r="U1443">
            <v>12</v>
          </cell>
          <cell r="V1443">
            <v>0</v>
          </cell>
          <cell r="W1443" t="str">
            <v>Raja Muhammad Saqlain</v>
          </cell>
          <cell r="X1443" t="str">
            <v>Sardar Tanveer Ilyas</v>
          </cell>
          <cell r="Y1443">
            <v>45658</v>
          </cell>
        </row>
        <row r="1444">
          <cell r="K1444">
            <v>6097</v>
          </cell>
          <cell r="L1444">
            <v>2812</v>
          </cell>
          <cell r="M1444" t="str">
            <v>Intiqal</v>
          </cell>
          <cell r="N1444" t="str">
            <v>Registry</v>
          </cell>
          <cell r="O1444">
            <v>1</v>
          </cell>
          <cell r="P1444">
            <v>0</v>
          </cell>
          <cell r="Q1444">
            <v>0</v>
          </cell>
          <cell r="R1444">
            <v>359500</v>
          </cell>
          <cell r="S1444">
            <v>1</v>
          </cell>
          <cell r="T1444">
            <v>0</v>
          </cell>
          <cell r="U1444">
            <v>0</v>
          </cell>
          <cell r="V1444">
            <v>0</v>
          </cell>
          <cell r="W1444" t="str">
            <v>Muhammad Basharat</v>
          </cell>
          <cell r="X1444" t="str">
            <v>Sardar Tanveer Ilyas</v>
          </cell>
          <cell r="Y1444">
            <v>45658</v>
          </cell>
        </row>
        <row r="1445">
          <cell r="L1445">
            <v>9408</v>
          </cell>
          <cell r="M1445" t="str">
            <v>Not Available</v>
          </cell>
          <cell r="N1445" t="str">
            <v>Registry</v>
          </cell>
          <cell r="O1445">
            <v>2</v>
          </cell>
          <cell r="P1445">
            <v>0</v>
          </cell>
          <cell r="Q1445">
            <v>0</v>
          </cell>
          <cell r="R1445">
            <v>406500</v>
          </cell>
          <cell r="S1445">
            <v>1</v>
          </cell>
          <cell r="T1445">
            <v>-1</v>
          </cell>
          <cell r="U1445">
            <v>0</v>
          </cell>
          <cell r="V1445">
            <v>0</v>
          </cell>
          <cell r="W1445" t="str">
            <v>Orang Zaib</v>
          </cell>
          <cell r="X1445" t="str">
            <v>Sardar Tanveer Ilyas</v>
          </cell>
          <cell r="Y1445">
            <v>45632</v>
          </cell>
        </row>
        <row r="1446">
          <cell r="K1446">
            <v>6103</v>
          </cell>
          <cell r="L1446">
            <v>8124</v>
          </cell>
          <cell r="M1446" t="str">
            <v>Intiqal</v>
          </cell>
          <cell r="N1446" t="str">
            <v>Registry</v>
          </cell>
          <cell r="O1446">
            <v>0</v>
          </cell>
          <cell r="P1446">
            <v>10</v>
          </cell>
          <cell r="Q1446">
            <v>0</v>
          </cell>
          <cell r="R1446">
            <v>120200</v>
          </cell>
          <cell r="S1446">
            <v>1</v>
          </cell>
          <cell r="T1446">
            <v>2</v>
          </cell>
          <cell r="U1446">
            <v>-10</v>
          </cell>
          <cell r="V1446">
            <v>0</v>
          </cell>
          <cell r="W1446" t="str">
            <v>Waqar Ahmed</v>
          </cell>
          <cell r="X1446" t="str">
            <v>Sardar Tanveer Ilyas</v>
          </cell>
          <cell r="Y1446">
            <v>45593</v>
          </cell>
        </row>
        <row r="1447">
          <cell r="L1447">
            <v>8125</v>
          </cell>
          <cell r="M1447" t="str">
            <v>Not Available</v>
          </cell>
          <cell r="N1447" t="str">
            <v>Registry</v>
          </cell>
          <cell r="O1447">
            <v>0</v>
          </cell>
          <cell r="P1447">
            <v>10</v>
          </cell>
          <cell r="Q1447">
            <v>0</v>
          </cell>
          <cell r="R1447">
            <v>120200</v>
          </cell>
          <cell r="S1447">
            <v>1</v>
          </cell>
          <cell r="T1447">
            <v>0</v>
          </cell>
          <cell r="U1447">
            <v>0</v>
          </cell>
          <cell r="V1447">
            <v>0</v>
          </cell>
          <cell r="W1447" t="str">
            <v>Raja Muhammad Saqlain</v>
          </cell>
          <cell r="X1447" t="str">
            <v>Sardar Tanveer Ilyas</v>
          </cell>
          <cell r="Y1447">
            <v>45593</v>
          </cell>
        </row>
        <row r="1448">
          <cell r="K1448">
            <v>6099</v>
          </cell>
          <cell r="L1448">
            <v>8126</v>
          </cell>
          <cell r="M1448" t="str">
            <v>Intiqal</v>
          </cell>
          <cell r="N1448" t="str">
            <v>Registry</v>
          </cell>
          <cell r="O1448">
            <v>2</v>
          </cell>
          <cell r="P1448">
            <v>12</v>
          </cell>
          <cell r="Q1448">
            <v>0</v>
          </cell>
          <cell r="R1448">
            <v>1033200</v>
          </cell>
          <cell r="S1448">
            <v>1</v>
          </cell>
          <cell r="T1448">
            <v>-2</v>
          </cell>
          <cell r="U1448">
            <v>-2</v>
          </cell>
          <cell r="V1448">
            <v>0</v>
          </cell>
          <cell r="W1448" t="str">
            <v>Bashir Ahmed</v>
          </cell>
          <cell r="X1448" t="str">
            <v>Sardar Tanveer Ilyas</v>
          </cell>
          <cell r="Y1448">
            <v>45593</v>
          </cell>
        </row>
        <row r="1449">
          <cell r="K1449">
            <v>6068</v>
          </cell>
          <cell r="L1449">
            <v>7365</v>
          </cell>
          <cell r="M1449" t="str">
            <v>Intiqal</v>
          </cell>
          <cell r="N1449" t="str">
            <v>Registry</v>
          </cell>
          <cell r="O1449">
            <v>1</v>
          </cell>
          <cell r="P1449">
            <v>0</v>
          </cell>
          <cell r="Q1449">
            <v>0</v>
          </cell>
          <cell r="R1449">
            <v>409200</v>
          </cell>
          <cell r="S1449">
            <v>0</v>
          </cell>
          <cell r="T1449">
            <v>1</v>
          </cell>
          <cell r="U1449">
            <v>12</v>
          </cell>
          <cell r="V1449">
            <v>0</v>
          </cell>
          <cell r="W1449" t="str">
            <v>Asif Mehmood</v>
          </cell>
          <cell r="X1449" t="str">
            <v>Sardar Tanveer Ilyas</v>
          </cell>
          <cell r="Y1449">
            <v>45596</v>
          </cell>
        </row>
        <row r="1450">
          <cell r="K1450">
            <v>6100</v>
          </cell>
          <cell r="L1450">
            <v>7366</v>
          </cell>
          <cell r="M1450" t="str">
            <v>Intiqal</v>
          </cell>
          <cell r="N1450" t="str">
            <v>Registry</v>
          </cell>
          <cell r="O1450">
            <v>3</v>
          </cell>
          <cell r="P1450">
            <v>0</v>
          </cell>
          <cell r="Q1450">
            <v>0</v>
          </cell>
          <cell r="R1450">
            <v>1169200</v>
          </cell>
          <cell r="S1450">
            <v>0</v>
          </cell>
          <cell r="T1450">
            <v>-2</v>
          </cell>
          <cell r="U1450">
            <v>0</v>
          </cell>
          <cell r="V1450">
            <v>0</v>
          </cell>
          <cell r="W1450" t="str">
            <v>Muhammad Arshad</v>
          </cell>
          <cell r="X1450" t="str">
            <v>Sardar Tanveer Ilyas</v>
          </cell>
          <cell r="Y1450">
            <v>45596</v>
          </cell>
        </row>
        <row r="1451">
          <cell r="L1451">
            <v>5795</v>
          </cell>
          <cell r="M1451" t="str">
            <v>Not Available</v>
          </cell>
          <cell r="N1451" t="str">
            <v>Registry</v>
          </cell>
          <cell r="O1451">
            <v>2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26</v>
          </cell>
          <cell r="U1451">
            <v>1</v>
          </cell>
          <cell r="V1451">
            <v>2.7</v>
          </cell>
          <cell r="W1451" t="str">
            <v>Nazim Ellahi</v>
          </cell>
          <cell r="X1451" t="str">
            <v>Sardar Group of Companies Pvt Ltd</v>
          </cell>
          <cell r="Y1451">
            <v>46125</v>
          </cell>
        </row>
        <row r="1452">
          <cell r="L1452">
            <v>4368</v>
          </cell>
          <cell r="M1452" t="str">
            <v>Not Available</v>
          </cell>
          <cell r="N1452" t="str">
            <v>Registry</v>
          </cell>
          <cell r="O1452">
            <v>0</v>
          </cell>
          <cell r="P1452">
            <v>13</v>
          </cell>
          <cell r="Q1452">
            <v>0</v>
          </cell>
          <cell r="R1452">
            <v>0</v>
          </cell>
          <cell r="S1452">
            <v>0</v>
          </cell>
          <cell r="T1452">
            <v>2</v>
          </cell>
          <cell r="U1452">
            <v>-13</v>
          </cell>
          <cell r="V1452">
            <v>0</v>
          </cell>
          <cell r="W1452" t="str">
            <v>Zulaikhan Bibi</v>
          </cell>
          <cell r="X1452" t="str">
            <v>Sardar Tanveer Ilyas</v>
          </cell>
          <cell r="Y1452">
            <v>45765</v>
          </cell>
        </row>
        <row r="1453">
          <cell r="L1453">
            <v>4931</v>
          </cell>
          <cell r="M1453" t="str">
            <v>Not Available</v>
          </cell>
          <cell r="N1453" t="str">
            <v>Registry</v>
          </cell>
          <cell r="O1453">
            <v>3</v>
          </cell>
          <cell r="P1453">
            <v>19</v>
          </cell>
          <cell r="Q1453">
            <v>4.7</v>
          </cell>
          <cell r="R1453">
            <v>0</v>
          </cell>
          <cell r="S1453">
            <v>0</v>
          </cell>
          <cell r="T1453">
            <v>-3</v>
          </cell>
          <cell r="U1453">
            <v>-6</v>
          </cell>
          <cell r="V1453">
            <v>-4.7</v>
          </cell>
          <cell r="W1453" t="str">
            <v>Qazi Abdul Aziz</v>
          </cell>
          <cell r="X1453" t="str">
            <v>Sardar Tanveer Ilyas</v>
          </cell>
          <cell r="Y1453">
            <v>45771</v>
          </cell>
        </row>
        <row r="1454">
          <cell r="L1454">
            <v>12198</v>
          </cell>
          <cell r="M1454" t="str">
            <v>Not Available</v>
          </cell>
          <cell r="N1454" t="str">
            <v>Registry</v>
          </cell>
          <cell r="O1454">
            <v>3</v>
          </cell>
          <cell r="P1454">
            <v>0</v>
          </cell>
          <cell r="Q1454">
            <v>4.2</v>
          </cell>
          <cell r="R1454">
            <v>0</v>
          </cell>
          <cell r="S1454">
            <v>0</v>
          </cell>
          <cell r="T1454">
            <v>0</v>
          </cell>
          <cell r="U1454">
            <v>19</v>
          </cell>
          <cell r="V1454">
            <v>0.5</v>
          </cell>
          <cell r="W1454" t="str">
            <v>Mst Naveed Akhtar</v>
          </cell>
          <cell r="X1454" t="str">
            <v>Sardar Tanveer Ilyas</v>
          </cell>
          <cell r="Y1454">
            <v>45900</v>
          </cell>
        </row>
        <row r="1455">
          <cell r="L1455">
            <v>6678</v>
          </cell>
          <cell r="M1455" t="str">
            <v>Not Available</v>
          </cell>
          <cell r="N1455" t="str">
            <v>Registry</v>
          </cell>
          <cell r="O1455">
            <v>5</v>
          </cell>
          <cell r="P1455">
            <v>19</v>
          </cell>
          <cell r="Q1455">
            <v>1.4</v>
          </cell>
          <cell r="R1455">
            <v>0</v>
          </cell>
          <cell r="S1455">
            <v>0</v>
          </cell>
          <cell r="T1455">
            <v>-2</v>
          </cell>
          <cell r="U1455">
            <v>-19</v>
          </cell>
          <cell r="V1455">
            <v>2.8</v>
          </cell>
          <cell r="W1455" t="str">
            <v>Muhammad Yasin</v>
          </cell>
          <cell r="X1455" t="str">
            <v>Sardar Tanveer Ilyas</v>
          </cell>
          <cell r="Y1455">
            <v>45796</v>
          </cell>
        </row>
        <row r="1456">
          <cell r="L1456">
            <v>4367</v>
          </cell>
          <cell r="M1456" t="str">
            <v>Not Available</v>
          </cell>
          <cell r="N1456" t="str">
            <v>Registry</v>
          </cell>
          <cell r="O1456">
            <v>3</v>
          </cell>
          <cell r="P1456">
            <v>0</v>
          </cell>
          <cell r="Q1456">
            <v>0</v>
          </cell>
          <cell r="R1456">
            <v>1094700</v>
          </cell>
          <cell r="S1456">
            <v>0</v>
          </cell>
          <cell r="T1456">
            <v>2</v>
          </cell>
          <cell r="U1456">
            <v>19</v>
          </cell>
          <cell r="V1456">
            <v>1.4</v>
          </cell>
          <cell r="W1456" t="str">
            <v>Nisar Hussain Bhatti</v>
          </cell>
          <cell r="X1456" t="str">
            <v>Sardar Tanveer Ilyas</v>
          </cell>
          <cell r="Y1456">
            <v>45806</v>
          </cell>
        </row>
        <row r="1457">
          <cell r="L1457">
            <v>15194</v>
          </cell>
          <cell r="M1457" t="str">
            <v>Not Available</v>
          </cell>
          <cell r="N1457" t="str">
            <v>Registry</v>
          </cell>
          <cell r="O1457">
            <v>2</v>
          </cell>
          <cell r="P1457">
            <v>19</v>
          </cell>
          <cell r="Q1457">
            <v>1.4</v>
          </cell>
          <cell r="R1457">
            <v>0</v>
          </cell>
          <cell r="S1457">
            <v>0</v>
          </cell>
          <cell r="T1457">
            <v>1</v>
          </cell>
          <cell r="U1457">
            <v>-19</v>
          </cell>
          <cell r="V1457">
            <v>-1.4</v>
          </cell>
          <cell r="W1457" t="str">
            <v>Nazim Ellahi</v>
          </cell>
          <cell r="X1457" t="str">
            <v>Sardar Tanveer Ilyas</v>
          </cell>
          <cell r="Y1457">
            <v>45613</v>
          </cell>
        </row>
        <row r="1458">
          <cell r="L1458">
            <v>14079</v>
          </cell>
          <cell r="M1458" t="str">
            <v>Not Available</v>
          </cell>
          <cell r="N1458" t="str">
            <v>Registry</v>
          </cell>
          <cell r="O1458">
            <v>5</v>
          </cell>
          <cell r="P1458">
            <v>10</v>
          </cell>
          <cell r="Q1458">
            <v>0</v>
          </cell>
          <cell r="R1458">
            <v>0</v>
          </cell>
          <cell r="S1458">
            <v>0</v>
          </cell>
          <cell r="T1458">
            <v>-3</v>
          </cell>
          <cell r="U1458">
            <v>9</v>
          </cell>
          <cell r="V1458">
            <v>1.4</v>
          </cell>
          <cell r="W1458" t="str">
            <v>Muhammad Younas</v>
          </cell>
          <cell r="X1458" t="str">
            <v>Sardar Tanveer Ilyas</v>
          </cell>
          <cell r="Y1458">
            <v>45602</v>
          </cell>
        </row>
        <row r="1459">
          <cell r="L1459">
            <v>16838</v>
          </cell>
          <cell r="M1459" t="str">
            <v>Not Available</v>
          </cell>
          <cell r="N1459" t="str">
            <v>Registry</v>
          </cell>
          <cell r="O1459">
            <v>1</v>
          </cell>
          <cell r="P1459">
            <v>0</v>
          </cell>
          <cell r="Q1459">
            <v>0</v>
          </cell>
          <cell r="R1459">
            <v>1548000</v>
          </cell>
          <cell r="S1459">
            <v>0</v>
          </cell>
          <cell r="T1459">
            <v>4</v>
          </cell>
          <cell r="U1459">
            <v>10</v>
          </cell>
          <cell r="V1459">
            <v>0</v>
          </cell>
          <cell r="W1459" t="str">
            <v>Zeeshan Ellahi</v>
          </cell>
          <cell r="X1459" t="str">
            <v>Sardar Tanveer Ilyas</v>
          </cell>
          <cell r="Y1459">
            <v>45643</v>
          </cell>
        </row>
        <row r="1460">
          <cell r="L1460">
            <v>5819</v>
          </cell>
          <cell r="M1460" t="str">
            <v>Not Available</v>
          </cell>
          <cell r="N1460" t="str">
            <v>Not Available</v>
          </cell>
          <cell r="O1460">
            <v>7</v>
          </cell>
          <cell r="P1460">
            <v>7</v>
          </cell>
          <cell r="Q1460">
            <v>0</v>
          </cell>
          <cell r="R1460">
            <v>0</v>
          </cell>
          <cell r="S1460">
            <v>0</v>
          </cell>
          <cell r="T1460">
            <v>23</v>
          </cell>
          <cell r="U1460">
            <v>9</v>
          </cell>
          <cell r="V1460">
            <v>2.98</v>
          </cell>
          <cell r="W1460" t="str">
            <v>Aurangzeb</v>
          </cell>
          <cell r="X1460" t="str">
            <v>Sardar Tanveer Ilyas</v>
          </cell>
        </row>
        <row r="1461">
          <cell r="K1461" t="str">
            <v>768, 763</v>
          </cell>
          <cell r="L1461">
            <v>1803</v>
          </cell>
          <cell r="M1461" t="str">
            <v>Intiqal</v>
          </cell>
          <cell r="N1461" t="str">
            <v>Registry</v>
          </cell>
          <cell r="O1461">
            <v>8</v>
          </cell>
          <cell r="P1461">
            <v>6</v>
          </cell>
          <cell r="Q1461">
            <v>6.02</v>
          </cell>
          <cell r="R1461">
            <v>860100</v>
          </cell>
          <cell r="S1461">
            <v>0</v>
          </cell>
          <cell r="T1461">
            <v>-1</v>
          </cell>
          <cell r="U1461">
            <v>1</v>
          </cell>
          <cell r="V1461">
            <v>-6.02</v>
          </cell>
          <cell r="W1461" t="str">
            <v>Muhammad Banaras</v>
          </cell>
          <cell r="X1461" t="str">
            <v>Sardar Tanveer Ilyas</v>
          </cell>
          <cell r="Y1461">
            <v>45806</v>
          </cell>
        </row>
        <row r="1462">
          <cell r="K1462" t="str">
            <v>778, 779</v>
          </cell>
          <cell r="L1462">
            <v>15782</v>
          </cell>
          <cell r="M1462" t="str">
            <v>Intiqal</v>
          </cell>
          <cell r="N1462" t="str">
            <v>Registry</v>
          </cell>
          <cell r="O1462">
            <v>6</v>
          </cell>
          <cell r="P1462">
            <v>8</v>
          </cell>
          <cell r="Q1462">
            <v>6.98</v>
          </cell>
          <cell r="R1462">
            <v>0</v>
          </cell>
          <cell r="S1462">
            <v>0</v>
          </cell>
          <cell r="T1462">
            <v>2</v>
          </cell>
          <cell r="U1462">
            <v>-2</v>
          </cell>
          <cell r="V1462">
            <v>-0.96</v>
          </cell>
          <cell r="W1462" t="str">
            <v>Muhammad Raees</v>
          </cell>
          <cell r="X1462" t="str">
            <v>Sardar Tanveer Ilyas</v>
          </cell>
          <cell r="Y1462">
            <v>45629</v>
          </cell>
        </row>
        <row r="1463">
          <cell r="K1463" t="str">
            <v>770, 771, 772, 773, 774, 775, 776, 777</v>
          </cell>
          <cell r="L1463">
            <v>16826</v>
          </cell>
          <cell r="M1463" t="str">
            <v>Intiqal</v>
          </cell>
          <cell r="N1463" t="str">
            <v>Registry</v>
          </cell>
          <cell r="O1463">
            <v>8</v>
          </cell>
          <cell r="P1463">
            <v>13</v>
          </cell>
          <cell r="Q1463">
            <v>8</v>
          </cell>
          <cell r="R1463">
            <v>2426000</v>
          </cell>
          <cell r="S1463">
            <v>0</v>
          </cell>
          <cell r="T1463">
            <v>-2</v>
          </cell>
          <cell r="U1463">
            <v>-5</v>
          </cell>
          <cell r="V1463">
            <v>-1.02</v>
          </cell>
          <cell r="W1463" t="str">
            <v>Shazia Ali</v>
          </cell>
          <cell r="X1463" t="str">
            <v>Sardar Tanveer Ilyas</v>
          </cell>
          <cell r="Y1463">
            <v>45630</v>
          </cell>
        </row>
        <row r="1464">
          <cell r="K1464">
            <v>142</v>
          </cell>
          <cell r="L1464">
            <v>1479</v>
          </cell>
          <cell r="M1464" t="str">
            <v>Intiqal</v>
          </cell>
          <cell r="N1464" t="str">
            <v>Registry</v>
          </cell>
          <cell r="O1464">
            <v>0</v>
          </cell>
          <cell r="P1464">
            <v>10</v>
          </cell>
          <cell r="Q1464">
            <v>0</v>
          </cell>
          <cell r="R1464">
            <v>119216</v>
          </cell>
          <cell r="S1464">
            <v>0</v>
          </cell>
          <cell r="T1464">
            <v>8</v>
          </cell>
          <cell r="U1464">
            <v>0</v>
          </cell>
          <cell r="V1464">
            <v>0</v>
          </cell>
          <cell r="W1464" t="str">
            <v>Muhammad Sabir</v>
          </cell>
          <cell r="X1464" t="str">
            <v>Sardar Tanveer Ilyas</v>
          </cell>
          <cell r="Y1464">
            <v>45716</v>
          </cell>
        </row>
        <row r="1465">
          <cell r="K1465">
            <v>141</v>
          </cell>
          <cell r="L1465">
            <v>1476</v>
          </cell>
          <cell r="M1465" t="str">
            <v>Intiqal</v>
          </cell>
          <cell r="N1465" t="str">
            <v>Registry</v>
          </cell>
          <cell r="O1465">
            <v>4</v>
          </cell>
          <cell r="P1465">
            <v>0</v>
          </cell>
          <cell r="Q1465">
            <v>0</v>
          </cell>
          <cell r="R1465">
            <v>938101</v>
          </cell>
          <cell r="S1465">
            <v>0</v>
          </cell>
          <cell r="T1465">
            <v>-4</v>
          </cell>
          <cell r="U1465">
            <v>10</v>
          </cell>
          <cell r="V1465">
            <v>0</v>
          </cell>
          <cell r="W1465" t="str">
            <v>Barkhurdar</v>
          </cell>
          <cell r="X1465" t="str">
            <v>Sardar Tanveer Ilyas</v>
          </cell>
          <cell r="Y1465">
            <v>45716</v>
          </cell>
        </row>
        <row r="1466">
          <cell r="K1466">
            <v>143</v>
          </cell>
          <cell r="L1466">
            <v>1480</v>
          </cell>
          <cell r="M1466" t="str">
            <v>Intiqal</v>
          </cell>
          <cell r="N1466" t="str">
            <v>Registry</v>
          </cell>
          <cell r="O1466">
            <v>1</v>
          </cell>
          <cell r="P1466">
            <v>0</v>
          </cell>
          <cell r="Q1466">
            <v>0</v>
          </cell>
          <cell r="R1466">
            <v>235683</v>
          </cell>
          <cell r="S1466">
            <v>0</v>
          </cell>
          <cell r="T1466">
            <v>3</v>
          </cell>
          <cell r="U1466">
            <v>0</v>
          </cell>
          <cell r="V1466">
            <v>0</v>
          </cell>
          <cell r="W1466" t="str">
            <v>Mst Mira Jan</v>
          </cell>
          <cell r="X1466" t="str">
            <v>Sardar Tanveer Ilyas</v>
          </cell>
          <cell r="Y1466">
            <v>45716</v>
          </cell>
        </row>
        <row r="1467">
          <cell r="K1467">
            <v>140</v>
          </cell>
          <cell r="L1467">
            <v>9444</v>
          </cell>
          <cell r="M1467" t="str">
            <v>Intiqal</v>
          </cell>
          <cell r="N1467" t="str">
            <v>Registry</v>
          </cell>
          <cell r="O1467">
            <v>3</v>
          </cell>
          <cell r="P1467">
            <v>0</v>
          </cell>
          <cell r="Q1467">
            <v>0</v>
          </cell>
          <cell r="R1467">
            <v>698826</v>
          </cell>
          <cell r="S1467">
            <v>0</v>
          </cell>
          <cell r="T1467">
            <v>-2</v>
          </cell>
          <cell r="U1467">
            <v>0</v>
          </cell>
          <cell r="V1467">
            <v>0</v>
          </cell>
          <cell r="W1467" t="str">
            <v>Muhammad Abdullah Kiyani</v>
          </cell>
          <cell r="X1467" t="str">
            <v>Sardar Tanveer Ilyas</v>
          </cell>
          <cell r="Y1467">
            <v>45618</v>
          </cell>
        </row>
        <row r="1468">
          <cell r="K1468" t="str">
            <v>Fard provided to Qaiser - He wil check.</v>
          </cell>
          <cell r="M1468" t="str">
            <v>Not Available</v>
          </cell>
          <cell r="N1468" t="str">
            <v>Not Available</v>
          </cell>
          <cell r="O1468">
            <v>0</v>
          </cell>
          <cell r="P1468">
            <v>5</v>
          </cell>
          <cell r="Q1468">
            <v>0</v>
          </cell>
          <cell r="R1468">
            <v>119550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</row>
        <row r="1469">
          <cell r="K1469" t="str">
            <v>Fard provided to Qaiser - He will check.</v>
          </cell>
          <cell r="M1469" t="str">
            <v>Not Available</v>
          </cell>
          <cell r="N1469" t="str">
            <v>Not Available</v>
          </cell>
          <cell r="O1469">
            <v>1</v>
          </cell>
          <cell r="P1469">
            <v>0</v>
          </cell>
          <cell r="Q1469">
            <v>0</v>
          </cell>
          <cell r="R1469">
            <v>314200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</row>
        <row r="1470">
          <cell r="L1470">
            <v>7232</v>
          </cell>
          <cell r="M1470" t="str">
            <v>Not Available</v>
          </cell>
          <cell r="N1470" t="str">
            <v>Registry</v>
          </cell>
          <cell r="O1470">
            <v>0</v>
          </cell>
          <cell r="P1470">
            <v>12</v>
          </cell>
          <cell r="Q1470">
            <v>3.97</v>
          </cell>
          <cell r="R1470">
            <v>249900</v>
          </cell>
          <cell r="S1470">
            <v>0</v>
          </cell>
          <cell r="T1470">
            <v>15</v>
          </cell>
          <cell r="U1470">
            <v>15</v>
          </cell>
          <cell r="V1470">
            <v>7.86</v>
          </cell>
          <cell r="W1470" t="str">
            <v>Mehlan Bibi</v>
          </cell>
          <cell r="X1470" t="str">
            <v>Sardar Tanveer Ilyas</v>
          </cell>
          <cell r="Y1470">
            <v>45877</v>
          </cell>
        </row>
        <row r="1471">
          <cell r="L1471">
            <v>7238</v>
          </cell>
          <cell r="M1471" t="str">
            <v>Not Available</v>
          </cell>
          <cell r="N1471" t="str">
            <v>Registry</v>
          </cell>
          <cell r="O1471">
            <v>0</v>
          </cell>
          <cell r="P1471">
            <v>12</v>
          </cell>
          <cell r="Q1471">
            <v>5.95</v>
          </cell>
          <cell r="R1471">
            <v>253144</v>
          </cell>
          <cell r="S1471">
            <v>0</v>
          </cell>
          <cell r="T1471">
            <v>0</v>
          </cell>
          <cell r="U1471">
            <v>0</v>
          </cell>
          <cell r="V1471">
            <v>-1.98</v>
          </cell>
          <cell r="W1471" t="str">
            <v>Baber Iqbal</v>
          </cell>
          <cell r="X1471" t="str">
            <v>Sardar Tanveer Ilyas</v>
          </cell>
          <cell r="Y1471">
            <v>45877</v>
          </cell>
        </row>
        <row r="1472">
          <cell r="L1472">
            <v>8188</v>
          </cell>
          <cell r="M1472" t="str">
            <v>Not Available</v>
          </cell>
          <cell r="N1472" t="str">
            <v>Registry</v>
          </cell>
          <cell r="O1472">
            <v>1</v>
          </cell>
          <cell r="P1472">
            <v>2</v>
          </cell>
          <cell r="Q1472">
            <v>0</v>
          </cell>
          <cell r="R1472">
            <v>378904</v>
          </cell>
          <cell r="S1472">
            <v>0</v>
          </cell>
          <cell r="T1472">
            <v>-1</v>
          </cell>
          <cell r="U1472">
            <v>10</v>
          </cell>
          <cell r="V1472">
            <v>5.95</v>
          </cell>
          <cell r="W1472" t="str">
            <v>Muhammad Amjad</v>
          </cell>
          <cell r="X1472" t="str">
            <v>Sardar Tanveer Ilyas</v>
          </cell>
          <cell r="Y1472">
            <v>45877</v>
          </cell>
        </row>
        <row r="1473">
          <cell r="K1473" t="str">
            <v>6106, 6107</v>
          </cell>
          <cell r="L1473">
            <v>5160</v>
          </cell>
          <cell r="M1473" t="str">
            <v>Intiqal</v>
          </cell>
          <cell r="N1473" t="str">
            <v>Registry</v>
          </cell>
          <cell r="O1473">
            <v>1</v>
          </cell>
          <cell r="P1473">
            <v>17</v>
          </cell>
          <cell r="Q1473">
            <v>5.95</v>
          </cell>
          <cell r="R1473">
            <v>543708</v>
          </cell>
          <cell r="S1473">
            <v>1</v>
          </cell>
          <cell r="T1473">
            <v>0</v>
          </cell>
          <cell r="U1473">
            <v>-15</v>
          </cell>
          <cell r="V1473">
            <v>-5.95</v>
          </cell>
          <cell r="W1473" t="str">
            <v>Lal Khan</v>
          </cell>
          <cell r="X1473" t="str">
            <v>Sardar Tanveer Ilyas</v>
          </cell>
          <cell r="Y1473">
            <v>45825</v>
          </cell>
        </row>
        <row r="1474">
          <cell r="K1474">
            <v>6074</v>
          </cell>
          <cell r="L1474">
            <v>3924</v>
          </cell>
          <cell r="M1474" t="str">
            <v>Intiqal</v>
          </cell>
          <cell r="N1474" t="str">
            <v>Registry</v>
          </cell>
          <cell r="O1474">
            <v>1</v>
          </cell>
          <cell r="P1474">
            <v>0</v>
          </cell>
          <cell r="Q1474">
            <v>0</v>
          </cell>
          <cell r="R1474">
            <v>281500</v>
          </cell>
          <cell r="S1474">
            <v>1</v>
          </cell>
          <cell r="T1474">
            <v>0</v>
          </cell>
          <cell r="U1474">
            <v>17</v>
          </cell>
          <cell r="V1474">
            <v>5.95</v>
          </cell>
          <cell r="W1474" t="str">
            <v>Sajid Mehmood</v>
          </cell>
          <cell r="X1474" t="str">
            <v>Sardar Tanveer Ilyas</v>
          </cell>
          <cell r="Y1474">
            <v>45806</v>
          </cell>
        </row>
        <row r="1475">
          <cell r="K1475">
            <v>6076</v>
          </cell>
          <cell r="L1475">
            <v>3925</v>
          </cell>
          <cell r="M1475" t="str">
            <v>Intiqal</v>
          </cell>
          <cell r="N1475" t="str">
            <v>Registry</v>
          </cell>
          <cell r="O1475">
            <v>2</v>
          </cell>
          <cell r="P1475">
            <v>0</v>
          </cell>
          <cell r="Q1475">
            <v>0</v>
          </cell>
          <cell r="R1475">
            <v>542500</v>
          </cell>
          <cell r="S1475">
            <v>1</v>
          </cell>
          <cell r="T1475">
            <v>-1</v>
          </cell>
          <cell r="U1475">
            <v>0</v>
          </cell>
          <cell r="V1475">
            <v>0</v>
          </cell>
          <cell r="W1475" t="str">
            <v>Rukhsana</v>
          </cell>
          <cell r="X1475" t="str">
            <v>Sardar Tanveer Ilyas</v>
          </cell>
          <cell r="Y1475">
            <v>45806</v>
          </cell>
        </row>
        <row r="1476">
          <cell r="K1476">
            <v>6101</v>
          </cell>
          <cell r="L1476">
            <v>3586</v>
          </cell>
          <cell r="M1476" t="str">
            <v>Intiqal</v>
          </cell>
          <cell r="N1476" t="str">
            <v>Registry</v>
          </cell>
          <cell r="O1476">
            <v>0</v>
          </cell>
          <cell r="P1476">
            <v>13</v>
          </cell>
          <cell r="Q1476">
            <v>0</v>
          </cell>
          <cell r="R1476">
            <v>244500</v>
          </cell>
          <cell r="S1476">
            <v>1</v>
          </cell>
          <cell r="T1476">
            <v>2</v>
          </cell>
          <cell r="U1476">
            <v>-13</v>
          </cell>
          <cell r="V1476">
            <v>0</v>
          </cell>
          <cell r="W1476" t="str">
            <v>Muhammad Jamil</v>
          </cell>
          <cell r="X1476" t="str">
            <v>Sardar Tanveer Ilyas</v>
          </cell>
          <cell r="Y1476">
            <v>45799</v>
          </cell>
        </row>
        <row r="1477">
          <cell r="K1477">
            <v>6102</v>
          </cell>
          <cell r="L1477">
            <v>2959</v>
          </cell>
          <cell r="M1477" t="str">
            <v>Intiqal</v>
          </cell>
          <cell r="N1477" t="str">
            <v>Registry</v>
          </cell>
          <cell r="O1477">
            <v>1</v>
          </cell>
          <cell r="P1477">
            <v>0</v>
          </cell>
          <cell r="Q1477">
            <v>0</v>
          </cell>
          <cell r="R1477">
            <v>281500</v>
          </cell>
          <cell r="S1477">
            <v>1</v>
          </cell>
          <cell r="T1477">
            <v>-1</v>
          </cell>
          <cell r="U1477">
            <v>13</v>
          </cell>
          <cell r="V1477">
            <v>0</v>
          </cell>
          <cell r="W1477" t="str">
            <v>Rukhsana</v>
          </cell>
          <cell r="X1477" t="str">
            <v>Sardar Tanveer Ilyas</v>
          </cell>
          <cell r="Y1477">
            <v>45687</v>
          </cell>
        </row>
        <row r="1478">
          <cell r="K1478">
            <v>6098</v>
          </cell>
          <cell r="L1478">
            <v>2724</v>
          </cell>
          <cell r="M1478" t="str">
            <v>Intiqal</v>
          </cell>
          <cell r="N1478" t="str">
            <v>Registry</v>
          </cell>
          <cell r="O1478">
            <v>0</v>
          </cell>
          <cell r="P1478">
            <v>10</v>
          </cell>
          <cell r="Q1478">
            <v>0</v>
          </cell>
          <cell r="R1478">
            <v>126500</v>
          </cell>
          <cell r="S1478">
            <v>1</v>
          </cell>
          <cell r="T1478">
            <v>1</v>
          </cell>
          <cell r="U1478">
            <v>-10</v>
          </cell>
          <cell r="V1478">
            <v>0</v>
          </cell>
          <cell r="W1478" t="str">
            <v>Manzoor Khan</v>
          </cell>
          <cell r="X1478" t="str">
            <v>Sardar Tanveer Ilyas</v>
          </cell>
          <cell r="Y1478">
            <v>45720</v>
          </cell>
        </row>
        <row r="1479">
          <cell r="K1479">
            <v>6108</v>
          </cell>
          <cell r="L1479">
            <v>2811</v>
          </cell>
          <cell r="M1479" t="str">
            <v>Intiqal</v>
          </cell>
          <cell r="N1479" t="str">
            <v>Registry</v>
          </cell>
          <cell r="O1479">
            <v>1</v>
          </cell>
          <cell r="P1479">
            <v>0</v>
          </cell>
          <cell r="Q1479">
            <v>0</v>
          </cell>
          <cell r="R1479">
            <v>359500</v>
          </cell>
          <cell r="S1479">
            <v>0</v>
          </cell>
          <cell r="T1479">
            <v>-1</v>
          </cell>
          <cell r="U1479">
            <v>10</v>
          </cell>
          <cell r="V1479">
            <v>0</v>
          </cell>
          <cell r="W1479" t="str">
            <v>Yasmeen</v>
          </cell>
          <cell r="X1479" t="str">
            <v>Sardar Tanveer Ilyas</v>
          </cell>
          <cell r="Y1479">
            <v>45687</v>
          </cell>
        </row>
        <row r="1480">
          <cell r="K1480">
            <v>6105</v>
          </cell>
          <cell r="L1480">
            <v>609</v>
          </cell>
          <cell r="M1480" t="str">
            <v>Intiqal</v>
          </cell>
          <cell r="N1480" t="str">
            <v>Registry</v>
          </cell>
          <cell r="O1480">
            <v>1</v>
          </cell>
          <cell r="P1480">
            <v>5</v>
          </cell>
          <cell r="Q1480">
            <v>4.96</v>
          </cell>
          <cell r="R1480">
            <v>358700</v>
          </cell>
          <cell r="S1480">
            <v>1</v>
          </cell>
          <cell r="T1480">
            <v>0</v>
          </cell>
          <cell r="U1480">
            <v>-5</v>
          </cell>
          <cell r="V1480">
            <v>-4.96</v>
          </cell>
          <cell r="W1480" t="str">
            <v>Rasheeda Bibi</v>
          </cell>
          <cell r="X1480" t="str">
            <v>Sardar Tanveer Ilyas</v>
          </cell>
          <cell r="Y1480">
            <v>45665</v>
          </cell>
        </row>
        <row r="1481">
          <cell r="K1481">
            <v>5989</v>
          </cell>
          <cell r="L1481">
            <v>9571</v>
          </cell>
          <cell r="M1481" t="str">
            <v>Intiqal</v>
          </cell>
          <cell r="N1481" t="str">
            <v>Registry</v>
          </cell>
          <cell r="O1481">
            <v>1</v>
          </cell>
          <cell r="P1481">
            <v>0</v>
          </cell>
          <cell r="Q1481">
            <v>0</v>
          </cell>
          <cell r="R1481">
            <v>359500</v>
          </cell>
          <cell r="S1481">
            <v>1</v>
          </cell>
          <cell r="T1481">
            <v>0</v>
          </cell>
          <cell r="U1481">
            <v>5</v>
          </cell>
          <cell r="V1481">
            <v>4.96</v>
          </cell>
          <cell r="W1481" t="str">
            <v>Muhammad Amjad</v>
          </cell>
          <cell r="X1481" t="str">
            <v>Sardar Tanveer Ilyas</v>
          </cell>
          <cell r="Y1481">
            <v>45644</v>
          </cell>
        </row>
        <row r="1482">
          <cell r="K1482">
            <v>5992</v>
          </cell>
          <cell r="L1482">
            <v>9572</v>
          </cell>
          <cell r="M1482" t="str">
            <v>Intiqal</v>
          </cell>
          <cell r="N1482" t="str">
            <v>Registry</v>
          </cell>
          <cell r="O1482">
            <v>2</v>
          </cell>
          <cell r="P1482">
            <v>10</v>
          </cell>
          <cell r="Q1482">
            <v>0</v>
          </cell>
          <cell r="R1482">
            <v>655514</v>
          </cell>
          <cell r="S1482">
            <v>1</v>
          </cell>
          <cell r="T1482">
            <v>-1</v>
          </cell>
          <cell r="U1482">
            <v>-10</v>
          </cell>
          <cell r="V1482">
            <v>0</v>
          </cell>
          <cell r="W1482" t="str">
            <v>Muhammad Bashir</v>
          </cell>
          <cell r="X1482" t="str">
            <v>Sardar Tanveer Ilyas</v>
          </cell>
          <cell r="Y1482">
            <v>45644</v>
          </cell>
        </row>
        <row r="1483">
          <cell r="L1483">
            <v>9475</v>
          </cell>
          <cell r="M1483" t="str">
            <v>Not Available</v>
          </cell>
          <cell r="N1483" t="str">
            <v>Registry</v>
          </cell>
          <cell r="O1483">
            <v>0</v>
          </cell>
          <cell r="P1483">
            <v>5</v>
          </cell>
          <cell r="Q1483">
            <v>0</v>
          </cell>
          <cell r="R1483">
            <v>76500</v>
          </cell>
          <cell r="S1483">
            <v>1</v>
          </cell>
          <cell r="T1483">
            <v>2</v>
          </cell>
          <cell r="U1483">
            <v>5</v>
          </cell>
          <cell r="V1483">
            <v>0</v>
          </cell>
          <cell r="W1483" t="str">
            <v>Raja Noman</v>
          </cell>
          <cell r="X1483" t="str">
            <v>Sardar Tanveer Ilyas</v>
          </cell>
          <cell r="Y1483">
            <v>45639</v>
          </cell>
        </row>
        <row r="1484">
          <cell r="K1484">
            <v>5990</v>
          </cell>
          <cell r="L1484">
            <v>9359</v>
          </cell>
          <cell r="M1484" t="str">
            <v>Intiqal</v>
          </cell>
          <cell r="N1484" t="str">
            <v>Registry</v>
          </cell>
          <cell r="O1484">
            <v>1</v>
          </cell>
          <cell r="P1484">
            <v>0</v>
          </cell>
          <cell r="Q1484">
            <v>0</v>
          </cell>
          <cell r="R1484">
            <v>357500</v>
          </cell>
          <cell r="S1484">
            <v>1</v>
          </cell>
          <cell r="T1484">
            <v>-1</v>
          </cell>
          <cell r="U1484">
            <v>5</v>
          </cell>
          <cell r="V1484">
            <v>0</v>
          </cell>
          <cell r="W1484" t="str">
            <v>Baber Iqbal</v>
          </cell>
          <cell r="X1484" t="str">
            <v>Sardar Tanveer Ilyas</v>
          </cell>
          <cell r="Y1484">
            <v>45649</v>
          </cell>
        </row>
        <row r="1485">
          <cell r="K1485">
            <v>4171</v>
          </cell>
          <cell r="L1485">
            <v>5556</v>
          </cell>
          <cell r="M1485" t="str">
            <v>Intiqal</v>
          </cell>
          <cell r="N1485" t="str">
            <v>Registry</v>
          </cell>
          <cell r="O1485">
            <v>0</v>
          </cell>
          <cell r="P1485">
            <v>7</v>
          </cell>
          <cell r="Q1485">
            <v>4.93</v>
          </cell>
          <cell r="R1485">
            <v>227980</v>
          </cell>
          <cell r="S1485">
            <v>1</v>
          </cell>
          <cell r="T1485">
            <v>2</v>
          </cell>
          <cell r="U1485">
            <v>12</v>
          </cell>
          <cell r="V1485">
            <v>1.18</v>
          </cell>
          <cell r="W1485" t="str">
            <v>Mst Araaf Sohail</v>
          </cell>
          <cell r="X1485" t="str">
            <v>Sardar Tanveer Ilyas</v>
          </cell>
          <cell r="Y1485">
            <v>45771</v>
          </cell>
        </row>
        <row r="1486">
          <cell r="K1486">
            <v>4138</v>
          </cell>
          <cell r="L1486">
            <v>978</v>
          </cell>
          <cell r="M1486" t="str">
            <v>Intiqal</v>
          </cell>
          <cell r="N1486" t="str">
            <v>Registry</v>
          </cell>
          <cell r="O1486">
            <v>1</v>
          </cell>
          <cell r="P1486">
            <v>10</v>
          </cell>
          <cell r="Q1486">
            <v>2.71</v>
          </cell>
          <cell r="R1486">
            <v>609780</v>
          </cell>
          <cell r="S1486">
            <v>1</v>
          </cell>
          <cell r="T1486">
            <v>-1</v>
          </cell>
          <cell r="U1486">
            <v>-3</v>
          </cell>
          <cell r="V1486">
            <v>2.2200000000000002</v>
          </cell>
          <cell r="W1486" t="str">
            <v>Rubina Kousar</v>
          </cell>
          <cell r="X1486" t="str">
            <v>Sardar Tanveer Ilyas</v>
          </cell>
          <cell r="Y1486">
            <v>45649</v>
          </cell>
        </row>
        <row r="1487">
          <cell r="K1487">
            <v>4126</v>
          </cell>
          <cell r="L1487">
            <v>260</v>
          </cell>
          <cell r="M1487" t="str">
            <v>Intiqal</v>
          </cell>
          <cell r="N1487" t="str">
            <v>Registry</v>
          </cell>
          <cell r="O1487">
            <v>0</v>
          </cell>
          <cell r="P1487">
            <v>4</v>
          </cell>
          <cell r="Q1487">
            <v>0</v>
          </cell>
          <cell r="R1487">
            <v>130440</v>
          </cell>
          <cell r="S1487">
            <v>1</v>
          </cell>
          <cell r="T1487">
            <v>1</v>
          </cell>
          <cell r="U1487">
            <v>6</v>
          </cell>
          <cell r="V1487">
            <v>2.71</v>
          </cell>
          <cell r="W1487" t="str">
            <v>Muhammad Bilal</v>
          </cell>
          <cell r="X1487" t="str">
            <v>Sardar Tanveer Ilyas</v>
          </cell>
          <cell r="Y1487">
            <v>45638</v>
          </cell>
        </row>
        <row r="1488">
          <cell r="K1488">
            <v>4123</v>
          </cell>
          <cell r="L1488">
            <v>16009</v>
          </cell>
          <cell r="M1488" t="str">
            <v>Intiqal</v>
          </cell>
          <cell r="N1488" t="str">
            <v>Registry</v>
          </cell>
          <cell r="O1488">
            <v>0</v>
          </cell>
          <cell r="P1488">
            <v>5</v>
          </cell>
          <cell r="Q1488">
            <v>0</v>
          </cell>
          <cell r="R1488">
            <v>156600</v>
          </cell>
          <cell r="S1488">
            <v>1</v>
          </cell>
          <cell r="T1488">
            <v>0</v>
          </cell>
          <cell r="U1488">
            <v>-1</v>
          </cell>
          <cell r="V1488">
            <v>0</v>
          </cell>
          <cell r="W1488" t="str">
            <v>Abdul Hafeez</v>
          </cell>
          <cell r="X1488" t="str">
            <v>Sardar Tanveer Ilyas</v>
          </cell>
          <cell r="Y1488">
            <v>45649</v>
          </cell>
        </row>
        <row r="1489">
          <cell r="K1489">
            <v>4125</v>
          </cell>
          <cell r="L1489">
            <v>142</v>
          </cell>
          <cell r="M1489" t="str">
            <v>Intiqal</v>
          </cell>
          <cell r="N1489" t="str">
            <v>Registry</v>
          </cell>
          <cell r="O1489">
            <v>0</v>
          </cell>
          <cell r="P1489">
            <v>3</v>
          </cell>
          <cell r="Q1489">
            <v>7.47</v>
          </cell>
          <cell r="R1489">
            <v>127500</v>
          </cell>
          <cell r="S1489">
            <v>0</v>
          </cell>
          <cell r="T1489">
            <v>0</v>
          </cell>
          <cell r="U1489">
            <v>2</v>
          </cell>
          <cell r="V1489">
            <v>-7.47</v>
          </cell>
          <cell r="W1489" t="str">
            <v>Muhammad Irshad Gulzar</v>
          </cell>
          <cell r="X1489" t="str">
            <v>Sardar Tanveer Ilyas</v>
          </cell>
          <cell r="Y1489">
            <v>45624</v>
          </cell>
        </row>
        <row r="1490">
          <cell r="K1490">
            <v>4118</v>
          </cell>
          <cell r="L1490">
            <v>15062</v>
          </cell>
          <cell r="M1490" t="str">
            <v>Intiqal</v>
          </cell>
          <cell r="N1490" t="str">
            <v>Registry</v>
          </cell>
          <cell r="O1490">
            <v>0</v>
          </cell>
          <cell r="P1490">
            <v>9</v>
          </cell>
          <cell r="Q1490">
            <v>0</v>
          </cell>
          <cell r="R1490">
            <v>223700</v>
          </cell>
          <cell r="S1490">
            <v>1</v>
          </cell>
          <cell r="T1490">
            <v>0</v>
          </cell>
          <cell r="U1490">
            <v>-6</v>
          </cell>
          <cell r="V1490">
            <v>7.47</v>
          </cell>
          <cell r="W1490" t="str">
            <v>Altaf Ahmed Gondal</v>
          </cell>
          <cell r="X1490" t="str">
            <v>Sardar Tanveer Ilyas</v>
          </cell>
          <cell r="Y1490">
            <v>45632</v>
          </cell>
        </row>
        <row r="1491">
          <cell r="K1491">
            <v>760</v>
          </cell>
          <cell r="L1491">
            <v>5475</v>
          </cell>
          <cell r="M1491" t="str">
            <v>Intiqal</v>
          </cell>
          <cell r="N1491" t="str">
            <v>Registry</v>
          </cell>
          <cell r="O1491">
            <v>2</v>
          </cell>
          <cell r="P1491">
            <v>0</v>
          </cell>
          <cell r="Q1491">
            <v>0</v>
          </cell>
          <cell r="R1491">
            <v>506200</v>
          </cell>
          <cell r="S1491">
            <v>1</v>
          </cell>
          <cell r="T1491">
            <v>2</v>
          </cell>
          <cell r="U1491">
            <v>0</v>
          </cell>
          <cell r="V1491">
            <v>0</v>
          </cell>
          <cell r="W1491" t="str">
            <v>Aurangzeb</v>
          </cell>
          <cell r="X1491" t="str">
            <v>Sardar Tanveer Ilyas</v>
          </cell>
          <cell r="Y1491">
            <v>45779</v>
          </cell>
        </row>
        <row r="1492">
          <cell r="K1492">
            <v>758</v>
          </cell>
          <cell r="L1492">
            <v>4263</v>
          </cell>
          <cell r="M1492" t="str">
            <v>Intiqal</v>
          </cell>
          <cell r="N1492" t="str">
            <v>Registry</v>
          </cell>
          <cell r="O1492">
            <v>0</v>
          </cell>
          <cell r="P1492">
            <v>10</v>
          </cell>
          <cell r="Q1492">
            <v>0</v>
          </cell>
          <cell r="R1492">
            <v>185300</v>
          </cell>
          <cell r="S1492">
            <v>1</v>
          </cell>
          <cell r="T1492">
            <v>2</v>
          </cell>
          <cell r="U1492">
            <v>-10</v>
          </cell>
          <cell r="V1492">
            <v>0</v>
          </cell>
          <cell r="W1492" t="str">
            <v>Mst Yasmeen Akhtar</v>
          </cell>
          <cell r="X1492" t="str">
            <v>Sardar Tanveer Ilyas</v>
          </cell>
          <cell r="Y1492">
            <v>45757</v>
          </cell>
        </row>
        <row r="1493">
          <cell r="L1493">
            <v>14968</v>
          </cell>
          <cell r="M1493" t="str">
            <v>Not Available</v>
          </cell>
          <cell r="N1493" t="str">
            <v>Registry</v>
          </cell>
          <cell r="O1493">
            <v>1</v>
          </cell>
          <cell r="P1493">
            <v>10</v>
          </cell>
          <cell r="Q1493">
            <v>0</v>
          </cell>
          <cell r="R1493">
            <v>353840</v>
          </cell>
          <cell r="S1493">
            <v>1</v>
          </cell>
          <cell r="T1493">
            <v>-1</v>
          </cell>
          <cell r="U1493">
            <v>0</v>
          </cell>
          <cell r="V1493">
            <v>0</v>
          </cell>
          <cell r="W1493" t="str">
            <v>Qamar Rehman</v>
          </cell>
          <cell r="X1493" t="str">
            <v>Sardar Tanveer Ilyas</v>
          </cell>
          <cell r="Y1493">
            <v>45630</v>
          </cell>
        </row>
        <row r="1494">
          <cell r="K1494">
            <v>4102</v>
          </cell>
          <cell r="L1494">
            <v>12769</v>
          </cell>
          <cell r="M1494" t="str">
            <v>Intiqal</v>
          </cell>
          <cell r="N1494" t="str">
            <v>Registry</v>
          </cell>
          <cell r="O1494">
            <v>1</v>
          </cell>
          <cell r="P1494">
            <v>0</v>
          </cell>
          <cell r="Q1494">
            <v>0</v>
          </cell>
          <cell r="R1494">
            <v>409600</v>
          </cell>
          <cell r="S1494">
            <v>1</v>
          </cell>
          <cell r="T1494">
            <v>0</v>
          </cell>
          <cell r="U1494">
            <v>0</v>
          </cell>
          <cell r="V1494">
            <v>0</v>
          </cell>
          <cell r="W1494" t="str">
            <v>Muhammad Naseer</v>
          </cell>
          <cell r="X1494" t="str">
            <v>Sardar Tanveer Ilyas</v>
          </cell>
          <cell r="Y1494">
            <v>45568</v>
          </cell>
        </row>
        <row r="1495">
          <cell r="K1495">
            <v>3034</v>
          </cell>
          <cell r="L1495">
            <v>12048</v>
          </cell>
          <cell r="M1495" t="str">
            <v>Intiqal</v>
          </cell>
          <cell r="N1495" t="str">
            <v>Registry</v>
          </cell>
          <cell r="O1495">
            <v>1</v>
          </cell>
          <cell r="P1495">
            <v>14</v>
          </cell>
          <cell r="Q1495">
            <v>2.97</v>
          </cell>
          <cell r="R1495">
            <v>0</v>
          </cell>
          <cell r="S1495">
            <v>0</v>
          </cell>
          <cell r="T1495">
            <v>19</v>
          </cell>
          <cell r="U1495">
            <v>-2</v>
          </cell>
          <cell r="V1495">
            <v>-2.37</v>
          </cell>
          <cell r="W1495" t="str">
            <v>Muhammad Munir Akhtar</v>
          </cell>
          <cell r="X1495" t="str">
            <v>Sardar Tanveer Ilyas</v>
          </cell>
          <cell r="Y1495">
            <v>45533</v>
          </cell>
        </row>
        <row r="1496">
          <cell r="K1496">
            <v>3122</v>
          </cell>
          <cell r="L1496">
            <v>15327</v>
          </cell>
          <cell r="M1496" t="str">
            <v>Intiqal</v>
          </cell>
          <cell r="N1496" t="str">
            <v>Registry</v>
          </cell>
          <cell r="O1496">
            <v>1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14</v>
          </cell>
          <cell r="V1496">
            <v>2.97</v>
          </cell>
          <cell r="W1496" t="str">
            <v>Adnan Afzal</v>
          </cell>
          <cell r="X1496" t="str">
            <v>Sardar Tanveer Ilyas</v>
          </cell>
          <cell r="Y1496">
            <v>45958</v>
          </cell>
        </row>
        <row r="1497">
          <cell r="K1497">
            <v>3116</v>
          </cell>
          <cell r="L1497">
            <v>14492</v>
          </cell>
          <cell r="M1497" t="str">
            <v>Intiqal</v>
          </cell>
          <cell r="N1497" t="str">
            <v>Registry</v>
          </cell>
          <cell r="O1497">
            <v>1</v>
          </cell>
          <cell r="P1497">
            <v>5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-5</v>
          </cell>
          <cell r="V1497">
            <v>0</v>
          </cell>
          <cell r="W1497" t="str">
            <v>Mazhar Hussain</v>
          </cell>
          <cell r="X1497" t="str">
            <v>Sardar Tanveer Ilyas</v>
          </cell>
          <cell r="Y1497">
            <v>45944</v>
          </cell>
        </row>
        <row r="1498">
          <cell r="K1498">
            <v>3112</v>
          </cell>
          <cell r="L1498">
            <v>13960</v>
          </cell>
          <cell r="M1498" t="str">
            <v>Intiqal</v>
          </cell>
          <cell r="N1498" t="str">
            <v>Registry</v>
          </cell>
          <cell r="O1498">
            <v>1</v>
          </cell>
          <cell r="P1498">
            <v>14</v>
          </cell>
          <cell r="Q1498">
            <v>3</v>
          </cell>
          <cell r="R1498">
            <v>0</v>
          </cell>
          <cell r="S1498">
            <v>0</v>
          </cell>
          <cell r="T1498">
            <v>0</v>
          </cell>
          <cell r="U1498">
            <v>-9</v>
          </cell>
          <cell r="V1498">
            <v>-3</v>
          </cell>
          <cell r="W1498" t="str">
            <v>Safdar</v>
          </cell>
          <cell r="X1498" t="str">
            <v>Sardar Tanveer Ilyas</v>
          </cell>
          <cell r="Y1498">
            <v>45917</v>
          </cell>
        </row>
        <row r="1499">
          <cell r="L1499">
            <v>11857355</v>
          </cell>
          <cell r="M1499" t="str">
            <v>Not Available</v>
          </cell>
          <cell r="N1499" t="str">
            <v>Not Available</v>
          </cell>
          <cell r="O1499">
            <v>5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-4</v>
          </cell>
          <cell r="U1499">
            <v>14</v>
          </cell>
          <cell r="V1499">
            <v>3</v>
          </cell>
          <cell r="W1499" t="str">
            <v>Gulzar Beghum</v>
          </cell>
          <cell r="X1499" t="str">
            <v>Sardar Tanveer Ilyas</v>
          </cell>
        </row>
        <row r="1500">
          <cell r="K1500">
            <v>3039</v>
          </cell>
          <cell r="L1500">
            <v>13271</v>
          </cell>
          <cell r="M1500" t="str">
            <v>Intiqal</v>
          </cell>
          <cell r="N1500" t="str">
            <v>Registry</v>
          </cell>
          <cell r="O1500">
            <v>0</v>
          </cell>
          <cell r="P1500">
            <v>11</v>
          </cell>
          <cell r="Q1500">
            <v>1.49</v>
          </cell>
          <cell r="R1500">
            <v>0</v>
          </cell>
          <cell r="S1500">
            <v>0</v>
          </cell>
          <cell r="T1500">
            <v>5</v>
          </cell>
          <cell r="U1500">
            <v>-11</v>
          </cell>
          <cell r="V1500">
            <v>-1.49</v>
          </cell>
          <cell r="W1500" t="str">
            <v>Atfi Shahzad</v>
          </cell>
          <cell r="X1500" t="str">
            <v>Sardar Tanveer Ilyas</v>
          </cell>
          <cell r="Y1500">
            <v>45549</v>
          </cell>
        </row>
        <row r="1501">
          <cell r="L1501">
            <v>11703585</v>
          </cell>
          <cell r="M1501" t="str">
            <v>Not Available</v>
          </cell>
          <cell r="N1501" t="str">
            <v>Not Available</v>
          </cell>
          <cell r="O1501">
            <v>7</v>
          </cell>
          <cell r="P1501">
            <v>12</v>
          </cell>
          <cell r="Q1501">
            <v>8.17</v>
          </cell>
          <cell r="R1501">
            <v>0</v>
          </cell>
          <cell r="S1501">
            <v>0</v>
          </cell>
          <cell r="T1501">
            <v>-7</v>
          </cell>
          <cell r="U1501">
            <v>-1</v>
          </cell>
          <cell r="V1501">
            <v>-6.68</v>
          </cell>
          <cell r="W1501" t="str">
            <v>Raja Muhammad Ashfaq</v>
          </cell>
          <cell r="X1501" t="str">
            <v>Sardar Tanveer Ilyas</v>
          </cell>
        </row>
        <row r="1502">
          <cell r="K1502">
            <v>3077</v>
          </cell>
          <cell r="L1502">
            <v>7620</v>
          </cell>
          <cell r="M1502" t="str">
            <v>Intiqal</v>
          </cell>
          <cell r="N1502" t="str">
            <v>Registry</v>
          </cell>
          <cell r="O1502">
            <v>1</v>
          </cell>
          <cell r="P1502">
            <v>14</v>
          </cell>
          <cell r="Q1502">
            <v>2.98</v>
          </cell>
          <cell r="R1502">
            <v>0</v>
          </cell>
          <cell r="S1502">
            <v>0</v>
          </cell>
          <cell r="T1502">
            <v>6</v>
          </cell>
          <cell r="U1502">
            <v>-2</v>
          </cell>
          <cell r="V1502">
            <v>5.2</v>
          </cell>
          <cell r="W1502" t="str">
            <v>Waqas Ali</v>
          </cell>
          <cell r="X1502" t="str">
            <v>Sardar Tanveer Ilyas</v>
          </cell>
          <cell r="Y1502">
            <v>45920</v>
          </cell>
        </row>
        <row r="1503">
          <cell r="K1503">
            <v>2118</v>
          </cell>
          <cell r="L1503">
            <v>13272</v>
          </cell>
          <cell r="M1503" t="str">
            <v>Intiqal</v>
          </cell>
          <cell r="N1503" t="str">
            <v>Registry</v>
          </cell>
          <cell r="O1503">
            <v>3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 t="str">
            <v>Hammad Ashraf</v>
          </cell>
          <cell r="X1503" t="str">
            <v>Sardar Tanveer Ilyas</v>
          </cell>
          <cell r="Y1503">
            <v>45553</v>
          </cell>
        </row>
        <row r="1504">
          <cell r="K1504">
            <v>721</v>
          </cell>
          <cell r="L1504">
            <v>11770</v>
          </cell>
          <cell r="M1504" t="str">
            <v>Intiqal</v>
          </cell>
          <cell r="N1504" t="str">
            <v>Not Available</v>
          </cell>
          <cell r="O1504">
            <v>15</v>
          </cell>
          <cell r="P1504">
            <v>18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 t="str">
            <v>Attique Ur Rehman</v>
          </cell>
          <cell r="X1504" t="str">
            <v>Sardar Tanveer Ilyas</v>
          </cell>
        </row>
        <row r="1505">
          <cell r="L1505">
            <v>16827</v>
          </cell>
          <cell r="M1505" t="str">
            <v>Not Available</v>
          </cell>
          <cell r="N1505" t="str">
            <v>Registry</v>
          </cell>
          <cell r="O1505">
            <v>2</v>
          </cell>
          <cell r="P1505">
            <v>2</v>
          </cell>
          <cell r="Q1505">
            <v>1.98</v>
          </cell>
          <cell r="R1505">
            <v>276600</v>
          </cell>
          <cell r="S1505">
            <v>1929600</v>
          </cell>
          <cell r="T1505">
            <v>0</v>
          </cell>
          <cell r="U1505">
            <v>0</v>
          </cell>
          <cell r="V1505">
            <v>0</v>
          </cell>
          <cell r="W1505" t="str">
            <v>Hammad Nusrat</v>
          </cell>
          <cell r="X1505" t="str">
            <v>Sardar Tanveer Ilyas</v>
          </cell>
          <cell r="Y1505">
            <v>45637</v>
          </cell>
        </row>
        <row r="1506">
          <cell r="L1506">
            <v>12199</v>
          </cell>
          <cell r="M1506" t="str">
            <v>Not Available</v>
          </cell>
          <cell r="N1506" t="str">
            <v>Registry</v>
          </cell>
          <cell r="O1506">
            <v>1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 t="str">
            <v>Iftikhar Ahmed</v>
          </cell>
          <cell r="X1506" t="str">
            <v>Sardar Tanveer Ilyas</v>
          </cell>
          <cell r="Y1506">
            <v>45898</v>
          </cell>
        </row>
        <row r="1507">
          <cell r="L1507">
            <v>2511</v>
          </cell>
          <cell r="M1507" t="str">
            <v>Not Available</v>
          </cell>
          <cell r="N1507" t="str">
            <v>Registry</v>
          </cell>
          <cell r="O1507">
            <v>2</v>
          </cell>
          <cell r="P1507">
            <v>0</v>
          </cell>
          <cell r="Q1507">
            <v>0</v>
          </cell>
          <cell r="R1507">
            <v>1950000</v>
          </cell>
          <cell r="S1507">
            <v>0</v>
          </cell>
          <cell r="T1507">
            <v>15</v>
          </cell>
          <cell r="U1507">
            <v>0</v>
          </cell>
          <cell r="V1507">
            <v>0</v>
          </cell>
          <cell r="W1507" t="str">
            <v>Muhammad Riyasat</v>
          </cell>
          <cell r="X1507" t="str">
            <v>Sardar Tanveer Ilyas</v>
          </cell>
          <cell r="Y1507">
            <v>45775</v>
          </cell>
        </row>
        <row r="1508">
          <cell r="L1508">
            <v>3431</v>
          </cell>
          <cell r="M1508" t="str">
            <v>Not Available</v>
          </cell>
          <cell r="N1508" t="str">
            <v>Registry</v>
          </cell>
          <cell r="O1508">
            <v>7</v>
          </cell>
          <cell r="P1508">
            <v>0</v>
          </cell>
          <cell r="Q1508">
            <v>0</v>
          </cell>
          <cell r="R1508">
            <v>927000</v>
          </cell>
          <cell r="S1508">
            <v>4176000</v>
          </cell>
          <cell r="T1508">
            <v>-5</v>
          </cell>
          <cell r="U1508">
            <v>0</v>
          </cell>
          <cell r="V1508">
            <v>0</v>
          </cell>
          <cell r="W1508" t="str">
            <v>Sajida Bibi</v>
          </cell>
          <cell r="X1508" t="str">
            <v>Sardar Tanveer Ilyas</v>
          </cell>
          <cell r="Y1508">
            <v>45658</v>
          </cell>
        </row>
        <row r="1509">
          <cell r="L1509">
            <v>2823</v>
          </cell>
          <cell r="M1509" t="str">
            <v>Not Available</v>
          </cell>
          <cell r="N1509" t="str">
            <v>Registry</v>
          </cell>
          <cell r="O1509">
            <v>8</v>
          </cell>
          <cell r="P1509">
            <v>0</v>
          </cell>
          <cell r="Q1509">
            <v>0</v>
          </cell>
          <cell r="R1509">
            <v>1068840</v>
          </cell>
          <cell r="S1509">
            <v>2600000</v>
          </cell>
          <cell r="T1509">
            <v>-1</v>
          </cell>
          <cell r="U1509">
            <v>0</v>
          </cell>
          <cell r="V1509">
            <v>0</v>
          </cell>
          <cell r="W1509" t="str">
            <v>Hayat Muhammad</v>
          </cell>
          <cell r="X1509" t="str">
            <v>Sardar Tanveer Ilyas</v>
          </cell>
          <cell r="Y1509">
            <v>45743</v>
          </cell>
        </row>
        <row r="1510">
          <cell r="K1510">
            <v>4172</v>
          </cell>
          <cell r="L1510">
            <v>5685</v>
          </cell>
          <cell r="M1510" t="str">
            <v>Intiqal</v>
          </cell>
          <cell r="N1510" t="str">
            <v>Registry</v>
          </cell>
          <cell r="O1510">
            <v>0</v>
          </cell>
          <cell r="P1510">
            <v>14</v>
          </cell>
          <cell r="Q1510">
            <v>2.1</v>
          </cell>
          <cell r="R1510">
            <v>0</v>
          </cell>
          <cell r="S1510">
            <v>0</v>
          </cell>
          <cell r="T1510">
            <v>6</v>
          </cell>
          <cell r="U1510">
            <v>-13</v>
          </cell>
          <cell r="V1510">
            <v>0</v>
          </cell>
          <cell r="W1510" t="str">
            <v>Rasheeda begum</v>
          </cell>
          <cell r="X1510" t="str">
            <v>Sardar Tanveer Ilyas</v>
          </cell>
          <cell r="Y1510">
            <v>45884</v>
          </cell>
        </row>
        <row r="1511">
          <cell r="K1511">
            <v>4148</v>
          </cell>
          <cell r="L1511">
            <v>1864</v>
          </cell>
          <cell r="M1511" t="str">
            <v>Intiqal</v>
          </cell>
          <cell r="N1511" t="str">
            <v>Registry</v>
          </cell>
          <cell r="O1511">
            <v>1</v>
          </cell>
          <cell r="P1511">
            <v>16</v>
          </cell>
          <cell r="Q1511">
            <v>6</v>
          </cell>
          <cell r="R1511">
            <v>0</v>
          </cell>
          <cell r="S1511">
            <v>0</v>
          </cell>
          <cell r="T1511">
            <v>-1</v>
          </cell>
          <cell r="U1511">
            <v>-2</v>
          </cell>
          <cell r="V1511">
            <v>-3.9</v>
          </cell>
          <cell r="W1511" t="str">
            <v>Attique Ur Rehman</v>
          </cell>
          <cell r="X1511" t="str">
            <v>Sardar Tanveer Ilyas</v>
          </cell>
          <cell r="Y1511">
            <v>45692</v>
          </cell>
        </row>
        <row r="1512">
          <cell r="L1512">
            <v>12009345</v>
          </cell>
          <cell r="M1512" t="str">
            <v>Not Available</v>
          </cell>
          <cell r="N1512" t="str">
            <v>Not Available</v>
          </cell>
          <cell r="O1512">
            <v>0</v>
          </cell>
          <cell r="P1512">
            <v>3</v>
          </cell>
          <cell r="Q1512">
            <v>3</v>
          </cell>
          <cell r="R1512">
            <v>0</v>
          </cell>
          <cell r="S1512">
            <v>0</v>
          </cell>
          <cell r="T1512">
            <v>1</v>
          </cell>
          <cell r="U1512">
            <v>13</v>
          </cell>
          <cell r="V1512">
            <v>3</v>
          </cell>
          <cell r="W1512" t="str">
            <v>Sajida</v>
          </cell>
          <cell r="X1512" t="str">
            <v>Sardar Tanveer Ilyas</v>
          </cell>
        </row>
        <row r="1513">
          <cell r="L1513">
            <v>12013890</v>
          </cell>
          <cell r="M1513" t="str">
            <v>Not Available</v>
          </cell>
          <cell r="N1513" t="str">
            <v>Not Available</v>
          </cell>
          <cell r="O1513">
            <v>1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-1</v>
          </cell>
          <cell r="U1513">
            <v>3</v>
          </cell>
          <cell r="V1513">
            <v>3</v>
          </cell>
          <cell r="W1513" t="str">
            <v>Muhammad</v>
          </cell>
          <cell r="X1513" t="str">
            <v>Sardar Tanveer Ilyas</v>
          </cell>
        </row>
        <row r="1514">
          <cell r="L1514">
            <v>11935114</v>
          </cell>
          <cell r="M1514" t="str">
            <v>Not Available</v>
          </cell>
          <cell r="N1514" t="str">
            <v>Not Available</v>
          </cell>
          <cell r="O1514">
            <v>0</v>
          </cell>
          <cell r="P1514">
            <v>5</v>
          </cell>
          <cell r="Q1514">
            <v>0</v>
          </cell>
          <cell r="R1514">
            <v>0</v>
          </cell>
          <cell r="S1514">
            <v>0</v>
          </cell>
          <cell r="T1514">
            <v>1</v>
          </cell>
          <cell r="U1514">
            <v>-5</v>
          </cell>
          <cell r="V1514">
            <v>0</v>
          </cell>
        </row>
        <row r="1515">
          <cell r="L1515">
            <v>11935084</v>
          </cell>
          <cell r="M1515" t="str">
            <v>Not Available</v>
          </cell>
          <cell r="N1515" t="str">
            <v>Not Available</v>
          </cell>
          <cell r="O1515">
            <v>0</v>
          </cell>
          <cell r="P1515">
            <v>5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L1516">
            <v>11991732</v>
          </cell>
          <cell r="M1516" t="str">
            <v>Not Available</v>
          </cell>
          <cell r="N1516" t="str">
            <v>Not Available</v>
          </cell>
          <cell r="O1516">
            <v>0</v>
          </cell>
          <cell r="P1516">
            <v>10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-5</v>
          </cell>
          <cell r="V1516">
            <v>0</v>
          </cell>
          <cell r="W1516" t="str">
            <v>Muhammad Naseer</v>
          </cell>
          <cell r="X1516" t="str">
            <v>Sardar Tanveer Ilyas</v>
          </cell>
        </row>
        <row r="1517">
          <cell r="L1517">
            <v>11991786</v>
          </cell>
          <cell r="M1517" t="str">
            <v>Not Available</v>
          </cell>
          <cell r="N1517" t="str">
            <v>Not Available</v>
          </cell>
          <cell r="O1517">
            <v>1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-1</v>
          </cell>
          <cell r="U1517">
            <v>10</v>
          </cell>
          <cell r="V1517">
            <v>0</v>
          </cell>
          <cell r="W1517" t="str">
            <v>Rasheeda begum</v>
          </cell>
          <cell r="X1517" t="str">
            <v>Sardar Tanveer Ilyas</v>
          </cell>
        </row>
        <row r="1518">
          <cell r="L1518">
            <v>11988364</v>
          </cell>
          <cell r="M1518" t="str">
            <v>Not Available</v>
          </cell>
          <cell r="N1518" t="str">
            <v>Not Available</v>
          </cell>
          <cell r="O1518">
            <v>0</v>
          </cell>
          <cell r="P1518">
            <v>7</v>
          </cell>
          <cell r="Q1518">
            <v>0</v>
          </cell>
          <cell r="R1518">
            <v>0</v>
          </cell>
          <cell r="S1518">
            <v>0</v>
          </cell>
          <cell r="T1518">
            <v>1</v>
          </cell>
          <cell r="U1518">
            <v>-7</v>
          </cell>
          <cell r="V1518">
            <v>0</v>
          </cell>
          <cell r="W1518" t="str">
            <v>Raja Kamran</v>
          </cell>
          <cell r="X1518" t="str">
            <v>Sardar Tanveer Ilyas</v>
          </cell>
        </row>
        <row r="1519">
          <cell r="L1519">
            <v>18371</v>
          </cell>
          <cell r="M1519" t="str">
            <v>Intiqal</v>
          </cell>
          <cell r="N1519" t="str">
            <v>Registry</v>
          </cell>
          <cell r="O1519">
            <v>0</v>
          </cell>
          <cell r="P1519">
            <v>15</v>
          </cell>
          <cell r="Q1519">
            <v>0</v>
          </cell>
          <cell r="R1519">
            <v>0</v>
          </cell>
          <cell r="S1519">
            <v>0</v>
          </cell>
          <cell r="T1519">
            <v>2</v>
          </cell>
          <cell r="U1519">
            <v>-10</v>
          </cell>
          <cell r="V1519">
            <v>0</v>
          </cell>
          <cell r="W1519" t="str">
            <v>Taimoor Younis</v>
          </cell>
          <cell r="X1519" t="str">
            <v>Sardar Tanveer Ilyas</v>
          </cell>
          <cell r="Y1519">
            <v>45743</v>
          </cell>
        </row>
        <row r="1520">
          <cell r="L1520">
            <v>13560</v>
          </cell>
          <cell r="M1520" t="str">
            <v>Not Available</v>
          </cell>
          <cell r="N1520" t="str">
            <v>Registry</v>
          </cell>
          <cell r="O1520">
            <v>1</v>
          </cell>
          <cell r="P1520">
            <v>10</v>
          </cell>
          <cell r="Q1520">
            <v>0</v>
          </cell>
          <cell r="R1520">
            <v>241600</v>
          </cell>
          <cell r="S1520">
            <v>0</v>
          </cell>
          <cell r="T1520">
            <v>-1</v>
          </cell>
          <cell r="U1520">
            <v>5</v>
          </cell>
          <cell r="V1520">
            <v>0</v>
          </cell>
          <cell r="W1520" t="str">
            <v>Waqar Younis</v>
          </cell>
          <cell r="X1520" t="str">
            <v>Sardar Tanveer Ilyas</v>
          </cell>
          <cell r="Y1520">
            <v>45743</v>
          </cell>
        </row>
        <row r="1521">
          <cell r="L1521">
            <v>11728</v>
          </cell>
          <cell r="M1521" t="str">
            <v>Not Available</v>
          </cell>
          <cell r="N1521" t="str">
            <v>Registry</v>
          </cell>
          <cell r="O1521">
            <v>10</v>
          </cell>
          <cell r="P1521">
            <v>0</v>
          </cell>
          <cell r="Q1521">
            <v>0</v>
          </cell>
          <cell r="R1521">
            <v>3647960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 t="str">
            <v>Malik Irfan</v>
          </cell>
          <cell r="X1521" t="str">
            <v>Sardar Tanveer Ilyas</v>
          </cell>
          <cell r="Y1521">
            <v>45790</v>
          </cell>
        </row>
        <row r="1522">
          <cell r="K1522" t="str">
            <v>Rozi Khan- Molana</v>
          </cell>
          <cell r="M1522" t="str">
            <v>Not Available</v>
          </cell>
          <cell r="N1522" t="str">
            <v>Not Available</v>
          </cell>
          <cell r="O1522">
            <v>1</v>
          </cell>
          <cell r="P1522">
            <v>0</v>
          </cell>
          <cell r="Q1522">
            <v>0</v>
          </cell>
          <cell r="R1522">
            <v>146000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K1523">
            <v>4190</v>
          </cell>
          <cell r="L1523">
            <v>7851</v>
          </cell>
          <cell r="M1523" t="str">
            <v>Intiqal</v>
          </cell>
          <cell r="N1523" t="str">
            <v>Registry</v>
          </cell>
          <cell r="O1523">
            <v>6</v>
          </cell>
          <cell r="P1523">
            <v>6</v>
          </cell>
          <cell r="Q1523">
            <v>8.64</v>
          </cell>
          <cell r="R1523">
            <v>1925346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 t="str">
            <v>Raja Mujahid Haneef kiyani</v>
          </cell>
          <cell r="X1523" t="str">
            <v>Sardar Tanveer Ilyas</v>
          </cell>
          <cell r="Y1523">
            <v>45807</v>
          </cell>
        </row>
        <row r="1524">
          <cell r="K1524" t="str">
            <v>Registry payment not made.</v>
          </cell>
          <cell r="M1524" t="str">
            <v>Not Available</v>
          </cell>
          <cell r="N1524" t="str">
            <v>Not Available</v>
          </cell>
          <cell r="O1524">
            <v>3</v>
          </cell>
          <cell r="P1524">
            <v>5</v>
          </cell>
          <cell r="Q1524">
            <v>0</v>
          </cell>
          <cell r="R1524">
            <v>0</v>
          </cell>
          <cell r="S1524">
            <v>0</v>
          </cell>
          <cell r="T1524">
            <v>2</v>
          </cell>
          <cell r="U1524">
            <v>0</v>
          </cell>
          <cell r="V1524">
            <v>0</v>
          </cell>
        </row>
        <row r="1525">
          <cell r="K1525" t="str">
            <v>Registry payment made.</v>
          </cell>
          <cell r="M1525" t="str">
            <v>Not Available</v>
          </cell>
          <cell r="N1525" t="str">
            <v>Not Available</v>
          </cell>
          <cell r="O1525">
            <v>0</v>
          </cell>
          <cell r="P1525">
            <v>17</v>
          </cell>
          <cell r="Q1525">
            <v>3</v>
          </cell>
          <cell r="R1525">
            <v>344185</v>
          </cell>
          <cell r="S1525">
            <v>0</v>
          </cell>
          <cell r="T1525">
            <v>3</v>
          </cell>
          <cell r="U1525">
            <v>-12</v>
          </cell>
          <cell r="V1525">
            <v>-3</v>
          </cell>
        </row>
        <row r="1526">
          <cell r="K1526" t="str">
            <v>Registry payment made.</v>
          </cell>
          <cell r="M1526" t="str">
            <v>Not Available</v>
          </cell>
          <cell r="N1526" t="str">
            <v>Not Available</v>
          </cell>
          <cell r="O1526">
            <v>1</v>
          </cell>
          <cell r="P1526">
            <v>2</v>
          </cell>
          <cell r="Q1526">
            <v>6</v>
          </cell>
          <cell r="R1526">
            <v>321145</v>
          </cell>
          <cell r="S1526">
            <v>0</v>
          </cell>
          <cell r="T1526">
            <v>-1</v>
          </cell>
          <cell r="U1526">
            <v>15</v>
          </cell>
          <cell r="V1526">
            <v>-3</v>
          </cell>
        </row>
        <row r="1527">
          <cell r="K1527">
            <v>149</v>
          </cell>
          <cell r="L1527">
            <v>11721</v>
          </cell>
          <cell r="M1527" t="str">
            <v>Intiqal</v>
          </cell>
          <cell r="N1527" t="str">
            <v>Registry</v>
          </cell>
          <cell r="O1527">
            <v>8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10</v>
          </cell>
          <cell r="U1527">
            <v>0</v>
          </cell>
          <cell r="V1527">
            <v>0</v>
          </cell>
          <cell r="W1527" t="str">
            <v>Qaiser Maskeen</v>
          </cell>
          <cell r="X1527" t="str">
            <v>Sardar Tanveer Ilyas</v>
          </cell>
          <cell r="Y1527">
            <v>45881</v>
          </cell>
        </row>
        <row r="1528">
          <cell r="K1528">
            <v>148</v>
          </cell>
          <cell r="L1528">
            <v>11734</v>
          </cell>
          <cell r="M1528" t="str">
            <v>Intiqal</v>
          </cell>
          <cell r="N1528" t="str">
            <v>Registry</v>
          </cell>
          <cell r="O1528">
            <v>10</v>
          </cell>
          <cell r="P1528">
            <v>0</v>
          </cell>
          <cell r="Q1528">
            <v>0</v>
          </cell>
          <cell r="R1528">
            <v>7879796</v>
          </cell>
          <cell r="S1528">
            <v>5000000</v>
          </cell>
          <cell r="T1528">
            <v>-2</v>
          </cell>
          <cell r="U1528">
            <v>0</v>
          </cell>
          <cell r="V1528">
            <v>0</v>
          </cell>
          <cell r="W1528" t="str">
            <v>Naheed Akhtar</v>
          </cell>
          <cell r="X1528" t="str">
            <v>Sardar Tanveer Ilyas</v>
          </cell>
          <cell r="Y1528">
            <v>45881</v>
          </cell>
        </row>
        <row r="1529">
          <cell r="K1529" t="str">
            <v>Sardar Afif</v>
          </cell>
          <cell r="L1529">
            <v>6014</v>
          </cell>
          <cell r="M1529" t="str">
            <v>Not Available</v>
          </cell>
          <cell r="N1529" t="str">
            <v>Registry</v>
          </cell>
          <cell r="O1529">
            <v>2</v>
          </cell>
          <cell r="P1529">
            <v>0</v>
          </cell>
          <cell r="Q1529">
            <v>4</v>
          </cell>
          <cell r="R1529">
            <v>660304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 t="str">
            <v>Dilawar Khan</v>
          </cell>
          <cell r="X1529" t="str">
            <v>Sardar Group of Companies Pvt Ltd</v>
          </cell>
          <cell r="Y1529">
            <v>46130</v>
          </cell>
        </row>
        <row r="1530">
          <cell r="K1530" t="str">
            <v>751 (this land is in exchange)</v>
          </cell>
          <cell r="L1530">
            <v>6327</v>
          </cell>
          <cell r="M1530" t="str">
            <v>Intiqal</v>
          </cell>
          <cell r="N1530" t="str">
            <v>Not Available</v>
          </cell>
          <cell r="O1530">
            <v>4</v>
          </cell>
          <cell r="P1530">
            <v>16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 t="str">
            <v>Zubaida Bibi</v>
          </cell>
          <cell r="X1530" t="str">
            <v>Sardar Tanveer Ilyas</v>
          </cell>
        </row>
        <row r="1531">
          <cell r="K1531" t="str">
            <v>Qaiser</v>
          </cell>
          <cell r="M1531" t="str">
            <v>Not Available</v>
          </cell>
          <cell r="N1531" t="str">
            <v>Not Available</v>
          </cell>
          <cell r="O1531">
            <v>1</v>
          </cell>
          <cell r="P1531">
            <v>2</v>
          </cell>
          <cell r="Q1531">
            <v>8</v>
          </cell>
          <cell r="R1531">
            <v>0</v>
          </cell>
          <cell r="S1531">
            <v>0</v>
          </cell>
          <cell r="T1531">
            <v>3</v>
          </cell>
          <cell r="U1531">
            <v>-2</v>
          </cell>
          <cell r="V1531">
            <v>-8</v>
          </cell>
        </row>
        <row r="1532">
          <cell r="L1532">
            <v>10221</v>
          </cell>
          <cell r="M1532" t="str">
            <v>Not Available</v>
          </cell>
          <cell r="N1532" t="str">
            <v>Registry</v>
          </cell>
          <cell r="O1532">
            <v>2</v>
          </cell>
          <cell r="P1532">
            <v>17</v>
          </cell>
          <cell r="Q1532">
            <v>1</v>
          </cell>
          <cell r="R1532">
            <v>884300</v>
          </cell>
          <cell r="S1532">
            <v>0</v>
          </cell>
          <cell r="T1532">
            <v>-1</v>
          </cell>
          <cell r="U1532">
            <v>-15</v>
          </cell>
          <cell r="V1532">
            <v>7</v>
          </cell>
          <cell r="W1532" t="str">
            <v>Karim Jan</v>
          </cell>
          <cell r="X1532" t="str">
            <v>Sardar Tanveer Ilyas</v>
          </cell>
          <cell r="Y1532">
            <v>45856</v>
          </cell>
        </row>
        <row r="1533">
          <cell r="K1533">
            <v>4205</v>
          </cell>
          <cell r="L1533">
            <v>9701</v>
          </cell>
          <cell r="M1533" t="str">
            <v>Intiqal</v>
          </cell>
          <cell r="N1533" t="str">
            <v>Registry</v>
          </cell>
          <cell r="O1533">
            <v>2</v>
          </cell>
          <cell r="P1533">
            <v>3</v>
          </cell>
          <cell r="Q1533">
            <v>0</v>
          </cell>
          <cell r="R1533">
            <v>951997</v>
          </cell>
          <cell r="S1533">
            <v>0</v>
          </cell>
          <cell r="T1533">
            <v>5</v>
          </cell>
          <cell r="U1533">
            <v>-3</v>
          </cell>
          <cell r="V1533">
            <v>0</v>
          </cell>
          <cell r="W1533" t="str">
            <v>Arban Bibi</v>
          </cell>
          <cell r="X1533" t="str">
            <v>Sardar Tanveer Ilyas</v>
          </cell>
          <cell r="Y1533">
            <v>45853</v>
          </cell>
        </row>
        <row r="1534">
          <cell r="K1534">
            <v>4204</v>
          </cell>
          <cell r="L1534">
            <v>9696</v>
          </cell>
          <cell r="M1534" t="str">
            <v>Intiqal</v>
          </cell>
          <cell r="N1534" t="str">
            <v>Registry</v>
          </cell>
          <cell r="O1534">
            <v>1</v>
          </cell>
          <cell r="P1534">
            <v>17</v>
          </cell>
          <cell r="Q1534">
            <v>0</v>
          </cell>
          <cell r="R1534">
            <v>824980</v>
          </cell>
          <cell r="S1534">
            <v>0</v>
          </cell>
          <cell r="T1534">
            <v>1</v>
          </cell>
          <cell r="U1534">
            <v>-14</v>
          </cell>
          <cell r="V1534">
            <v>0</v>
          </cell>
          <cell r="W1534" t="str">
            <v>Ghazanfar Ali</v>
          </cell>
          <cell r="X1534" t="str">
            <v>Sardar Tanveer Ilyas</v>
          </cell>
          <cell r="Y1534">
            <v>45853</v>
          </cell>
        </row>
        <row r="1535">
          <cell r="K1535">
            <v>4215</v>
          </cell>
          <cell r="L1535">
            <v>10950</v>
          </cell>
          <cell r="M1535" t="str">
            <v>Intiqal</v>
          </cell>
          <cell r="N1535" t="str">
            <v>Registry</v>
          </cell>
          <cell r="O1535">
            <v>3</v>
          </cell>
          <cell r="P1535">
            <v>0</v>
          </cell>
          <cell r="Q1535">
            <v>0</v>
          </cell>
          <cell r="R1535">
            <v>1635944</v>
          </cell>
          <cell r="S1535">
            <v>0</v>
          </cell>
          <cell r="T1535">
            <v>-2</v>
          </cell>
          <cell r="U1535">
            <v>17</v>
          </cell>
          <cell r="V1535">
            <v>0</v>
          </cell>
          <cell r="W1535" t="str">
            <v>Liaqat Ali Mughal</v>
          </cell>
          <cell r="X1535" t="str">
            <v>Sardar Tanveer Ilyas</v>
          </cell>
          <cell r="Y1535">
            <v>45874</v>
          </cell>
        </row>
        <row r="1536">
          <cell r="K1536">
            <v>4298</v>
          </cell>
          <cell r="L1536">
            <v>2801</v>
          </cell>
          <cell r="M1536" t="str">
            <v>Intiqal</v>
          </cell>
          <cell r="N1536" t="str">
            <v>Registry</v>
          </cell>
          <cell r="O1536">
            <v>6</v>
          </cell>
          <cell r="P1536">
            <v>5</v>
          </cell>
          <cell r="Q1536">
            <v>5.55</v>
          </cell>
          <cell r="R1536">
            <v>2124743</v>
          </cell>
          <cell r="S1536">
            <v>0</v>
          </cell>
          <cell r="T1536">
            <v>15</v>
          </cell>
          <cell r="U1536">
            <v>-5</v>
          </cell>
          <cell r="V1536">
            <v>1.56</v>
          </cell>
          <cell r="W1536" t="str">
            <v>Asiya Bibi</v>
          </cell>
          <cell r="X1536" t="str">
            <v>Sardar Group of Companies Pvt Ltd</v>
          </cell>
          <cell r="Y1536">
            <v>46072</v>
          </cell>
        </row>
        <row r="1537">
          <cell r="K1537">
            <v>4297</v>
          </cell>
          <cell r="L1537">
            <v>2799</v>
          </cell>
          <cell r="M1537" t="str">
            <v>Intiqal</v>
          </cell>
          <cell r="N1537" t="str">
            <v>Registry</v>
          </cell>
          <cell r="O1537">
            <v>8</v>
          </cell>
          <cell r="P1537">
            <v>14</v>
          </cell>
          <cell r="Q1537">
            <v>0.5</v>
          </cell>
          <cell r="R1537">
            <v>5619448</v>
          </cell>
          <cell r="S1537">
            <v>6500000</v>
          </cell>
          <cell r="T1537">
            <v>-2</v>
          </cell>
          <cell r="U1537">
            <v>-9</v>
          </cell>
          <cell r="V1537">
            <v>5.05</v>
          </cell>
          <cell r="W1537" t="str">
            <v>Tasleem Bibi</v>
          </cell>
          <cell r="X1537" t="str">
            <v>Sardar Group of Companies Pvt Ltd</v>
          </cell>
          <cell r="Y1537">
            <v>46050</v>
          </cell>
        </row>
        <row r="1538">
          <cell r="K1538">
            <v>4245</v>
          </cell>
          <cell r="L1538">
            <v>13517</v>
          </cell>
          <cell r="M1538" t="str">
            <v>Intiqal</v>
          </cell>
          <cell r="N1538" t="str">
            <v>Registry</v>
          </cell>
          <cell r="O1538">
            <v>2</v>
          </cell>
          <cell r="P1538">
            <v>0</v>
          </cell>
          <cell r="Q1538">
            <v>3.34</v>
          </cell>
          <cell r="R1538">
            <v>615841</v>
          </cell>
          <cell r="S1538">
            <v>0</v>
          </cell>
          <cell r="T1538">
            <v>6</v>
          </cell>
          <cell r="U1538">
            <v>14</v>
          </cell>
          <cell r="V1538">
            <v>-2.84</v>
          </cell>
          <cell r="W1538" t="str">
            <v>Raja Amjad Zaman Kayani</v>
          </cell>
          <cell r="X1538" t="str">
            <v>Sardar Tanveer Ilyas</v>
          </cell>
          <cell r="Y1538">
            <v>45923</v>
          </cell>
        </row>
        <row r="1539">
          <cell r="K1539">
            <v>4246</v>
          </cell>
          <cell r="L1539">
            <v>13518</v>
          </cell>
          <cell r="M1539" t="str">
            <v>Intiqal</v>
          </cell>
          <cell r="N1539" t="str">
            <v>Registry</v>
          </cell>
          <cell r="O1539">
            <v>2</v>
          </cell>
          <cell r="P1539">
            <v>0</v>
          </cell>
          <cell r="Q1539">
            <v>3.34</v>
          </cell>
          <cell r="R1539">
            <v>615841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 t="str">
            <v>Raja Tahir Zaman Kayani</v>
          </cell>
          <cell r="X1539" t="str">
            <v>Sardar Tanveer Ilyas</v>
          </cell>
          <cell r="Y1539">
            <v>45923</v>
          </cell>
        </row>
        <row r="1540">
          <cell r="K1540">
            <v>4243</v>
          </cell>
          <cell r="L1540">
            <v>13515</v>
          </cell>
          <cell r="M1540" t="str">
            <v>Intiqal</v>
          </cell>
          <cell r="N1540" t="str">
            <v>Registry</v>
          </cell>
          <cell r="O1540">
            <v>1</v>
          </cell>
          <cell r="P1540">
            <v>0</v>
          </cell>
          <cell r="Q1540">
            <v>1.69</v>
          </cell>
          <cell r="R1540">
            <v>418659</v>
          </cell>
          <cell r="S1540">
            <v>0</v>
          </cell>
          <cell r="T1540">
            <v>1</v>
          </cell>
          <cell r="U1540">
            <v>0</v>
          </cell>
          <cell r="V1540">
            <v>1.66</v>
          </cell>
          <cell r="W1540" t="str">
            <v>Yasmeen Bibi</v>
          </cell>
          <cell r="X1540" t="str">
            <v>Sardar Tanveer Ilyas</v>
          </cell>
          <cell r="Y1540">
            <v>45919</v>
          </cell>
        </row>
        <row r="1541">
          <cell r="K1541">
            <v>4244</v>
          </cell>
          <cell r="L1541">
            <v>13516</v>
          </cell>
          <cell r="M1541" t="str">
            <v>Intiqal</v>
          </cell>
          <cell r="N1541" t="str">
            <v>Registry</v>
          </cell>
          <cell r="O1541">
            <v>1</v>
          </cell>
          <cell r="P1541">
            <v>0</v>
          </cell>
          <cell r="Q1541">
            <v>1.69</v>
          </cell>
          <cell r="R1541">
            <v>418659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 t="str">
            <v>Shabnam Bibi</v>
          </cell>
          <cell r="X1541" t="str">
            <v>Sardar Tanveer Ilyas</v>
          </cell>
          <cell r="Y1541">
            <v>45919</v>
          </cell>
        </row>
        <row r="1542">
          <cell r="K1542" t="str">
            <v>Can't Transfer (treat as adv to Qaiser)</v>
          </cell>
          <cell r="M1542" t="str">
            <v>Not Available</v>
          </cell>
          <cell r="N1542" t="str">
            <v>Not Available</v>
          </cell>
          <cell r="O1542">
            <v>0</v>
          </cell>
          <cell r="P1542">
            <v>3</v>
          </cell>
          <cell r="Q1542">
            <v>6.65</v>
          </cell>
          <cell r="R1542">
            <v>0</v>
          </cell>
          <cell r="S1542">
            <v>0</v>
          </cell>
          <cell r="T1542">
            <v>2</v>
          </cell>
          <cell r="U1542">
            <v>13</v>
          </cell>
          <cell r="V1542">
            <v>-4.3</v>
          </cell>
        </row>
        <row r="1543">
          <cell r="K1543">
            <v>4227</v>
          </cell>
          <cell r="L1543">
            <v>11732</v>
          </cell>
          <cell r="M1543" t="str">
            <v>Intiqal</v>
          </cell>
          <cell r="N1543" t="str">
            <v>Registry</v>
          </cell>
          <cell r="O1543">
            <v>1</v>
          </cell>
          <cell r="P1543">
            <v>16</v>
          </cell>
          <cell r="Q1543">
            <v>2.35</v>
          </cell>
          <cell r="R1543">
            <v>561373</v>
          </cell>
          <cell r="S1543">
            <v>0</v>
          </cell>
          <cell r="T1543">
            <v>-1</v>
          </cell>
          <cell r="U1543">
            <v>-13</v>
          </cell>
          <cell r="V1543">
            <v>4.3</v>
          </cell>
          <cell r="W1543" t="str">
            <v>Qari Abdul Mannan Anwar</v>
          </cell>
          <cell r="X1543" t="str">
            <v>Sardar Tanveer Ilyas</v>
          </cell>
          <cell r="Y1543">
            <v>45881</v>
          </cell>
        </row>
        <row r="1544">
          <cell r="K1544">
            <v>4224</v>
          </cell>
          <cell r="L1544">
            <v>11311</v>
          </cell>
          <cell r="M1544" t="str">
            <v>Intiqal</v>
          </cell>
          <cell r="N1544" t="str">
            <v>Registry</v>
          </cell>
          <cell r="O1544">
            <v>1</v>
          </cell>
          <cell r="P1544">
            <v>0</v>
          </cell>
          <cell r="Q1544">
            <v>0</v>
          </cell>
          <cell r="R1544">
            <v>507120</v>
          </cell>
          <cell r="S1544">
            <v>0</v>
          </cell>
          <cell r="T1544">
            <v>0</v>
          </cell>
          <cell r="U1544">
            <v>16</v>
          </cell>
          <cell r="V1544">
            <v>2.35</v>
          </cell>
          <cell r="W1544" t="str">
            <v>Muhammad Iqbal</v>
          </cell>
          <cell r="X1544" t="str">
            <v>Sardar Tanveer Ilyas</v>
          </cell>
          <cell r="Y1544">
            <v>45884</v>
          </cell>
        </row>
        <row r="1545">
          <cell r="K1545">
            <v>6064</v>
          </cell>
          <cell r="L1545">
            <v>2203</v>
          </cell>
          <cell r="M1545" t="str">
            <v>Intiqal</v>
          </cell>
          <cell r="N1545" t="str">
            <v>Registry</v>
          </cell>
          <cell r="O1545">
            <v>1</v>
          </cell>
          <cell r="P1545">
            <v>2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 t="str">
            <v>Sajid Mehmood</v>
          </cell>
          <cell r="X1545" t="str">
            <v>Sardar Tanveer Ilyas</v>
          </cell>
          <cell r="Y1545">
            <v>45763</v>
          </cell>
        </row>
        <row r="1546">
          <cell r="K1546" t="str">
            <v>Haris - Registry Done</v>
          </cell>
          <cell r="M1546" t="str">
            <v>Not Available</v>
          </cell>
          <cell r="N1546" t="str">
            <v>Not Available</v>
          </cell>
          <cell r="O1546">
            <v>1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9</v>
          </cell>
          <cell r="U1546">
            <v>1</v>
          </cell>
          <cell r="V1546">
            <v>8</v>
          </cell>
          <cell r="W1546" t="str">
            <v>Muhammad Nazak</v>
          </cell>
          <cell r="X1546" t="str">
            <v>Sardar Group of Companies Pvt Ltd</v>
          </cell>
        </row>
        <row r="1547">
          <cell r="K1547" t="str">
            <v>Haris - Registry Done</v>
          </cell>
          <cell r="M1547" t="str">
            <v>Not Available</v>
          </cell>
          <cell r="N1547" t="str">
            <v>Not Available</v>
          </cell>
          <cell r="O1547">
            <v>1</v>
          </cell>
          <cell r="P1547">
            <v>0</v>
          </cell>
          <cell r="Q1547">
            <v>0</v>
          </cell>
          <cell r="R1547">
            <v>25000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 t="str">
            <v>Muhammad Muzamil kiyani</v>
          </cell>
          <cell r="X1547" t="str">
            <v>Sardar Group of Companies Pvt Ltd</v>
          </cell>
        </row>
        <row r="1548">
          <cell r="K1548" t="str">
            <v>Haris - Registry payment pending</v>
          </cell>
          <cell r="M1548" t="str">
            <v>Not Available</v>
          </cell>
          <cell r="N1548" t="str">
            <v>Not Available</v>
          </cell>
          <cell r="O1548">
            <v>1</v>
          </cell>
          <cell r="P1548">
            <v>9</v>
          </cell>
          <cell r="Q1548">
            <v>7</v>
          </cell>
          <cell r="R1548">
            <v>0</v>
          </cell>
          <cell r="S1548">
            <v>0</v>
          </cell>
          <cell r="T1548">
            <v>0</v>
          </cell>
          <cell r="U1548">
            <v>-9</v>
          </cell>
          <cell r="V1548">
            <v>-7</v>
          </cell>
        </row>
        <row r="1549">
          <cell r="K1549" t="str">
            <v>Haris - Registry Done</v>
          </cell>
          <cell r="M1549" t="str">
            <v>Not Available</v>
          </cell>
          <cell r="N1549" t="str">
            <v>Not Available</v>
          </cell>
          <cell r="O1549">
            <v>3</v>
          </cell>
          <cell r="P1549">
            <v>0</v>
          </cell>
          <cell r="Q1549">
            <v>0</v>
          </cell>
          <cell r="R1549">
            <v>1893393</v>
          </cell>
          <cell r="S1549">
            <v>0</v>
          </cell>
          <cell r="T1549">
            <v>-2</v>
          </cell>
          <cell r="U1549">
            <v>9</v>
          </cell>
          <cell r="V1549">
            <v>7</v>
          </cell>
        </row>
        <row r="1550">
          <cell r="K1550" t="str">
            <v>Haris - Registry payment pending</v>
          </cell>
          <cell r="M1550" t="str">
            <v>Not Available</v>
          </cell>
          <cell r="N1550" t="str">
            <v>Not Available</v>
          </cell>
          <cell r="O1550">
            <v>2</v>
          </cell>
          <cell r="P1550">
            <v>12</v>
          </cell>
          <cell r="Q1550">
            <v>1</v>
          </cell>
          <cell r="R1550">
            <v>1879305</v>
          </cell>
          <cell r="S1550">
            <v>0</v>
          </cell>
          <cell r="T1550">
            <v>1</v>
          </cell>
          <cell r="U1550">
            <v>-12</v>
          </cell>
          <cell r="V1550">
            <v>-1</v>
          </cell>
        </row>
        <row r="1551">
          <cell r="L1551">
            <v>1544</v>
          </cell>
          <cell r="M1551" t="str">
            <v>Intiqal</v>
          </cell>
          <cell r="N1551" t="str">
            <v>Registry</v>
          </cell>
          <cell r="O1551">
            <v>1</v>
          </cell>
          <cell r="P1551">
            <v>0</v>
          </cell>
          <cell r="Q1551">
            <v>0</v>
          </cell>
          <cell r="R1551">
            <v>500</v>
          </cell>
          <cell r="S1551">
            <v>0</v>
          </cell>
          <cell r="T1551">
            <v>1</v>
          </cell>
          <cell r="U1551">
            <v>12</v>
          </cell>
          <cell r="V1551">
            <v>1</v>
          </cell>
          <cell r="W1551" t="str">
            <v>Mst Mira Jan</v>
          </cell>
          <cell r="X1551" t="str">
            <v>Sardar Tanveer Ilyas</v>
          </cell>
          <cell r="Y1551">
            <v>45716</v>
          </cell>
        </row>
        <row r="1552">
          <cell r="K1552">
            <v>4299</v>
          </cell>
          <cell r="L1552">
            <v>3005</v>
          </cell>
          <cell r="M1552" t="str">
            <v>Intiqal</v>
          </cell>
          <cell r="N1552" t="str">
            <v>Registry</v>
          </cell>
          <cell r="O1552">
            <v>0</v>
          </cell>
          <cell r="P1552">
            <v>19</v>
          </cell>
          <cell r="Q1552">
            <v>6.98</v>
          </cell>
          <cell r="R1552">
            <v>0</v>
          </cell>
          <cell r="S1552">
            <v>0</v>
          </cell>
          <cell r="T1552">
            <v>8</v>
          </cell>
          <cell r="U1552">
            <v>-15</v>
          </cell>
          <cell r="V1552">
            <v>-3.25</v>
          </cell>
          <cell r="W1552" t="str">
            <v>Raja Faisal Imran</v>
          </cell>
          <cell r="X1552" t="str">
            <v>Sardar Group of Companies Pvt Ltd</v>
          </cell>
          <cell r="Y1552">
            <v>46074</v>
          </cell>
        </row>
        <row r="1553">
          <cell r="K1553">
            <v>4334</v>
          </cell>
          <cell r="L1553">
            <v>9929</v>
          </cell>
          <cell r="M1553" t="str">
            <v>Intiqal</v>
          </cell>
          <cell r="N1553" t="str">
            <v>Registry</v>
          </cell>
          <cell r="O1553">
            <v>4</v>
          </cell>
          <cell r="P1553">
            <v>7</v>
          </cell>
          <cell r="Q1553">
            <v>8.3000000000000007</v>
          </cell>
          <cell r="R1553">
            <v>1811870</v>
          </cell>
          <cell r="S1553">
            <v>0</v>
          </cell>
          <cell r="T1553">
            <v>-4</v>
          </cell>
          <cell r="U1553">
            <v>12</v>
          </cell>
          <cell r="V1553">
            <v>-1.32</v>
          </cell>
          <cell r="W1553" t="str">
            <v>Parveen Bibi</v>
          </cell>
          <cell r="X1553" t="str">
            <v>Sardar Group of Companies Pvt Ltd</v>
          </cell>
          <cell r="Y1553">
            <v>46188</v>
          </cell>
        </row>
        <row r="1554">
          <cell r="K1554">
            <v>4305</v>
          </cell>
          <cell r="L1554">
            <v>4010</v>
          </cell>
          <cell r="M1554" t="str">
            <v>Intiqal</v>
          </cell>
          <cell r="N1554" t="str">
            <v>Registry</v>
          </cell>
          <cell r="O1554">
            <v>2</v>
          </cell>
          <cell r="P1554">
            <v>16</v>
          </cell>
          <cell r="Q1554">
            <v>6.45</v>
          </cell>
          <cell r="R1554">
            <v>1189228</v>
          </cell>
          <cell r="S1554">
            <v>0</v>
          </cell>
          <cell r="T1554">
            <v>2</v>
          </cell>
          <cell r="U1554">
            <v>-9</v>
          </cell>
          <cell r="V1554">
            <v>1.85</v>
          </cell>
          <cell r="W1554" t="str">
            <v>Raja Faisal Imran</v>
          </cell>
          <cell r="X1554" t="str">
            <v>Sardar Group of Companies Pvt Ltd</v>
          </cell>
          <cell r="Y1554">
            <v>46087</v>
          </cell>
        </row>
        <row r="1555">
          <cell r="K1555" t="str">
            <v>(Qazi Riaz ) Qaiser Registry Done</v>
          </cell>
          <cell r="M1555" t="str">
            <v>Not Available</v>
          </cell>
          <cell r="N1555" t="str">
            <v>Not Available</v>
          </cell>
          <cell r="O1555">
            <v>7</v>
          </cell>
          <cell r="P1555">
            <v>16</v>
          </cell>
          <cell r="Q1555">
            <v>7.97</v>
          </cell>
          <cell r="R1555">
            <v>832994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 t="str">
            <v>Ameer Gul Shah</v>
          </cell>
          <cell r="X1555" t="str">
            <v>Sardar Group of Companies Pvt Ltd</v>
          </cell>
        </row>
        <row r="1556">
          <cell r="K1556" t="str">
            <v>Sardar Waseem</v>
          </cell>
          <cell r="M1556" t="str">
            <v>Not Available</v>
          </cell>
          <cell r="N1556" t="str">
            <v>Not Available</v>
          </cell>
          <cell r="O1556">
            <v>4</v>
          </cell>
          <cell r="P1556">
            <v>0</v>
          </cell>
          <cell r="Q1556">
            <v>0</v>
          </cell>
          <cell r="R1556">
            <v>619416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L1557">
            <v>16548</v>
          </cell>
          <cell r="M1557" t="str">
            <v>Not Available</v>
          </cell>
          <cell r="N1557" t="str">
            <v>Registry</v>
          </cell>
          <cell r="O1557">
            <v>1</v>
          </cell>
          <cell r="P1557">
            <v>1</v>
          </cell>
          <cell r="Q1557">
            <v>5.99</v>
          </cell>
          <cell r="R1557">
            <v>343450</v>
          </cell>
          <cell r="S1557">
            <v>1000000</v>
          </cell>
          <cell r="T1557">
            <v>17</v>
          </cell>
          <cell r="U1557">
            <v>9</v>
          </cell>
          <cell r="V1557">
            <v>0</v>
          </cell>
          <cell r="W1557" t="str">
            <v>Muhammad Shabbir Awan</v>
          </cell>
          <cell r="X1557" t="str">
            <v>Sardar Tanveer Ilyas</v>
          </cell>
          <cell r="Y1557">
            <v>45977</v>
          </cell>
        </row>
        <row r="1558">
          <cell r="L1558">
            <v>16547</v>
          </cell>
          <cell r="M1558" t="str">
            <v>Not Available</v>
          </cell>
          <cell r="N1558" t="str">
            <v>Registry</v>
          </cell>
          <cell r="O1558">
            <v>17</v>
          </cell>
          <cell r="P1558">
            <v>9</v>
          </cell>
          <cell r="Q1558">
            <v>0</v>
          </cell>
          <cell r="R1558">
            <v>3159237</v>
          </cell>
          <cell r="S1558">
            <v>1900000</v>
          </cell>
          <cell r="T1558">
            <v>-16</v>
          </cell>
          <cell r="U1558">
            <v>-8</v>
          </cell>
          <cell r="V1558">
            <v>5.99</v>
          </cell>
          <cell r="W1558" t="str">
            <v>Muhammad Shabbir Awan</v>
          </cell>
          <cell r="X1558" t="str">
            <v>Sardar Tanveer Ilyas</v>
          </cell>
          <cell r="Y1558">
            <v>45975</v>
          </cell>
        </row>
        <row r="1559">
          <cell r="K1559">
            <v>1174</v>
          </cell>
          <cell r="M1559" t="str">
            <v>Intiqal</v>
          </cell>
          <cell r="N1559" t="str">
            <v>Not Available</v>
          </cell>
          <cell r="O1559">
            <v>1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32</v>
          </cell>
          <cell r="U1559">
            <v>4</v>
          </cell>
          <cell r="V1559">
            <v>5</v>
          </cell>
          <cell r="W1559" t="str">
            <v>Zameer Khan</v>
          </cell>
          <cell r="X1559" t="str">
            <v>Sardar Tanveer Ilyas</v>
          </cell>
        </row>
        <row r="1560">
          <cell r="K1560">
            <v>1169</v>
          </cell>
          <cell r="M1560" t="str">
            <v>Intiqal</v>
          </cell>
          <cell r="N1560" t="str">
            <v>Not Available</v>
          </cell>
          <cell r="O1560">
            <v>0</v>
          </cell>
          <cell r="P1560">
            <v>2</v>
          </cell>
          <cell r="Q1560">
            <v>8</v>
          </cell>
          <cell r="R1560">
            <v>0</v>
          </cell>
          <cell r="S1560">
            <v>0</v>
          </cell>
          <cell r="T1560">
            <v>1</v>
          </cell>
          <cell r="U1560">
            <v>-2</v>
          </cell>
          <cell r="V1560">
            <v>-8</v>
          </cell>
          <cell r="W1560" t="str">
            <v>Ansar Begham</v>
          </cell>
          <cell r="X1560" t="str">
            <v>Sardar Tanveer Ilyas</v>
          </cell>
        </row>
        <row r="1561">
          <cell r="K1561">
            <v>1167</v>
          </cell>
          <cell r="M1561" t="str">
            <v>Intiqal</v>
          </cell>
          <cell r="N1561" t="str">
            <v>Not Available</v>
          </cell>
          <cell r="O1561">
            <v>4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-4</v>
          </cell>
          <cell r="U1561">
            <v>2</v>
          </cell>
          <cell r="V1561">
            <v>8</v>
          </cell>
          <cell r="W1561" t="str">
            <v>Muhammad Yaseen</v>
          </cell>
          <cell r="X1561" t="str">
            <v>Sardar Tanveer Ilyas</v>
          </cell>
        </row>
        <row r="1562">
          <cell r="K1562">
            <v>1155</v>
          </cell>
          <cell r="M1562" t="str">
            <v>Intiqal</v>
          </cell>
          <cell r="N1562" t="str">
            <v>Not Available</v>
          </cell>
          <cell r="O1562">
            <v>0</v>
          </cell>
          <cell r="P1562">
            <v>3</v>
          </cell>
          <cell r="Q1562">
            <v>0</v>
          </cell>
          <cell r="R1562">
            <v>0</v>
          </cell>
          <cell r="S1562">
            <v>0</v>
          </cell>
          <cell r="T1562">
            <v>4</v>
          </cell>
          <cell r="U1562">
            <v>-3</v>
          </cell>
          <cell r="V1562">
            <v>0</v>
          </cell>
          <cell r="W1562" t="str">
            <v>Ansar Begham</v>
          </cell>
          <cell r="X1562" t="str">
            <v>Sardar Tanveer Ilyas</v>
          </cell>
        </row>
        <row r="1563">
          <cell r="K1563">
            <v>1154</v>
          </cell>
          <cell r="M1563" t="str">
            <v>Intiqal</v>
          </cell>
          <cell r="N1563" t="str">
            <v>Not Available</v>
          </cell>
          <cell r="O1563">
            <v>0</v>
          </cell>
          <cell r="P1563">
            <v>3</v>
          </cell>
          <cell r="Q1563">
            <v>8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-8</v>
          </cell>
          <cell r="W1563" t="str">
            <v>Zohra Begum</v>
          </cell>
          <cell r="X1563" t="str">
            <v>Sardar Tanveer Ilyas</v>
          </cell>
        </row>
        <row r="1564">
          <cell r="K1564">
            <v>1153</v>
          </cell>
          <cell r="M1564" t="str">
            <v>Intiqal</v>
          </cell>
          <cell r="N1564" t="str">
            <v>Not Available</v>
          </cell>
          <cell r="O1564">
            <v>1</v>
          </cell>
          <cell r="P1564">
            <v>0</v>
          </cell>
          <cell r="Q1564">
            <v>4</v>
          </cell>
          <cell r="R1564">
            <v>0</v>
          </cell>
          <cell r="S1564">
            <v>0</v>
          </cell>
          <cell r="T1564">
            <v>-1</v>
          </cell>
          <cell r="U1564">
            <v>3</v>
          </cell>
          <cell r="V1564">
            <v>4</v>
          </cell>
          <cell r="W1564" t="str">
            <v>Kosar</v>
          </cell>
          <cell r="X1564" t="str">
            <v>Sardar Tanveer Ilyas</v>
          </cell>
        </row>
        <row r="1565">
          <cell r="K1565">
            <v>1120</v>
          </cell>
          <cell r="M1565" t="str">
            <v>Intiqal</v>
          </cell>
          <cell r="N1565" t="str">
            <v>Not Available</v>
          </cell>
          <cell r="O1565">
            <v>2</v>
          </cell>
          <cell r="P1565">
            <v>11</v>
          </cell>
          <cell r="Q1565">
            <v>0</v>
          </cell>
          <cell r="R1565">
            <v>0</v>
          </cell>
          <cell r="S1565">
            <v>0</v>
          </cell>
          <cell r="T1565">
            <v>-1</v>
          </cell>
          <cell r="U1565">
            <v>-11</v>
          </cell>
          <cell r="V1565">
            <v>4</v>
          </cell>
          <cell r="W1565" t="str">
            <v>Zahid Mehmood</v>
          </cell>
          <cell r="X1565" t="str">
            <v>Sardar Tanveer Ilyas</v>
          </cell>
        </row>
        <row r="1566">
          <cell r="K1566">
            <v>973</v>
          </cell>
          <cell r="M1566" t="str">
            <v>Intiqal</v>
          </cell>
          <cell r="N1566" t="str">
            <v>Not Available</v>
          </cell>
          <cell r="O1566">
            <v>0</v>
          </cell>
          <cell r="P1566">
            <v>10</v>
          </cell>
          <cell r="Q1566">
            <v>0</v>
          </cell>
          <cell r="R1566">
            <v>0</v>
          </cell>
          <cell r="S1566">
            <v>0</v>
          </cell>
          <cell r="T1566">
            <v>2</v>
          </cell>
          <cell r="U1566">
            <v>1</v>
          </cell>
          <cell r="V1566">
            <v>0</v>
          </cell>
          <cell r="W1566" t="str">
            <v>Waliat Khan</v>
          </cell>
          <cell r="X1566" t="str">
            <v>Sardar Tanveer Ilyas</v>
          </cell>
        </row>
        <row r="1567">
          <cell r="K1567">
            <v>909</v>
          </cell>
          <cell r="M1567" t="str">
            <v>Intiqal</v>
          </cell>
          <cell r="N1567" t="str">
            <v>Not Available</v>
          </cell>
          <cell r="O1567">
            <v>0</v>
          </cell>
          <cell r="P1567">
            <v>11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-1</v>
          </cell>
          <cell r="V1567">
            <v>0</v>
          </cell>
          <cell r="W1567" t="str">
            <v>Muhammad Ilyas</v>
          </cell>
          <cell r="X1567" t="str">
            <v>Sardar Tanveer Ilyas</v>
          </cell>
        </row>
        <row r="1568">
          <cell r="K1568">
            <v>305</v>
          </cell>
          <cell r="M1568" t="str">
            <v>Intiqal</v>
          </cell>
          <cell r="N1568" t="str">
            <v>Not Available</v>
          </cell>
          <cell r="O1568">
            <v>8</v>
          </cell>
          <cell r="P1568">
            <v>3</v>
          </cell>
          <cell r="Q1568">
            <v>5</v>
          </cell>
          <cell r="R1568">
            <v>0</v>
          </cell>
          <cell r="S1568">
            <v>0</v>
          </cell>
          <cell r="T1568">
            <v>-8</v>
          </cell>
          <cell r="U1568">
            <v>8</v>
          </cell>
          <cell r="V1568">
            <v>-5</v>
          </cell>
          <cell r="W1568" t="str">
            <v>Mehirban</v>
          </cell>
          <cell r="X1568" t="str">
            <v>Sardar Tanveer Ilyas</v>
          </cell>
        </row>
        <row r="1569">
          <cell r="K1569">
            <v>301</v>
          </cell>
          <cell r="M1569" t="str">
            <v>Intiqal</v>
          </cell>
          <cell r="N1569" t="str">
            <v>Not Available</v>
          </cell>
          <cell r="O1569">
            <v>9</v>
          </cell>
          <cell r="P1569">
            <v>12</v>
          </cell>
          <cell r="Q1569">
            <v>8</v>
          </cell>
          <cell r="R1569">
            <v>0</v>
          </cell>
          <cell r="S1569">
            <v>0</v>
          </cell>
          <cell r="T1569">
            <v>-1</v>
          </cell>
          <cell r="U1569">
            <v>-9</v>
          </cell>
          <cell r="V1569">
            <v>-3</v>
          </cell>
          <cell r="W1569" t="str">
            <v>Ghulam Shabbir</v>
          </cell>
          <cell r="X1569" t="str">
            <v>Sardar Tanveer Ilyas</v>
          </cell>
        </row>
        <row r="1570">
          <cell r="K1570">
            <v>298</v>
          </cell>
          <cell r="M1570" t="str">
            <v>Intiqal</v>
          </cell>
          <cell r="N1570" t="str">
            <v>Not Available</v>
          </cell>
          <cell r="O1570">
            <v>0</v>
          </cell>
          <cell r="P1570">
            <v>13</v>
          </cell>
          <cell r="Q1570">
            <v>6</v>
          </cell>
          <cell r="R1570">
            <v>0</v>
          </cell>
          <cell r="S1570">
            <v>0</v>
          </cell>
          <cell r="T1570">
            <v>9</v>
          </cell>
          <cell r="U1570">
            <v>-1</v>
          </cell>
          <cell r="V1570">
            <v>2</v>
          </cell>
          <cell r="W1570" t="str">
            <v>Aqib Khan</v>
          </cell>
          <cell r="X1570" t="str">
            <v>Sardar Tanveer Ilyas</v>
          </cell>
        </row>
        <row r="1571">
          <cell r="K1571">
            <v>289</v>
          </cell>
          <cell r="M1571" t="str">
            <v>Intiqal</v>
          </cell>
          <cell r="N1571" t="str">
            <v>Not Available</v>
          </cell>
          <cell r="O1571">
            <v>1</v>
          </cell>
          <cell r="P1571">
            <v>8</v>
          </cell>
          <cell r="Q1571">
            <v>3</v>
          </cell>
          <cell r="R1571">
            <v>0</v>
          </cell>
          <cell r="S1571">
            <v>0</v>
          </cell>
          <cell r="T1571">
            <v>-1</v>
          </cell>
          <cell r="U1571">
            <v>5</v>
          </cell>
          <cell r="V1571">
            <v>3</v>
          </cell>
          <cell r="W1571" t="str">
            <v>Kalsoom Baigum</v>
          </cell>
          <cell r="X1571" t="str">
            <v>Sardar Tanveer Ilyas</v>
          </cell>
        </row>
        <row r="1572">
          <cell r="K1572">
            <v>243</v>
          </cell>
          <cell r="M1572" t="str">
            <v>Intiqal</v>
          </cell>
          <cell r="N1572" t="str">
            <v>Not Available</v>
          </cell>
          <cell r="O1572">
            <v>0</v>
          </cell>
          <cell r="P1572">
            <v>10</v>
          </cell>
          <cell r="Q1572">
            <v>0</v>
          </cell>
          <cell r="R1572">
            <v>0</v>
          </cell>
          <cell r="S1572">
            <v>0</v>
          </cell>
          <cell r="T1572">
            <v>1</v>
          </cell>
          <cell r="U1572">
            <v>-2</v>
          </cell>
          <cell r="V1572">
            <v>3</v>
          </cell>
          <cell r="W1572" t="str">
            <v>Zameer Haider</v>
          </cell>
          <cell r="X1572" t="str">
            <v>Sardar Tanveer Ilyas</v>
          </cell>
        </row>
        <row r="1573">
          <cell r="K1573">
            <v>192</v>
          </cell>
          <cell r="M1573" t="str">
            <v>Intiqal</v>
          </cell>
          <cell r="N1573" t="str">
            <v>Not Available</v>
          </cell>
          <cell r="O1573">
            <v>1</v>
          </cell>
          <cell r="P1573">
            <v>19</v>
          </cell>
          <cell r="Q1573">
            <v>0</v>
          </cell>
          <cell r="R1573">
            <v>0</v>
          </cell>
          <cell r="S1573">
            <v>0</v>
          </cell>
          <cell r="T1573">
            <v>-1</v>
          </cell>
          <cell r="U1573">
            <v>-9</v>
          </cell>
          <cell r="V1573">
            <v>0</v>
          </cell>
          <cell r="W1573" t="str">
            <v>Ghulam Sakeena</v>
          </cell>
          <cell r="X1573" t="str">
            <v>Sardar Tanveer Ilyas</v>
          </cell>
        </row>
        <row r="1574">
          <cell r="K1574">
            <v>5</v>
          </cell>
          <cell r="M1574" t="str">
            <v>Intiqal</v>
          </cell>
          <cell r="N1574" t="str">
            <v>Not Available</v>
          </cell>
          <cell r="O1574">
            <v>0</v>
          </cell>
          <cell r="P1574">
            <v>14</v>
          </cell>
          <cell r="Q1574">
            <v>3</v>
          </cell>
          <cell r="R1574">
            <v>0</v>
          </cell>
          <cell r="S1574">
            <v>0</v>
          </cell>
          <cell r="T1574">
            <v>1</v>
          </cell>
          <cell r="U1574">
            <v>5</v>
          </cell>
          <cell r="V1574">
            <v>-3</v>
          </cell>
          <cell r="W1574" t="str">
            <v>Shameem Akhtar</v>
          </cell>
          <cell r="X1574" t="str">
            <v>Sardar Tanveer Ilyas</v>
          </cell>
        </row>
        <row r="1575">
          <cell r="K1575">
            <v>12495</v>
          </cell>
          <cell r="M1575" t="str">
            <v>Intiqal</v>
          </cell>
          <cell r="N1575" t="str">
            <v>Not Available</v>
          </cell>
          <cell r="O1575">
            <v>0</v>
          </cell>
          <cell r="P1575">
            <v>3</v>
          </cell>
          <cell r="Q1575">
            <v>0</v>
          </cell>
          <cell r="R1575">
            <v>0</v>
          </cell>
          <cell r="S1575">
            <v>0</v>
          </cell>
          <cell r="T1575">
            <v>32</v>
          </cell>
          <cell r="U1575">
            <v>11.5</v>
          </cell>
          <cell r="V1575">
            <v>3.72</v>
          </cell>
          <cell r="W1575" t="str">
            <v>Muhammad Yousaf</v>
          </cell>
          <cell r="X1575" t="str">
            <v>Sardar Tanveer Ilyas</v>
          </cell>
        </row>
        <row r="1576">
          <cell r="K1576">
            <v>12494</v>
          </cell>
          <cell r="M1576" t="str">
            <v>Intiqal</v>
          </cell>
          <cell r="N1576" t="str">
            <v>Not Available</v>
          </cell>
          <cell r="O1576">
            <v>0</v>
          </cell>
          <cell r="P1576">
            <v>0</v>
          </cell>
          <cell r="Q1576">
            <v>7</v>
          </cell>
          <cell r="R1576">
            <v>0</v>
          </cell>
          <cell r="S1576">
            <v>0</v>
          </cell>
          <cell r="T1576">
            <v>0</v>
          </cell>
          <cell r="U1576">
            <v>3</v>
          </cell>
          <cell r="V1576">
            <v>-7</v>
          </cell>
          <cell r="W1576" t="str">
            <v>Muhammad Yousaf</v>
          </cell>
          <cell r="X1576" t="str">
            <v>Sardar Tanveer Ilyas</v>
          </cell>
        </row>
        <row r="1577">
          <cell r="K1577">
            <v>12482</v>
          </cell>
          <cell r="M1577" t="str">
            <v>Intiqal</v>
          </cell>
          <cell r="N1577" t="str">
            <v>Not Available</v>
          </cell>
          <cell r="O1577">
            <v>0</v>
          </cell>
          <cell r="P1577">
            <v>3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-3</v>
          </cell>
          <cell r="V1577">
            <v>7</v>
          </cell>
          <cell r="W1577" t="str">
            <v>Gul Hussain</v>
          </cell>
          <cell r="X1577" t="str">
            <v>Sardar Tanveer Ilyas</v>
          </cell>
        </row>
        <row r="1578">
          <cell r="K1578">
            <v>12452</v>
          </cell>
          <cell r="M1578" t="str">
            <v>Intiqal</v>
          </cell>
          <cell r="N1578" t="str">
            <v>Not Available</v>
          </cell>
          <cell r="O1578">
            <v>0</v>
          </cell>
          <cell r="P1578">
            <v>5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-2</v>
          </cell>
          <cell r="V1578">
            <v>0</v>
          </cell>
          <cell r="W1578" t="str">
            <v>Mst SukhroJan</v>
          </cell>
          <cell r="X1578" t="str">
            <v>Sardar Tanveer Ilyas</v>
          </cell>
        </row>
        <row r="1579">
          <cell r="K1579">
            <v>12424</v>
          </cell>
          <cell r="M1579" t="str">
            <v>Intiqal</v>
          </cell>
          <cell r="N1579" t="str">
            <v>Not Available</v>
          </cell>
          <cell r="O1579">
            <v>0</v>
          </cell>
          <cell r="P1579">
            <v>5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 t="str">
            <v>Muhammad Hanif</v>
          </cell>
          <cell r="X1579" t="str">
            <v>Sardar Tanveer Ilyas</v>
          </cell>
        </row>
        <row r="1580">
          <cell r="K1580">
            <v>12423</v>
          </cell>
          <cell r="M1580" t="str">
            <v>Intiqal</v>
          </cell>
          <cell r="N1580" t="str">
            <v>Not Available</v>
          </cell>
          <cell r="O1580">
            <v>0</v>
          </cell>
          <cell r="P1580">
            <v>6.5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-1.5</v>
          </cell>
          <cell r="V1580">
            <v>0</v>
          </cell>
          <cell r="W1580" t="str">
            <v>Syed Akbar Ali Shah</v>
          </cell>
          <cell r="X1580" t="str">
            <v>Sardar Tanveer Ilyas</v>
          </cell>
        </row>
        <row r="1581">
          <cell r="K1581">
            <v>12318</v>
          </cell>
          <cell r="M1581" t="str">
            <v>Intiqal</v>
          </cell>
          <cell r="N1581" t="str">
            <v>Not Available</v>
          </cell>
          <cell r="O1581">
            <v>0</v>
          </cell>
          <cell r="P1581">
            <v>12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-5.5</v>
          </cell>
          <cell r="V1581">
            <v>0</v>
          </cell>
          <cell r="W1581" t="str">
            <v>Akbar</v>
          </cell>
          <cell r="X1581" t="str">
            <v>Sardar Tanveer Ilyas</v>
          </cell>
        </row>
        <row r="1582">
          <cell r="K1582">
            <v>12314</v>
          </cell>
          <cell r="M1582" t="str">
            <v>Intiqal</v>
          </cell>
          <cell r="N1582" t="str">
            <v>Not Available</v>
          </cell>
          <cell r="O1582">
            <v>0</v>
          </cell>
          <cell r="P1582">
            <v>8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4</v>
          </cell>
          <cell r="V1582">
            <v>0</v>
          </cell>
          <cell r="W1582" t="str">
            <v>Saleem Bibi</v>
          </cell>
          <cell r="X1582" t="str">
            <v>Sardar Tanveer Ilyas</v>
          </cell>
        </row>
        <row r="1583">
          <cell r="K1583">
            <v>12251</v>
          </cell>
          <cell r="M1583" t="str">
            <v>Intiqal</v>
          </cell>
          <cell r="N1583" t="str">
            <v>Not Available</v>
          </cell>
          <cell r="O1583">
            <v>0</v>
          </cell>
          <cell r="P1583">
            <v>3</v>
          </cell>
          <cell r="Q1583">
            <v>7</v>
          </cell>
          <cell r="R1583">
            <v>0</v>
          </cell>
          <cell r="S1583">
            <v>0</v>
          </cell>
          <cell r="T1583">
            <v>0</v>
          </cell>
          <cell r="U1583">
            <v>5</v>
          </cell>
          <cell r="V1583">
            <v>-7</v>
          </cell>
          <cell r="W1583" t="str">
            <v>Abdullah</v>
          </cell>
          <cell r="X1583" t="str">
            <v>Sardar Tanveer Ilyas</v>
          </cell>
        </row>
        <row r="1584">
          <cell r="K1584">
            <v>12245</v>
          </cell>
          <cell r="M1584" t="str">
            <v>Intiqal</v>
          </cell>
          <cell r="N1584" t="str">
            <v>Not Available</v>
          </cell>
          <cell r="O1584">
            <v>0</v>
          </cell>
          <cell r="P1584">
            <v>4</v>
          </cell>
          <cell r="Q1584">
            <v>1</v>
          </cell>
          <cell r="R1584">
            <v>0</v>
          </cell>
          <cell r="S1584">
            <v>0</v>
          </cell>
          <cell r="T1584">
            <v>0</v>
          </cell>
          <cell r="U1584">
            <v>-1</v>
          </cell>
          <cell r="V1584">
            <v>6</v>
          </cell>
          <cell r="W1584" t="str">
            <v>Muhammad Ahmed</v>
          </cell>
          <cell r="X1584" t="str">
            <v>Sardar Tanveer Ilyas</v>
          </cell>
        </row>
        <row r="1585">
          <cell r="K1585">
            <v>12042</v>
          </cell>
          <cell r="M1585" t="str">
            <v>Intiqal</v>
          </cell>
          <cell r="N1585" t="str">
            <v>Not Available</v>
          </cell>
          <cell r="O1585">
            <v>0</v>
          </cell>
          <cell r="P1585">
            <v>10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-6</v>
          </cell>
          <cell r="V1585">
            <v>1</v>
          </cell>
          <cell r="W1585" t="str">
            <v>Muhammad Tariq</v>
          </cell>
          <cell r="X1585" t="str">
            <v>Sardar Tanveer Ilyas</v>
          </cell>
        </row>
        <row r="1586">
          <cell r="K1586">
            <v>11496</v>
          </cell>
          <cell r="M1586" t="str">
            <v>Intiqal</v>
          </cell>
          <cell r="N1586" t="str">
            <v>Not Available</v>
          </cell>
          <cell r="O1586">
            <v>1</v>
          </cell>
          <cell r="P1586">
            <v>10</v>
          </cell>
          <cell r="Q1586">
            <v>0</v>
          </cell>
          <cell r="R1586">
            <v>0</v>
          </cell>
          <cell r="S1586">
            <v>0</v>
          </cell>
          <cell r="T1586">
            <v>-1</v>
          </cell>
          <cell r="U1586">
            <v>0</v>
          </cell>
          <cell r="V1586">
            <v>0</v>
          </cell>
          <cell r="W1586" t="str">
            <v>Mehboob Akhtar</v>
          </cell>
          <cell r="X1586" t="str">
            <v>Sardar Tanveer Ilyas</v>
          </cell>
        </row>
        <row r="1587">
          <cell r="K1587">
            <v>11489</v>
          </cell>
          <cell r="M1587" t="str">
            <v>Intiqal</v>
          </cell>
          <cell r="N1587" t="str">
            <v>Not Available</v>
          </cell>
          <cell r="O1587">
            <v>0</v>
          </cell>
          <cell r="P1587">
            <v>2</v>
          </cell>
          <cell r="Q1587">
            <v>0</v>
          </cell>
          <cell r="R1587">
            <v>0</v>
          </cell>
          <cell r="S1587">
            <v>0</v>
          </cell>
          <cell r="T1587">
            <v>1</v>
          </cell>
          <cell r="U1587">
            <v>8</v>
          </cell>
          <cell r="V1587">
            <v>0</v>
          </cell>
          <cell r="W1587" t="str">
            <v>Ali Shah</v>
          </cell>
          <cell r="X1587" t="str">
            <v>Sardar Tanveer Ilyas</v>
          </cell>
        </row>
        <row r="1588">
          <cell r="K1588">
            <v>11488</v>
          </cell>
          <cell r="M1588" t="str">
            <v>Intiqal</v>
          </cell>
          <cell r="N1588" t="str">
            <v>Not Available</v>
          </cell>
          <cell r="O1588">
            <v>0</v>
          </cell>
          <cell r="P1588">
            <v>5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-3</v>
          </cell>
          <cell r="V1588">
            <v>0</v>
          </cell>
          <cell r="W1588" t="str">
            <v>Mst Iram ul Nisa</v>
          </cell>
          <cell r="X1588" t="str">
            <v>Sardar Tanveer Ilyas</v>
          </cell>
        </row>
        <row r="1589">
          <cell r="K1589">
            <v>2336</v>
          </cell>
          <cell r="M1589" t="str">
            <v>Intiqal</v>
          </cell>
          <cell r="N1589" t="str">
            <v>Not Available</v>
          </cell>
          <cell r="O1589">
            <v>4</v>
          </cell>
          <cell r="P1589">
            <v>4</v>
          </cell>
          <cell r="Q1589">
            <v>0</v>
          </cell>
          <cell r="R1589">
            <v>0</v>
          </cell>
          <cell r="S1589">
            <v>0</v>
          </cell>
          <cell r="T1589">
            <v>-4</v>
          </cell>
          <cell r="U1589">
            <v>1</v>
          </cell>
          <cell r="V1589">
            <v>0</v>
          </cell>
          <cell r="W1589" t="str">
            <v>Suleman</v>
          </cell>
          <cell r="X1589" t="str">
            <v>Sardar Tanveer Ilyas</v>
          </cell>
        </row>
        <row r="1590">
          <cell r="K1590">
            <v>2305</v>
          </cell>
          <cell r="M1590" t="str">
            <v>Intiqal</v>
          </cell>
          <cell r="N1590" t="str">
            <v>Not Available</v>
          </cell>
          <cell r="O1590">
            <v>1</v>
          </cell>
          <cell r="P1590">
            <v>3</v>
          </cell>
          <cell r="Q1590">
            <v>0</v>
          </cell>
          <cell r="R1590">
            <v>0</v>
          </cell>
          <cell r="S1590">
            <v>0</v>
          </cell>
          <cell r="T1590">
            <v>3</v>
          </cell>
          <cell r="U1590">
            <v>1</v>
          </cell>
          <cell r="V1590">
            <v>0</v>
          </cell>
          <cell r="W1590" t="str">
            <v>Zeeshan</v>
          </cell>
          <cell r="X1590" t="str">
            <v>Sardar Tanveer Ilyas</v>
          </cell>
        </row>
        <row r="1591">
          <cell r="K1591">
            <v>2299</v>
          </cell>
          <cell r="M1591" t="str">
            <v>Intiqal</v>
          </cell>
          <cell r="N1591" t="str">
            <v>Not Available</v>
          </cell>
          <cell r="O1591">
            <v>0</v>
          </cell>
          <cell r="P1591">
            <v>9</v>
          </cell>
          <cell r="Q1591">
            <v>0</v>
          </cell>
          <cell r="R1591">
            <v>0</v>
          </cell>
          <cell r="S1591">
            <v>0</v>
          </cell>
          <cell r="T1591">
            <v>1</v>
          </cell>
          <cell r="U1591">
            <v>-6</v>
          </cell>
          <cell r="V1591">
            <v>0</v>
          </cell>
          <cell r="W1591" t="str">
            <v>Farooz Din</v>
          </cell>
          <cell r="X1591" t="str">
            <v>Sardar Tanveer Ilyas</v>
          </cell>
        </row>
        <row r="1592">
          <cell r="K1592">
            <v>2281</v>
          </cell>
          <cell r="M1592" t="str">
            <v>Intiqal</v>
          </cell>
          <cell r="N1592" t="str">
            <v>Not Available</v>
          </cell>
          <cell r="O1592">
            <v>0</v>
          </cell>
          <cell r="P1592">
            <v>12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-3</v>
          </cell>
          <cell r="V1592">
            <v>0</v>
          </cell>
          <cell r="W1592" t="str">
            <v>Muhammad Muneer Khan</v>
          </cell>
          <cell r="X1592" t="str">
            <v>Sardar Tanveer Ilyas</v>
          </cell>
        </row>
        <row r="1593">
          <cell r="K1593">
            <v>2254</v>
          </cell>
          <cell r="M1593" t="str">
            <v>Intiqal</v>
          </cell>
          <cell r="N1593" t="str">
            <v>Not Available</v>
          </cell>
          <cell r="O1593">
            <v>1</v>
          </cell>
          <cell r="P1593">
            <v>1</v>
          </cell>
          <cell r="Q1593">
            <v>4</v>
          </cell>
          <cell r="R1593">
            <v>0</v>
          </cell>
          <cell r="S1593">
            <v>0</v>
          </cell>
          <cell r="T1593">
            <v>-1</v>
          </cell>
          <cell r="U1593">
            <v>11</v>
          </cell>
          <cell r="V1593">
            <v>-4</v>
          </cell>
          <cell r="W1593" t="str">
            <v>Muhammad Akseer</v>
          </cell>
          <cell r="X1593" t="str">
            <v>Sardar Tanveer Ilyas</v>
          </cell>
        </row>
        <row r="1594">
          <cell r="K1594">
            <v>2040</v>
          </cell>
          <cell r="M1594" t="str">
            <v>Intiqal</v>
          </cell>
          <cell r="N1594" t="str">
            <v>Not Available</v>
          </cell>
          <cell r="O1594">
            <v>0</v>
          </cell>
          <cell r="P1594">
            <v>5</v>
          </cell>
          <cell r="Q1594">
            <v>0</v>
          </cell>
          <cell r="R1594">
            <v>0</v>
          </cell>
          <cell r="S1594">
            <v>0</v>
          </cell>
          <cell r="T1594">
            <v>1</v>
          </cell>
          <cell r="U1594">
            <v>-4</v>
          </cell>
          <cell r="V1594">
            <v>4</v>
          </cell>
          <cell r="W1594" t="str">
            <v>Rashid Mehmood</v>
          </cell>
          <cell r="X1594" t="str">
            <v>Sardar Tanveer Ilyas</v>
          </cell>
        </row>
        <row r="1595">
          <cell r="K1595">
            <v>1804</v>
          </cell>
          <cell r="M1595" t="str">
            <v>Intiqal</v>
          </cell>
          <cell r="N1595" t="str">
            <v>Not Available</v>
          </cell>
          <cell r="O1595">
            <v>0</v>
          </cell>
          <cell r="P1595">
            <v>1</v>
          </cell>
          <cell r="Q1595">
            <v>8</v>
          </cell>
          <cell r="R1595">
            <v>0</v>
          </cell>
          <cell r="S1595">
            <v>0</v>
          </cell>
          <cell r="T1595">
            <v>0</v>
          </cell>
          <cell r="U1595">
            <v>4</v>
          </cell>
          <cell r="V1595">
            <v>-8</v>
          </cell>
          <cell r="W1595" t="str">
            <v>Muhammad Muza</v>
          </cell>
          <cell r="X1595" t="str">
            <v>Sardar Yasir Ilyas</v>
          </cell>
        </row>
        <row r="1596">
          <cell r="K1596">
            <v>1498</v>
          </cell>
          <cell r="M1596" t="str">
            <v>Intiqal</v>
          </cell>
          <cell r="N1596" t="str">
            <v>Not Available</v>
          </cell>
          <cell r="O1596">
            <v>0</v>
          </cell>
          <cell r="P1596">
            <v>4</v>
          </cell>
          <cell r="Q1596">
            <v>5.22</v>
          </cell>
          <cell r="R1596">
            <v>0</v>
          </cell>
          <cell r="S1596">
            <v>0</v>
          </cell>
          <cell r="T1596">
            <v>0</v>
          </cell>
          <cell r="U1596">
            <v>-3</v>
          </cell>
          <cell r="V1596">
            <v>2.78</v>
          </cell>
          <cell r="W1596" t="str">
            <v>Makhni Beghum</v>
          </cell>
          <cell r="X1596" t="str">
            <v>Sardar Tanveer Ilyas</v>
          </cell>
        </row>
        <row r="1597">
          <cell r="K1597">
            <v>1490</v>
          </cell>
          <cell r="M1597" t="str">
            <v>Intiqal</v>
          </cell>
          <cell r="N1597" t="str">
            <v>Not Available</v>
          </cell>
          <cell r="O1597">
            <v>0</v>
          </cell>
          <cell r="P1597">
            <v>4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5.22</v>
          </cell>
          <cell r="W1597" t="str">
            <v>Khursheed Beghum</v>
          </cell>
          <cell r="X1597" t="str">
            <v>Sardar Tanveer Ilyas</v>
          </cell>
        </row>
        <row r="1598">
          <cell r="K1598">
            <v>1476</v>
          </cell>
          <cell r="M1598" t="str">
            <v>Intiqal</v>
          </cell>
          <cell r="N1598" t="str">
            <v>Registry</v>
          </cell>
          <cell r="O1598">
            <v>2</v>
          </cell>
          <cell r="P1598">
            <v>5</v>
          </cell>
          <cell r="Q1598">
            <v>0</v>
          </cell>
          <cell r="R1598">
            <v>0</v>
          </cell>
          <cell r="S1598">
            <v>0</v>
          </cell>
          <cell r="T1598">
            <v>-2</v>
          </cell>
          <cell r="U1598">
            <v>-1</v>
          </cell>
          <cell r="V1598">
            <v>0</v>
          </cell>
          <cell r="W1598" t="str">
            <v>Muhammad Waris</v>
          </cell>
          <cell r="X1598" t="str">
            <v>Sardar Tanveer Ilyas</v>
          </cell>
          <cell r="Y1598">
            <v>45768</v>
          </cell>
        </row>
        <row r="1599">
          <cell r="K1599">
            <v>1475</v>
          </cell>
          <cell r="M1599" t="str">
            <v>Intiqal</v>
          </cell>
          <cell r="N1599" t="str">
            <v>Not Available</v>
          </cell>
          <cell r="O1599">
            <v>5</v>
          </cell>
          <cell r="P1599">
            <v>3</v>
          </cell>
          <cell r="Q1599">
            <v>0</v>
          </cell>
          <cell r="R1599">
            <v>0</v>
          </cell>
          <cell r="S1599">
            <v>0</v>
          </cell>
          <cell r="T1599">
            <v>-3</v>
          </cell>
          <cell r="U1599">
            <v>2</v>
          </cell>
          <cell r="V1599">
            <v>0</v>
          </cell>
          <cell r="W1599" t="str">
            <v>Muhammad Waris</v>
          </cell>
          <cell r="X1599" t="str">
            <v>Sardar Tanveer Ilyas</v>
          </cell>
        </row>
        <row r="1600">
          <cell r="K1600">
            <v>1474</v>
          </cell>
          <cell r="M1600" t="str">
            <v>Intiqal</v>
          </cell>
          <cell r="N1600" t="str">
            <v>Not Available</v>
          </cell>
          <cell r="O1600">
            <v>0</v>
          </cell>
          <cell r="P1600">
            <v>11</v>
          </cell>
          <cell r="Q1600">
            <v>3</v>
          </cell>
          <cell r="R1600">
            <v>0</v>
          </cell>
          <cell r="S1600">
            <v>0</v>
          </cell>
          <cell r="T1600">
            <v>5</v>
          </cell>
          <cell r="U1600">
            <v>-8</v>
          </cell>
          <cell r="V1600">
            <v>-3</v>
          </cell>
          <cell r="W1600" t="str">
            <v>Malik Akhtar Mehmood</v>
          </cell>
          <cell r="X1600" t="str">
            <v>Sardar Tanveer Ilyas</v>
          </cell>
        </row>
        <row r="1601">
          <cell r="K1601">
            <v>1402</v>
          </cell>
          <cell r="M1601" t="str">
            <v>Intiqal</v>
          </cell>
          <cell r="N1601" t="str">
            <v>Not Available</v>
          </cell>
          <cell r="O1601">
            <v>2</v>
          </cell>
          <cell r="P1601">
            <v>3</v>
          </cell>
          <cell r="Q1601">
            <v>0.7</v>
          </cell>
          <cell r="R1601">
            <v>0</v>
          </cell>
          <cell r="S1601">
            <v>0</v>
          </cell>
          <cell r="T1601">
            <v>-2</v>
          </cell>
          <cell r="U1601">
            <v>8</v>
          </cell>
          <cell r="V1601">
            <v>2.2999999999999998</v>
          </cell>
          <cell r="W1601" t="str">
            <v>Aziz Ur Rehman</v>
          </cell>
          <cell r="X1601" t="str">
            <v>Sardar Tanveer Ilyas</v>
          </cell>
        </row>
        <row r="1602">
          <cell r="K1602">
            <v>1401</v>
          </cell>
          <cell r="M1602" t="str">
            <v>Intiqal</v>
          </cell>
          <cell r="N1602" t="str">
            <v>Not Available</v>
          </cell>
          <cell r="O1602">
            <v>3</v>
          </cell>
          <cell r="P1602">
            <v>12</v>
          </cell>
          <cell r="Q1602">
            <v>5.3</v>
          </cell>
          <cell r="R1602">
            <v>0</v>
          </cell>
          <cell r="S1602">
            <v>0</v>
          </cell>
          <cell r="T1602">
            <v>-1</v>
          </cell>
          <cell r="U1602">
            <v>-9</v>
          </cell>
          <cell r="V1602">
            <v>-4.5999999999999996</v>
          </cell>
          <cell r="W1602" t="str">
            <v>Muhammad Taj</v>
          </cell>
          <cell r="X1602" t="str">
            <v>Sardar Tanveer Ilyas</v>
          </cell>
        </row>
        <row r="1603">
          <cell r="K1603">
            <v>1400</v>
          </cell>
          <cell r="M1603" t="str">
            <v>Intiqal</v>
          </cell>
          <cell r="N1603" t="str">
            <v>Not Available</v>
          </cell>
          <cell r="O1603">
            <v>0</v>
          </cell>
          <cell r="P1603">
            <v>11</v>
          </cell>
          <cell r="Q1603">
            <v>1</v>
          </cell>
          <cell r="R1603">
            <v>0</v>
          </cell>
          <cell r="S1603">
            <v>0</v>
          </cell>
          <cell r="T1603">
            <v>3</v>
          </cell>
          <cell r="U1603">
            <v>1</v>
          </cell>
          <cell r="V1603">
            <v>4.3</v>
          </cell>
          <cell r="W1603" t="str">
            <v>Parveen Akhtar</v>
          </cell>
          <cell r="X1603" t="str">
            <v>Sardar Tanveer Ilyas</v>
          </cell>
        </row>
        <row r="1604">
          <cell r="K1604">
            <v>1222</v>
          </cell>
          <cell r="M1604" t="str">
            <v>Intiqal</v>
          </cell>
          <cell r="N1604" t="str">
            <v>Not Available</v>
          </cell>
          <cell r="O1604">
            <v>1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-1</v>
          </cell>
          <cell r="U1604">
            <v>11</v>
          </cell>
          <cell r="V1604">
            <v>1</v>
          </cell>
          <cell r="W1604" t="str">
            <v>Abdullah</v>
          </cell>
          <cell r="X1604" t="str">
            <v>Sardar Tanveer Ilyas</v>
          </cell>
        </row>
        <row r="1605">
          <cell r="K1605">
            <v>1161</v>
          </cell>
          <cell r="M1605" t="str">
            <v>Intiqal</v>
          </cell>
          <cell r="N1605" t="str">
            <v>Not Available</v>
          </cell>
          <cell r="O1605">
            <v>1</v>
          </cell>
          <cell r="P1605">
            <v>4</v>
          </cell>
          <cell r="Q1605">
            <v>8</v>
          </cell>
          <cell r="R1605">
            <v>0</v>
          </cell>
          <cell r="S1605">
            <v>0</v>
          </cell>
          <cell r="T1605">
            <v>0</v>
          </cell>
          <cell r="U1605">
            <v>-4</v>
          </cell>
          <cell r="V1605">
            <v>-8</v>
          </cell>
          <cell r="W1605" t="str">
            <v>Muhammad Najeeb</v>
          </cell>
          <cell r="X1605" t="str">
            <v>Sardar Tanveer Ilyas</v>
          </cell>
        </row>
        <row r="1606">
          <cell r="K1606">
            <v>1046</v>
          </cell>
          <cell r="M1606" t="str">
            <v>Intiqal</v>
          </cell>
          <cell r="N1606" t="str">
            <v>Not Available</v>
          </cell>
          <cell r="O1606">
            <v>1</v>
          </cell>
          <cell r="P1606">
            <v>9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-5</v>
          </cell>
          <cell r="V1606">
            <v>8</v>
          </cell>
          <cell r="W1606" t="str">
            <v>Hassan Akhtar</v>
          </cell>
          <cell r="X1606" t="str">
            <v>Sardar Tanveer Ilyas</v>
          </cell>
        </row>
        <row r="1607">
          <cell r="K1607">
            <v>563</v>
          </cell>
          <cell r="M1607" t="str">
            <v>Intiqal</v>
          </cell>
          <cell r="N1607" t="str">
            <v>Not Available</v>
          </cell>
          <cell r="O1607">
            <v>0</v>
          </cell>
          <cell r="P1607">
            <v>2</v>
          </cell>
          <cell r="Q1607">
            <v>6</v>
          </cell>
          <cell r="R1607">
            <v>0</v>
          </cell>
          <cell r="S1607">
            <v>0</v>
          </cell>
          <cell r="T1607">
            <v>1</v>
          </cell>
          <cell r="U1607">
            <v>7</v>
          </cell>
          <cell r="V1607">
            <v>-6</v>
          </cell>
          <cell r="W1607" t="str">
            <v>Noor Bhari</v>
          </cell>
          <cell r="X1607" t="str">
            <v>Sardar Tanveer Ilyas</v>
          </cell>
        </row>
        <row r="1608">
          <cell r="K1608">
            <v>562</v>
          </cell>
          <cell r="M1608" t="str">
            <v>Intiqal</v>
          </cell>
          <cell r="N1608" t="str">
            <v>Not Available</v>
          </cell>
          <cell r="O1608">
            <v>0</v>
          </cell>
          <cell r="P1608">
            <v>7</v>
          </cell>
          <cell r="Q1608">
            <v>5</v>
          </cell>
          <cell r="R1608">
            <v>0</v>
          </cell>
          <cell r="S1608">
            <v>0</v>
          </cell>
          <cell r="T1608">
            <v>0</v>
          </cell>
          <cell r="U1608">
            <v>-5</v>
          </cell>
          <cell r="V1608">
            <v>1</v>
          </cell>
          <cell r="W1608" t="str">
            <v>Abdul Shakeel</v>
          </cell>
          <cell r="X1608" t="str">
            <v>Sardar Tanveer Ilyas</v>
          </cell>
        </row>
        <row r="1609">
          <cell r="K1609">
            <v>528</v>
          </cell>
          <cell r="M1609" t="str">
            <v>Intiqal</v>
          </cell>
          <cell r="N1609" t="str">
            <v>Not Available</v>
          </cell>
          <cell r="O1609">
            <v>0</v>
          </cell>
          <cell r="P1609">
            <v>3</v>
          </cell>
          <cell r="Q1609">
            <v>6</v>
          </cell>
          <cell r="R1609">
            <v>0</v>
          </cell>
          <cell r="S1609">
            <v>0</v>
          </cell>
          <cell r="T1609">
            <v>0</v>
          </cell>
          <cell r="U1609">
            <v>4</v>
          </cell>
          <cell r="V1609">
            <v>-1</v>
          </cell>
          <cell r="W1609" t="str">
            <v>Muhammad Waqas</v>
          </cell>
          <cell r="X1609" t="str">
            <v>Sardar Tanveer Ilyas</v>
          </cell>
        </row>
        <row r="1610">
          <cell r="K1610">
            <v>247</v>
          </cell>
          <cell r="M1610" t="str">
            <v>Intiqal</v>
          </cell>
          <cell r="N1610" t="str">
            <v>Not Available</v>
          </cell>
          <cell r="O1610">
            <v>0</v>
          </cell>
          <cell r="P1610">
            <v>6</v>
          </cell>
          <cell r="Q1610">
            <v>5</v>
          </cell>
          <cell r="R1610">
            <v>0</v>
          </cell>
          <cell r="S1610">
            <v>0</v>
          </cell>
          <cell r="T1610">
            <v>0</v>
          </cell>
          <cell r="U1610">
            <v>-3</v>
          </cell>
          <cell r="V1610">
            <v>1</v>
          </cell>
          <cell r="W1610" t="str">
            <v>Muhammad Shakeel</v>
          </cell>
          <cell r="X1610" t="str">
            <v>Sardar Tanveer Ilyas</v>
          </cell>
        </row>
        <row r="1611">
          <cell r="K1611">
            <v>246</v>
          </cell>
          <cell r="M1611" t="str">
            <v>Intiqal</v>
          </cell>
          <cell r="N1611" t="str">
            <v>Not Available</v>
          </cell>
          <cell r="O1611">
            <v>0</v>
          </cell>
          <cell r="P1611">
            <v>4</v>
          </cell>
          <cell r="Q1611">
            <v>3.5</v>
          </cell>
          <cell r="R1611">
            <v>0</v>
          </cell>
          <cell r="S1611">
            <v>0</v>
          </cell>
          <cell r="T1611">
            <v>0</v>
          </cell>
          <cell r="U1611">
            <v>2</v>
          </cell>
          <cell r="V1611">
            <v>1.5</v>
          </cell>
          <cell r="W1611" t="str">
            <v>Shazia Parveen</v>
          </cell>
          <cell r="X1611" t="str">
            <v>Sardar Tanveer Ilyas</v>
          </cell>
        </row>
        <row r="1612">
          <cell r="K1612">
            <v>166</v>
          </cell>
          <cell r="M1612" t="str">
            <v>Intiqal</v>
          </cell>
          <cell r="N1612" t="str">
            <v>Not Available</v>
          </cell>
          <cell r="O1612">
            <v>0</v>
          </cell>
          <cell r="P1612">
            <v>7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-3</v>
          </cell>
          <cell r="V1612">
            <v>3.5</v>
          </cell>
          <cell r="W1612" t="str">
            <v>Zaheer Ahmed Khan</v>
          </cell>
          <cell r="X1612" t="str">
            <v>Sardar Tanveer Ilyas</v>
          </cell>
        </row>
        <row r="1613">
          <cell r="K1613" t="str">
            <v>Qaiser-lily plot- registry done</v>
          </cell>
          <cell r="M1613" t="str">
            <v>Not Available</v>
          </cell>
          <cell r="N1613" t="str">
            <v>Not Available</v>
          </cell>
          <cell r="O1613">
            <v>0</v>
          </cell>
          <cell r="P1613">
            <v>14</v>
          </cell>
          <cell r="Q1613">
            <v>0</v>
          </cell>
          <cell r="R1613">
            <v>0</v>
          </cell>
          <cell r="S1613">
            <v>0</v>
          </cell>
          <cell r="T1613">
            <v>7</v>
          </cell>
          <cell r="U1613">
            <v>-14</v>
          </cell>
          <cell r="V1613">
            <v>0</v>
          </cell>
          <cell r="W1613" t="str">
            <v>Yasrab Shahzad</v>
          </cell>
          <cell r="X1613" t="str">
            <v>Sardar Group of Companies Pvt Ltd</v>
          </cell>
        </row>
        <row r="1614">
          <cell r="K1614" t="str">
            <v>Qasair lily plot deal</v>
          </cell>
          <cell r="M1614" t="str">
            <v>Not Available</v>
          </cell>
          <cell r="N1614" t="str">
            <v>Not Available</v>
          </cell>
          <cell r="O1614">
            <v>6</v>
          </cell>
          <cell r="P1614">
            <v>6</v>
          </cell>
          <cell r="Q1614">
            <v>0</v>
          </cell>
          <cell r="R1614">
            <v>0</v>
          </cell>
          <cell r="S1614">
            <v>0</v>
          </cell>
          <cell r="T1614">
            <v>-6</v>
          </cell>
          <cell r="U1614">
            <v>8</v>
          </cell>
          <cell r="V1614">
            <v>0</v>
          </cell>
        </row>
        <row r="1615">
          <cell r="K1615">
            <v>6154</v>
          </cell>
          <cell r="L1615">
            <v>12522</v>
          </cell>
          <cell r="M1615" t="str">
            <v>Intiqal</v>
          </cell>
          <cell r="N1615" t="str">
            <v>Registry</v>
          </cell>
          <cell r="O1615">
            <v>1</v>
          </cell>
          <cell r="P1615">
            <v>5</v>
          </cell>
          <cell r="Q1615">
            <v>0</v>
          </cell>
          <cell r="R1615">
            <v>229240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 t="str">
            <v>Muhammad Afzal</v>
          </cell>
          <cell r="X1615" t="str">
            <v>Sardar Tanveer Ilyas</v>
          </cell>
          <cell r="Y1615">
            <v>45909</v>
          </cell>
        </row>
        <row r="1616">
          <cell r="K1616" t="str">
            <v>Sardar Afif</v>
          </cell>
          <cell r="L1616">
            <v>2776</v>
          </cell>
          <cell r="M1616" t="str">
            <v>Not Available</v>
          </cell>
          <cell r="N1616" t="str">
            <v>Registry</v>
          </cell>
          <cell r="O1616">
            <v>4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3</v>
          </cell>
          <cell r="U1616">
            <v>0</v>
          </cell>
          <cell r="V1616">
            <v>0</v>
          </cell>
          <cell r="W1616" t="str">
            <v>Fetah Khan</v>
          </cell>
          <cell r="X1616" t="str">
            <v>Sardar Group of Companies Pvt Ltd</v>
          </cell>
          <cell r="Y1616">
            <v>46072</v>
          </cell>
        </row>
        <row r="1617">
          <cell r="K1617" t="str">
            <v>Sardar Afif</v>
          </cell>
          <cell r="L1617">
            <v>15626</v>
          </cell>
          <cell r="M1617" t="str">
            <v>Not Available</v>
          </cell>
          <cell r="N1617" t="str">
            <v>Registry</v>
          </cell>
          <cell r="O1617">
            <v>3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1</v>
          </cell>
          <cell r="U1617">
            <v>0</v>
          </cell>
          <cell r="V1617">
            <v>0</v>
          </cell>
          <cell r="W1617" t="str">
            <v>Mst Shamim Akhter</v>
          </cell>
          <cell r="X1617" t="str">
            <v>Sardar Tanveer Ilyas</v>
          </cell>
          <cell r="Y1617">
            <v>45964</v>
          </cell>
        </row>
        <row r="1618">
          <cell r="K1618" t="str">
            <v>Sardar Afif</v>
          </cell>
          <cell r="L1618">
            <v>2247</v>
          </cell>
          <cell r="M1618" t="str">
            <v>Not Available</v>
          </cell>
          <cell r="N1618" t="str">
            <v>Registry</v>
          </cell>
          <cell r="O1618">
            <v>3</v>
          </cell>
          <cell r="P1618">
            <v>0</v>
          </cell>
          <cell r="Q1618">
            <v>0</v>
          </cell>
          <cell r="R1618">
            <v>501580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 t="str">
            <v>Mamraiz Khan</v>
          </cell>
          <cell r="X1618" t="str">
            <v>Sardar Group of Companies Pvt Ltd</v>
          </cell>
          <cell r="Y1618">
            <v>46064</v>
          </cell>
        </row>
        <row r="1619">
          <cell r="K1619" t="str">
            <v>Sardar Afif</v>
          </cell>
          <cell r="L1619">
            <v>1986</v>
          </cell>
          <cell r="M1619" t="str">
            <v>Not Available</v>
          </cell>
          <cell r="N1619" t="str">
            <v>Registry</v>
          </cell>
          <cell r="O1619">
            <v>3</v>
          </cell>
          <cell r="P1619">
            <v>0</v>
          </cell>
          <cell r="Q1619">
            <v>0</v>
          </cell>
          <cell r="R1619">
            <v>807911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 t="str">
            <v>Raja Ulfat Hussain</v>
          </cell>
          <cell r="X1619" t="str">
            <v>Sardar Tanveer Ilyas</v>
          </cell>
          <cell r="Y1619">
            <v>46062</v>
          </cell>
        </row>
        <row r="1620">
          <cell r="L1620">
            <v>3397</v>
          </cell>
          <cell r="M1620" t="str">
            <v>Not Available</v>
          </cell>
          <cell r="N1620" t="str">
            <v>Registry</v>
          </cell>
          <cell r="O1620">
            <v>1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9</v>
          </cell>
          <cell r="U1620">
            <v>0</v>
          </cell>
          <cell r="V1620">
            <v>0</v>
          </cell>
          <cell r="W1620" t="str">
            <v>Sajid Mehmood</v>
          </cell>
          <cell r="X1620" t="str">
            <v>Sardar Group of Companies Pvt Ltd</v>
          </cell>
          <cell r="Y1620">
            <v>46130</v>
          </cell>
        </row>
        <row r="1621">
          <cell r="K1621" t="str">
            <v>Sardar Afif</v>
          </cell>
          <cell r="L1621">
            <v>1082</v>
          </cell>
          <cell r="M1621" t="str">
            <v>Not Available</v>
          </cell>
          <cell r="N1621" t="str">
            <v>Registry</v>
          </cell>
          <cell r="O1621">
            <v>9</v>
          </cell>
          <cell r="P1621">
            <v>0</v>
          </cell>
          <cell r="Q1621">
            <v>0</v>
          </cell>
          <cell r="R1621">
            <v>631540</v>
          </cell>
          <cell r="S1621">
            <v>0</v>
          </cell>
          <cell r="T1621">
            <v>-8</v>
          </cell>
          <cell r="U1621">
            <v>0</v>
          </cell>
          <cell r="V1621">
            <v>0</v>
          </cell>
          <cell r="W1621" t="str">
            <v>Muhammad Riyasat</v>
          </cell>
          <cell r="X1621" t="str">
            <v>Sardar Group of Companies Pvt Ltd</v>
          </cell>
          <cell r="Y1621">
            <v>46267</v>
          </cell>
        </row>
        <row r="1622">
          <cell r="K1622" t="str">
            <v>Registry Done</v>
          </cell>
          <cell r="M1622" t="str">
            <v>Not Available</v>
          </cell>
          <cell r="N1622" t="str">
            <v>Not Available</v>
          </cell>
          <cell r="O1622">
            <v>0</v>
          </cell>
          <cell r="P1622">
            <v>14</v>
          </cell>
          <cell r="Q1622">
            <v>0</v>
          </cell>
          <cell r="R1622">
            <v>0</v>
          </cell>
          <cell r="S1622">
            <v>0</v>
          </cell>
          <cell r="T1622">
            <v>6</v>
          </cell>
          <cell r="U1622">
            <v>-10</v>
          </cell>
          <cell r="V1622">
            <v>0</v>
          </cell>
          <cell r="W1622" t="str">
            <v>Ubaid ur Rehman</v>
          </cell>
          <cell r="X1622" t="str">
            <v>Sardar Group of Companies Pvt Ltd</v>
          </cell>
        </row>
        <row r="1623">
          <cell r="K1623" t="str">
            <v>Qaiser Registry Done</v>
          </cell>
          <cell r="M1623" t="str">
            <v>Not Available</v>
          </cell>
          <cell r="N1623" t="str">
            <v>Not Available</v>
          </cell>
          <cell r="O1623">
            <v>0</v>
          </cell>
          <cell r="P1623">
            <v>12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2</v>
          </cell>
          <cell r="V1623">
            <v>0</v>
          </cell>
          <cell r="W1623" t="str">
            <v>Syed Aqib Shah</v>
          </cell>
          <cell r="X1623" t="str">
            <v>Sardar Group of Companies Pvt Ltd</v>
          </cell>
        </row>
        <row r="1624">
          <cell r="K1624" t="str">
            <v>Qaiser Registry Done</v>
          </cell>
          <cell r="M1624" t="str">
            <v>Not Available</v>
          </cell>
          <cell r="N1624" t="str">
            <v>Not Available</v>
          </cell>
          <cell r="O1624">
            <v>1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-1</v>
          </cell>
          <cell r="U1624">
            <v>12</v>
          </cell>
          <cell r="V1624">
            <v>0</v>
          </cell>
          <cell r="W1624" t="str">
            <v>Ayaz Muhammad Khan</v>
          </cell>
          <cell r="X1624" t="str">
            <v>Sardar Group of Companies Pvt Ltd</v>
          </cell>
        </row>
        <row r="1625">
          <cell r="K1625" t="str">
            <v>Registry Done</v>
          </cell>
          <cell r="M1625" t="str">
            <v>Not Available</v>
          </cell>
          <cell r="N1625" t="str">
            <v>Not Available</v>
          </cell>
          <cell r="O1625">
            <v>1</v>
          </cell>
          <cell r="P1625">
            <v>10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-10</v>
          </cell>
          <cell r="V1625">
            <v>0</v>
          </cell>
          <cell r="W1625" t="str">
            <v>Noor Sher</v>
          </cell>
          <cell r="X1625" t="str">
            <v>Sardar Group of Companies Pvt Ltd</v>
          </cell>
        </row>
        <row r="1626">
          <cell r="K1626" t="str">
            <v>Qaiser Registry Done</v>
          </cell>
          <cell r="M1626" t="str">
            <v>Not Available</v>
          </cell>
          <cell r="N1626" t="str">
            <v>Not Available</v>
          </cell>
          <cell r="O1626">
            <v>1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10</v>
          </cell>
          <cell r="V1626">
            <v>0</v>
          </cell>
          <cell r="W1626" t="str">
            <v>Azhar Iqbal</v>
          </cell>
          <cell r="X1626" t="str">
            <v>Sardar Group of Companies Pvt Ltd</v>
          </cell>
        </row>
        <row r="1627">
          <cell r="L1627">
            <v>4494</v>
          </cell>
          <cell r="M1627" t="str">
            <v>Not Available</v>
          </cell>
          <cell r="N1627" t="str">
            <v>Registry</v>
          </cell>
          <cell r="O1627">
            <v>0</v>
          </cell>
          <cell r="P1627">
            <v>8</v>
          </cell>
          <cell r="Q1627">
            <v>0</v>
          </cell>
          <cell r="R1627">
            <v>0</v>
          </cell>
          <cell r="S1627">
            <v>0</v>
          </cell>
          <cell r="T1627">
            <v>1</v>
          </cell>
          <cell r="U1627">
            <v>-8</v>
          </cell>
          <cell r="V1627">
            <v>0</v>
          </cell>
          <cell r="W1627" t="str">
            <v>Zafar Khan</v>
          </cell>
          <cell r="X1627" t="str">
            <v>Sardar Group of Companies Pvt Ltd</v>
          </cell>
          <cell r="Y1627">
            <v>46329</v>
          </cell>
        </row>
        <row r="1628">
          <cell r="L1628">
            <v>4272</v>
          </cell>
          <cell r="M1628" t="str">
            <v>Not Available</v>
          </cell>
          <cell r="N1628" t="str">
            <v>Registry</v>
          </cell>
          <cell r="O1628">
            <v>1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-1</v>
          </cell>
          <cell r="U1628">
            <v>8</v>
          </cell>
          <cell r="V1628">
            <v>0</v>
          </cell>
          <cell r="W1628" t="str">
            <v>Yasmeen</v>
          </cell>
          <cell r="X1628" t="str">
            <v>Sardar Group of Companies Pvt Ltd</v>
          </cell>
          <cell r="Y1628">
            <v>46234</v>
          </cell>
        </row>
        <row r="1629">
          <cell r="K1629">
            <v>832</v>
          </cell>
          <cell r="L1629">
            <v>2989</v>
          </cell>
          <cell r="M1629" t="str">
            <v>Intiqal</v>
          </cell>
          <cell r="N1629" t="str">
            <v>Registry</v>
          </cell>
          <cell r="O1629">
            <v>23</v>
          </cell>
          <cell r="P1629">
            <v>17</v>
          </cell>
          <cell r="Q1629">
            <v>8</v>
          </cell>
          <cell r="R1629">
            <v>4592334</v>
          </cell>
          <cell r="S1629">
            <v>0</v>
          </cell>
          <cell r="T1629">
            <v>9</v>
          </cell>
          <cell r="U1629">
            <v>-13</v>
          </cell>
          <cell r="V1629">
            <v>-6.02</v>
          </cell>
          <cell r="W1629" t="str">
            <v>Muhammad Hafeez</v>
          </cell>
          <cell r="X1629" t="str">
            <v>Sardar Group of Companies Pvt Ltd</v>
          </cell>
          <cell r="Y1629">
            <v>46074</v>
          </cell>
        </row>
        <row r="1630">
          <cell r="K1630">
            <v>833</v>
          </cell>
          <cell r="L1630">
            <v>4249</v>
          </cell>
          <cell r="M1630" t="str">
            <v>Intiqal</v>
          </cell>
          <cell r="N1630" t="str">
            <v>Registry</v>
          </cell>
          <cell r="O1630">
            <v>8</v>
          </cell>
          <cell r="P1630">
            <v>6</v>
          </cell>
          <cell r="Q1630">
            <v>2.98</v>
          </cell>
          <cell r="R1630">
            <v>1616211</v>
          </cell>
          <cell r="S1630">
            <v>0</v>
          </cell>
          <cell r="T1630">
            <v>15</v>
          </cell>
          <cell r="U1630">
            <v>11</v>
          </cell>
          <cell r="V1630">
            <v>5.0199999999999996</v>
          </cell>
          <cell r="W1630" t="str">
            <v>M saeed</v>
          </cell>
          <cell r="X1630" t="str">
            <v>Sardar Group of Companies Pvt Ltd</v>
          </cell>
          <cell r="Y1630">
            <v>38747</v>
          </cell>
        </row>
        <row r="1631">
          <cell r="L1631">
            <v>2492</v>
          </cell>
          <cell r="M1631" t="str">
            <v>Not Available</v>
          </cell>
          <cell r="N1631" t="str">
            <v>Registry</v>
          </cell>
          <cell r="O1631">
            <v>2</v>
          </cell>
          <cell r="P1631">
            <v>6</v>
          </cell>
          <cell r="Q1631">
            <v>0</v>
          </cell>
          <cell r="R1631">
            <v>0</v>
          </cell>
          <cell r="S1631">
            <v>0</v>
          </cell>
          <cell r="T1631">
            <v>1</v>
          </cell>
          <cell r="U1631">
            <v>0</v>
          </cell>
          <cell r="V1631">
            <v>0</v>
          </cell>
          <cell r="W1631" t="str">
            <v>Azra Perveen</v>
          </cell>
          <cell r="X1631" t="str">
            <v>Sardar Group of Companies Pvt Ltd</v>
          </cell>
          <cell r="Y1631">
            <v>46067</v>
          </cell>
        </row>
        <row r="1632">
          <cell r="L1632">
            <v>2189</v>
          </cell>
          <cell r="M1632" t="str">
            <v>Not Available</v>
          </cell>
          <cell r="N1632" t="str">
            <v>Registry</v>
          </cell>
          <cell r="O1632">
            <v>1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1</v>
          </cell>
          <cell r="U1632">
            <v>6</v>
          </cell>
          <cell r="V1632">
            <v>0</v>
          </cell>
          <cell r="W1632" t="str">
            <v>Aftab Ahmed Malik</v>
          </cell>
          <cell r="X1632" t="str">
            <v>Sardar Group of Companies Pvt Ltd</v>
          </cell>
          <cell r="Y1632">
            <v>46064</v>
          </cell>
        </row>
        <row r="1633">
          <cell r="L1633">
            <v>2890</v>
          </cell>
          <cell r="M1633" t="str">
            <v>Not Available</v>
          </cell>
          <cell r="N1633" t="str">
            <v>Not Available</v>
          </cell>
          <cell r="O1633">
            <v>0</v>
          </cell>
          <cell r="P1633">
            <v>7</v>
          </cell>
          <cell r="Q1633">
            <v>7</v>
          </cell>
          <cell r="R1633">
            <v>0</v>
          </cell>
          <cell r="S1633">
            <v>0</v>
          </cell>
          <cell r="T1633">
            <v>1</v>
          </cell>
          <cell r="U1633">
            <v>10</v>
          </cell>
          <cell r="V1633">
            <v>0.17</v>
          </cell>
        </row>
        <row r="1634">
          <cell r="K1634">
            <v>4237</v>
          </cell>
          <cell r="L1634">
            <v>12694</v>
          </cell>
          <cell r="M1634" t="str">
            <v>Intiqal</v>
          </cell>
          <cell r="N1634" t="str">
            <v>Registry</v>
          </cell>
          <cell r="O1634">
            <v>0</v>
          </cell>
          <cell r="P1634">
            <v>8</v>
          </cell>
          <cell r="Q1634">
            <v>0.17</v>
          </cell>
          <cell r="R1634">
            <v>0</v>
          </cell>
          <cell r="S1634">
            <v>0</v>
          </cell>
          <cell r="T1634">
            <v>0</v>
          </cell>
          <cell r="U1634">
            <v>-1</v>
          </cell>
          <cell r="V1634">
            <v>6.83</v>
          </cell>
          <cell r="W1634" t="str">
            <v>Raja Nasir Kiyani</v>
          </cell>
          <cell r="X1634" t="str">
            <v>Sardar Tanveer Ilyas</v>
          </cell>
          <cell r="Y1634">
            <v>45912</v>
          </cell>
        </row>
        <row r="1635">
          <cell r="K1635">
            <v>4154</v>
          </cell>
          <cell r="L1635">
            <v>3396</v>
          </cell>
          <cell r="M1635" t="str">
            <v>Intiqal</v>
          </cell>
          <cell r="N1635" t="str">
            <v>Registry</v>
          </cell>
          <cell r="O1635">
            <v>0</v>
          </cell>
          <cell r="P1635">
            <v>5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3</v>
          </cell>
          <cell r="V1635">
            <v>0.17</v>
          </cell>
          <cell r="W1635" t="str">
            <v>Ejaz Ahmed</v>
          </cell>
          <cell r="X1635" t="str">
            <v>Sardar Tanveer Ilyas</v>
          </cell>
          <cell r="Y1635">
            <v>45745</v>
          </cell>
        </row>
        <row r="1636">
          <cell r="K1636">
            <v>4236</v>
          </cell>
          <cell r="L1636">
            <v>12687</v>
          </cell>
          <cell r="M1636" t="str">
            <v>Intiqal</v>
          </cell>
          <cell r="N1636" t="str">
            <v>Registry</v>
          </cell>
          <cell r="O1636">
            <v>0</v>
          </cell>
          <cell r="P1636">
            <v>15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-10</v>
          </cell>
          <cell r="V1636">
            <v>0</v>
          </cell>
          <cell r="W1636" t="str">
            <v>Zafran Kiyani</v>
          </cell>
          <cell r="X1636" t="str">
            <v>Sardar Tanveer Ilyas</v>
          </cell>
          <cell r="Y1636">
            <v>45912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73"/>
  <sheetViews>
    <sheetView tabSelected="1" workbookViewId="0">
      <selection activeCell="L9" sqref="L9"/>
    </sheetView>
  </sheetViews>
  <sheetFormatPr defaultColWidth="9.140625" defaultRowHeight="15" x14ac:dyDescent="0.25"/>
  <cols>
    <col min="1" max="1" width="6.5703125" style="2" bestFit="1" customWidth="1"/>
    <col min="2" max="2" width="9.7109375" style="2" bestFit="1" customWidth="1"/>
    <col min="3" max="3" width="23" style="2" bestFit="1" customWidth="1"/>
    <col min="4" max="4" width="15.140625" style="2" customWidth="1"/>
    <col min="5" max="5" width="13.85546875" style="2" customWidth="1"/>
    <col min="6" max="6" width="14" style="2" bestFit="1" customWidth="1"/>
    <col min="7" max="7" width="7.85546875" style="2" bestFit="1" customWidth="1"/>
    <col min="8" max="8" width="10.28515625" style="2" customWidth="1"/>
    <col min="9" max="9" width="10" style="2" customWidth="1"/>
    <col min="10" max="10" width="11.7109375" style="2" customWidth="1"/>
    <col min="11" max="11" width="13.42578125" style="2" customWidth="1"/>
    <col min="12" max="12" width="11.7109375" style="2" customWidth="1"/>
    <col min="13" max="13" width="10.85546875" style="2" customWidth="1"/>
    <col min="14" max="14" width="14" style="2" customWidth="1"/>
    <col min="15" max="15" width="8.7109375" style="2" customWidth="1"/>
    <col min="16" max="17" width="10.85546875" style="2" customWidth="1"/>
    <col min="18" max="18" width="11.7109375" style="2" customWidth="1"/>
    <col min="19" max="19" width="13.7109375" style="2" customWidth="1"/>
    <col min="20" max="20" width="16.140625" style="2" customWidth="1"/>
    <col min="21" max="21" width="4.85546875" style="2" customWidth="1"/>
    <col min="22" max="22" width="18.42578125" style="2" customWidth="1"/>
    <col min="23" max="23" width="10.85546875" style="2" customWidth="1"/>
    <col min="24" max="24" width="10" style="2" customWidth="1"/>
    <col min="25" max="25" width="10.85546875" style="2" customWidth="1"/>
    <col min="26" max="26" width="10" style="2" customWidth="1"/>
    <col min="27" max="27" width="10.85546875" style="2" customWidth="1"/>
    <col min="28" max="28" width="11.7109375" style="2" bestFit="1" customWidth="1"/>
    <col min="29" max="29" width="9.140625" style="2"/>
    <col min="30" max="30" width="32.140625" style="2" bestFit="1" customWidth="1"/>
    <col min="31" max="31" width="9.5703125" style="2" bestFit="1" customWidth="1"/>
    <col min="32" max="16384" width="9.140625" style="2"/>
  </cols>
  <sheetData>
    <row r="1" spans="1:31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1861</v>
      </c>
      <c r="AD1" s="1" t="s">
        <v>1862</v>
      </c>
      <c r="AE1" s="1" t="s">
        <v>1863</v>
      </c>
    </row>
    <row r="2" spans="1:31" x14ac:dyDescent="0.25">
      <c r="A2" s="3">
        <v>0.1</v>
      </c>
      <c r="B2" s="4">
        <v>38272</v>
      </c>
      <c r="C2" s="3" t="s">
        <v>28</v>
      </c>
      <c r="D2" s="3" t="s">
        <v>29</v>
      </c>
      <c r="E2" s="3">
        <v>4745</v>
      </c>
      <c r="F2" s="3"/>
      <c r="G2" s="3" t="s">
        <v>30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5">
        <v>102000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5">
        <v>102000</v>
      </c>
      <c r="X2" s="3">
        <v>0</v>
      </c>
      <c r="Y2" s="3">
        <v>0</v>
      </c>
      <c r="Z2" s="3">
        <v>0</v>
      </c>
      <c r="AA2" s="3">
        <v>0</v>
      </c>
      <c r="AB2" s="6">
        <v>204000</v>
      </c>
      <c r="AD2" s="2" t="str">
        <f>VLOOKUP(E2,'[1]Detailed Transfer Report (12)'!$K:$Y,14,FALSE)</f>
        <v>Sardar M Sagheer Khan</v>
      </c>
    </row>
    <row r="3" spans="1:31" x14ac:dyDescent="0.25">
      <c r="A3" s="7">
        <v>0.1</v>
      </c>
      <c r="B3" s="4">
        <v>38517</v>
      </c>
      <c r="C3" s="3" t="s">
        <v>31</v>
      </c>
      <c r="D3" s="3" t="s">
        <v>32</v>
      </c>
      <c r="E3" s="3">
        <v>6271</v>
      </c>
      <c r="F3" s="3"/>
      <c r="G3" s="3" t="s">
        <v>30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8">
        <v>0</v>
      </c>
      <c r="AD3" s="2" t="str">
        <f>VLOOKUP(E3,'[1]Detailed Transfer Report (12)'!$K:$Y,14,FALSE)</f>
        <v>Sardar M Sagheer Khan</v>
      </c>
      <c r="AE3" s="16"/>
    </row>
    <row r="4" spans="1:31" x14ac:dyDescent="0.25">
      <c r="A4" s="9">
        <v>0.1</v>
      </c>
      <c r="B4" s="4">
        <v>38517</v>
      </c>
      <c r="C4" s="3" t="s">
        <v>33</v>
      </c>
      <c r="D4" s="3" t="s">
        <v>34</v>
      </c>
      <c r="E4" s="3">
        <v>5346</v>
      </c>
      <c r="F4" s="3"/>
      <c r="G4" s="3" t="s">
        <v>30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5">
        <v>241862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6">
        <v>241862</v>
      </c>
      <c r="AD4" s="2" t="str">
        <f>VLOOKUP(E4,'[1]Detailed Transfer Report (12)'!$K:$Y,14,FALSE)</f>
        <v>Sardar M Sagheer Khan</v>
      </c>
      <c r="AE4" s="16"/>
    </row>
    <row r="5" spans="1:31" x14ac:dyDescent="0.25">
      <c r="A5" s="9">
        <v>0.1</v>
      </c>
      <c r="B5" s="4">
        <v>38517</v>
      </c>
      <c r="C5" s="3" t="s">
        <v>35</v>
      </c>
      <c r="D5" s="3" t="s">
        <v>36</v>
      </c>
      <c r="E5" s="3">
        <v>5347</v>
      </c>
      <c r="F5" s="3"/>
      <c r="G5" s="3" t="s">
        <v>30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5">
        <v>277050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6">
        <v>518912</v>
      </c>
      <c r="AD5" s="2" t="str">
        <f>VLOOKUP(E5,'[1]Detailed Transfer Report (12)'!$K:$Y,14,FALSE)</f>
        <v>Sardar M Sagheer Khan</v>
      </c>
      <c r="AE5" s="16"/>
    </row>
    <row r="6" spans="1:31" x14ac:dyDescent="0.25">
      <c r="A6" s="10">
        <v>0.1</v>
      </c>
      <c r="B6" s="4">
        <v>38517</v>
      </c>
      <c r="C6" s="3" t="s">
        <v>37</v>
      </c>
      <c r="D6" s="3" t="s">
        <v>38</v>
      </c>
      <c r="E6" s="3">
        <v>5352</v>
      </c>
      <c r="F6" s="3"/>
      <c r="G6" s="3" t="s">
        <v>30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6">
        <v>518912</v>
      </c>
      <c r="AD6" s="2" t="str">
        <f>VLOOKUP(E6,'[1]Detailed Transfer Report (12)'!$K:$Y,14,FALSE)</f>
        <v>Sardar M Sagheer Khan</v>
      </c>
      <c r="AE6" s="16"/>
    </row>
    <row r="7" spans="1:31" x14ac:dyDescent="0.25">
      <c r="A7" s="7">
        <v>0.11</v>
      </c>
      <c r="B7" s="4">
        <v>38552</v>
      </c>
      <c r="C7" s="3" t="s">
        <v>39</v>
      </c>
      <c r="D7" s="3" t="s">
        <v>40</v>
      </c>
      <c r="E7" s="3">
        <v>802</v>
      </c>
      <c r="F7" s="3"/>
      <c r="G7" s="3" t="s">
        <v>41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5">
        <v>90015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5">
        <v>47985</v>
      </c>
      <c r="X7" s="3">
        <v>0</v>
      </c>
      <c r="Y7" s="3">
        <v>0</v>
      </c>
      <c r="Z7" s="3">
        <v>0</v>
      </c>
      <c r="AA7" s="5">
        <v>30000</v>
      </c>
      <c r="AB7" s="6">
        <v>168000</v>
      </c>
      <c r="AD7" s="2" t="str">
        <f>VLOOKUP(E7,'[1]Detailed Transfer Report (12)'!$K:$Y,14,FALSE)</f>
        <v>Sardar M Shareef</v>
      </c>
      <c r="AE7" s="16"/>
    </row>
    <row r="8" spans="1:31" x14ac:dyDescent="0.25">
      <c r="A8" s="9">
        <v>0.11</v>
      </c>
      <c r="B8" s="4">
        <v>38552</v>
      </c>
      <c r="C8" s="3" t="s">
        <v>42</v>
      </c>
      <c r="D8" s="3" t="s">
        <v>43</v>
      </c>
      <c r="E8" s="3">
        <v>805</v>
      </c>
      <c r="F8" s="3"/>
      <c r="G8" s="3" t="s">
        <v>41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6">
        <v>168000</v>
      </c>
      <c r="AD8" s="2" t="str">
        <f>VLOOKUP(E8,'[1]Detailed Transfer Report (12)'!$K:$Y,14,FALSE)</f>
        <v>Sardar M Sagheer Khan</v>
      </c>
      <c r="AE8" s="16"/>
    </row>
    <row r="9" spans="1:31" x14ac:dyDescent="0.25">
      <c r="A9" s="9">
        <v>0.11</v>
      </c>
      <c r="B9" s="4">
        <v>38552</v>
      </c>
      <c r="C9" s="3" t="s">
        <v>44</v>
      </c>
      <c r="D9" s="3" t="s">
        <v>45</v>
      </c>
      <c r="E9" s="3">
        <v>1146</v>
      </c>
      <c r="F9" s="3"/>
      <c r="G9" s="3" t="s">
        <v>41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6">
        <v>168000</v>
      </c>
      <c r="AD9" s="2" t="str">
        <f>VLOOKUP(E9,'[1]Detailed Transfer Report (12)'!$K:$Y,14,FALSE)</f>
        <v>Sardar M Sagheer Khan</v>
      </c>
      <c r="AE9" s="16"/>
    </row>
    <row r="10" spans="1:31" x14ac:dyDescent="0.25">
      <c r="A10" s="9">
        <v>0.11</v>
      </c>
      <c r="B10" s="4">
        <v>38552</v>
      </c>
      <c r="C10" s="3" t="s">
        <v>46</v>
      </c>
      <c r="D10" s="3" t="s">
        <v>47</v>
      </c>
      <c r="E10" s="3">
        <v>5361</v>
      </c>
      <c r="F10" s="3"/>
      <c r="G10" s="3" t="s">
        <v>30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5">
        <v>12015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5">
        <v>25000</v>
      </c>
      <c r="X10" s="3">
        <v>0</v>
      </c>
      <c r="Y10" s="3">
        <v>0</v>
      </c>
      <c r="Z10" s="3">
        <v>0</v>
      </c>
      <c r="AA10" s="5">
        <v>3985</v>
      </c>
      <c r="AB10" s="6">
        <v>209000</v>
      </c>
      <c r="AD10" s="2" t="str">
        <f>VLOOKUP(E10,'[1]Detailed Transfer Report (12)'!$K:$Y,14,FALSE)</f>
        <v>Sardar M Sagheer Khan</v>
      </c>
      <c r="AE10" s="16"/>
    </row>
    <row r="11" spans="1:31" x14ac:dyDescent="0.25">
      <c r="A11" s="9">
        <v>0.11</v>
      </c>
      <c r="B11" s="4">
        <v>38552</v>
      </c>
      <c r="C11" s="3" t="s">
        <v>46</v>
      </c>
      <c r="D11" s="3" t="s">
        <v>48</v>
      </c>
      <c r="E11" s="3">
        <v>5366</v>
      </c>
      <c r="F11" s="3"/>
      <c r="G11" s="3" t="s">
        <v>30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5">
        <v>12015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5">
        <v>25000</v>
      </c>
      <c r="X11" s="3">
        <v>0</v>
      </c>
      <c r="Y11" s="3">
        <v>0</v>
      </c>
      <c r="Z11" s="3">
        <v>0</v>
      </c>
      <c r="AA11" s="5">
        <v>3985</v>
      </c>
      <c r="AB11" s="6">
        <v>250000</v>
      </c>
      <c r="AD11" s="2" t="str">
        <f>VLOOKUP(E11,'[1]Detailed Transfer Report (12)'!$K:$Y,14,FALSE)</f>
        <v>Sardar M Sagheer Khan</v>
      </c>
      <c r="AE11" s="16"/>
    </row>
    <row r="12" spans="1:31" x14ac:dyDescent="0.25">
      <c r="A12" s="9">
        <v>0.11</v>
      </c>
      <c r="B12" s="4">
        <v>38552</v>
      </c>
      <c r="C12" s="3" t="s">
        <v>46</v>
      </c>
      <c r="D12" s="3" t="s">
        <v>49</v>
      </c>
      <c r="E12" s="3">
        <v>10444</v>
      </c>
      <c r="F12" s="3"/>
      <c r="G12" s="3" t="s">
        <v>30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5">
        <v>12015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5">
        <v>20000</v>
      </c>
      <c r="X12" s="3">
        <v>0</v>
      </c>
      <c r="Y12" s="3">
        <v>0</v>
      </c>
      <c r="Z12" s="3">
        <v>0</v>
      </c>
      <c r="AA12" s="5">
        <v>3985</v>
      </c>
      <c r="AB12" s="6">
        <v>286000</v>
      </c>
      <c r="AD12" s="2" t="str">
        <f>VLOOKUP(E12,'[1]Detailed Transfer Report (12)'!$K:$Y,14,FALSE)</f>
        <v>Sardar M Sagheer Khan</v>
      </c>
      <c r="AE12" s="16"/>
    </row>
    <row r="13" spans="1:31" x14ac:dyDescent="0.25">
      <c r="A13" s="9">
        <v>0.11</v>
      </c>
      <c r="B13" s="4">
        <v>38552</v>
      </c>
      <c r="C13" s="3" t="s">
        <v>44</v>
      </c>
      <c r="D13" s="3" t="s">
        <v>50</v>
      </c>
      <c r="E13" s="3">
        <v>1166</v>
      </c>
      <c r="F13" s="3"/>
      <c r="G13" s="3" t="s">
        <v>41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6">
        <v>286000</v>
      </c>
      <c r="AD13" s="2" t="str">
        <f>VLOOKUP(E13,'[1]Detailed Transfer Report (12)'!$K:$Y,14,FALSE)</f>
        <v>Sardar Tanveer Ilyas</v>
      </c>
      <c r="AE13" s="16"/>
    </row>
    <row r="14" spans="1:31" x14ac:dyDescent="0.25">
      <c r="A14" s="10">
        <v>0.11</v>
      </c>
      <c r="B14" s="4">
        <v>38552</v>
      </c>
      <c r="C14" s="3" t="s">
        <v>51</v>
      </c>
      <c r="D14" s="3" t="s">
        <v>52</v>
      </c>
      <c r="E14" s="3">
        <v>806</v>
      </c>
      <c r="F14" s="3"/>
      <c r="G14" s="3" t="s">
        <v>41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6">
        <v>286000</v>
      </c>
      <c r="AD14" s="2" t="str">
        <f>VLOOKUP(E14,'[1]Detailed Transfer Report (12)'!$K:$Y,14,FALSE)</f>
        <v>Sardar M Sagheer Khan</v>
      </c>
      <c r="AE14" s="16"/>
    </row>
    <row r="15" spans="1:31" x14ac:dyDescent="0.25">
      <c r="A15" s="7">
        <v>0.12</v>
      </c>
      <c r="B15" s="4">
        <v>38709</v>
      </c>
      <c r="C15" s="3" t="s">
        <v>53</v>
      </c>
      <c r="D15" s="3" t="s">
        <v>54</v>
      </c>
      <c r="E15" s="3">
        <v>5504</v>
      </c>
      <c r="F15" s="3"/>
      <c r="G15" s="3" t="s">
        <v>30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5">
        <v>249100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5">
        <v>246270</v>
      </c>
      <c r="X15" s="3">
        <v>0</v>
      </c>
      <c r="Y15" s="3">
        <v>0</v>
      </c>
      <c r="Z15" s="3">
        <v>0</v>
      </c>
      <c r="AA15" s="3">
        <v>0</v>
      </c>
      <c r="AB15" s="6">
        <v>495370</v>
      </c>
      <c r="AD15" s="2" t="str">
        <f>VLOOKUP(E15,'[1]Detailed Transfer Report (12)'!$K:$Y,14,FALSE)</f>
        <v>Sardar M Sagheer Khan</v>
      </c>
      <c r="AE15" s="16"/>
    </row>
    <row r="16" spans="1:31" x14ac:dyDescent="0.25">
      <c r="A16" s="9">
        <v>0.12</v>
      </c>
      <c r="B16" s="4">
        <v>38709</v>
      </c>
      <c r="C16" s="3" t="s">
        <v>55</v>
      </c>
      <c r="D16" s="3" t="s">
        <v>56</v>
      </c>
      <c r="E16" s="3">
        <v>827</v>
      </c>
      <c r="F16" s="3"/>
      <c r="G16" s="3" t="s">
        <v>41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5">
        <v>34815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5">
        <v>12000</v>
      </c>
      <c r="X16" s="3">
        <v>0</v>
      </c>
      <c r="Y16" s="3">
        <v>0</v>
      </c>
      <c r="Z16" s="3">
        <v>0</v>
      </c>
      <c r="AA16" s="5">
        <v>11600</v>
      </c>
      <c r="AB16" s="6">
        <v>553785</v>
      </c>
      <c r="AD16" s="2" t="str">
        <f>VLOOKUP(E16,'[1]Detailed Transfer Report (12)'!$K:$Y,14,FALSE)</f>
        <v>Sardar M Sagheer Khan</v>
      </c>
      <c r="AE16" s="16"/>
    </row>
    <row r="17" spans="1:31" x14ac:dyDescent="0.25">
      <c r="A17" s="9">
        <v>0.12</v>
      </c>
      <c r="B17" s="4">
        <v>38709</v>
      </c>
      <c r="C17" s="3" t="s">
        <v>57</v>
      </c>
      <c r="D17" s="3" t="s">
        <v>58</v>
      </c>
      <c r="E17" s="3">
        <v>829</v>
      </c>
      <c r="F17" s="3"/>
      <c r="G17" s="3" t="s">
        <v>41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5">
        <v>105015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5">
        <v>38985</v>
      </c>
      <c r="X17" s="3">
        <v>0</v>
      </c>
      <c r="Y17" s="3">
        <v>0</v>
      </c>
      <c r="Z17" s="3">
        <v>0</v>
      </c>
      <c r="AA17" s="5">
        <v>36000</v>
      </c>
      <c r="AB17" s="6">
        <v>733785</v>
      </c>
      <c r="AD17" s="2" t="str">
        <f>VLOOKUP(E17,'[1]Detailed Transfer Report (12)'!$K:$Y,14,FALSE)</f>
        <v>Sardar M Sagheer Khan</v>
      </c>
      <c r="AE17" s="16"/>
    </row>
    <row r="18" spans="1:31" x14ac:dyDescent="0.25">
      <c r="A18" s="9">
        <v>0.12</v>
      </c>
      <c r="B18" s="4">
        <v>38709</v>
      </c>
      <c r="C18" s="3" t="s">
        <v>59</v>
      </c>
      <c r="D18" s="3" t="s">
        <v>60</v>
      </c>
      <c r="E18" s="3">
        <v>830</v>
      </c>
      <c r="F18" s="3"/>
      <c r="G18" s="3" t="s">
        <v>41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5">
        <v>12015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5">
        <v>12000</v>
      </c>
      <c r="X18" s="3">
        <v>0</v>
      </c>
      <c r="Y18" s="3">
        <v>0</v>
      </c>
      <c r="Z18" s="3">
        <v>0</v>
      </c>
      <c r="AA18" s="5">
        <v>4000</v>
      </c>
      <c r="AB18" s="6">
        <v>761800</v>
      </c>
      <c r="AD18" s="2" t="str">
        <f>VLOOKUP(E18,'[1]Detailed Transfer Report (12)'!$K:$Y,14,FALSE)</f>
        <v>Sardar M Sagheer Khan</v>
      </c>
      <c r="AE18" s="16"/>
    </row>
    <row r="19" spans="1:31" x14ac:dyDescent="0.25">
      <c r="A19" s="9">
        <v>0.12</v>
      </c>
      <c r="B19" s="4">
        <v>38709</v>
      </c>
      <c r="C19" s="3" t="s">
        <v>61</v>
      </c>
      <c r="D19" s="3" t="s">
        <v>62</v>
      </c>
      <c r="E19" s="3">
        <v>1109</v>
      </c>
      <c r="F19" s="3"/>
      <c r="G19" s="3" t="s">
        <v>41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6">
        <v>761800</v>
      </c>
      <c r="AD19" s="2" t="str">
        <f>VLOOKUP(E19,'[1]Detailed Transfer Report (12)'!$K:$Y,14,FALSE)</f>
        <v>Sardar M Sagheer Khan</v>
      </c>
      <c r="AE19" s="16"/>
    </row>
    <row r="20" spans="1:31" x14ac:dyDescent="0.25">
      <c r="A20" s="9">
        <v>0.12</v>
      </c>
      <c r="B20" s="4">
        <v>38709</v>
      </c>
      <c r="C20" s="3" t="s">
        <v>46</v>
      </c>
      <c r="D20" s="3" t="s">
        <v>63</v>
      </c>
      <c r="E20" s="3">
        <v>1092</v>
      </c>
      <c r="F20" s="3"/>
      <c r="G20" s="3" t="s">
        <v>41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6">
        <v>761800</v>
      </c>
      <c r="AD20" s="2" t="str">
        <f>VLOOKUP(E20,'[1]Detailed Transfer Report (12)'!$K:$Y,14,FALSE)</f>
        <v>Sardar M Sagheer Khan</v>
      </c>
      <c r="AE20" s="16"/>
    </row>
    <row r="21" spans="1:31" x14ac:dyDescent="0.25">
      <c r="A21" s="9">
        <v>0.12</v>
      </c>
      <c r="B21" s="4">
        <v>38709</v>
      </c>
      <c r="C21" s="3" t="s">
        <v>64</v>
      </c>
      <c r="D21" s="3" t="s">
        <v>65</v>
      </c>
      <c r="E21" s="3">
        <v>9412</v>
      </c>
      <c r="F21" s="3"/>
      <c r="G21" s="3" t="s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5">
        <v>36017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5">
        <v>23570</v>
      </c>
      <c r="X21" s="3">
        <v>0</v>
      </c>
      <c r="Y21" s="3">
        <v>0</v>
      </c>
      <c r="Z21" s="3">
        <v>0</v>
      </c>
      <c r="AA21" s="3">
        <v>0</v>
      </c>
      <c r="AB21" s="6">
        <v>821387</v>
      </c>
      <c r="AD21" s="2" t="str">
        <f>VLOOKUP(E21,'[1]Detailed Transfer Report (12)'!$K:$Y,14,FALSE)</f>
        <v>Sardar Tanveer Ilyas</v>
      </c>
      <c r="AE21" s="16"/>
    </row>
    <row r="22" spans="1:31" x14ac:dyDescent="0.25">
      <c r="A22" s="9">
        <v>0.12</v>
      </c>
      <c r="B22" s="4">
        <v>38709</v>
      </c>
      <c r="C22" s="3" t="s">
        <v>66</v>
      </c>
      <c r="D22" s="3" t="s">
        <v>67</v>
      </c>
      <c r="E22" s="3">
        <v>9855</v>
      </c>
      <c r="F22" s="3"/>
      <c r="G22" s="3" t="s">
        <v>30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6">
        <v>821387</v>
      </c>
      <c r="AD22" s="2" t="str">
        <f>VLOOKUP(E22,'[1]Detailed Transfer Report (12)'!$K:$Y,14,FALSE)</f>
        <v>Sardar Tanveer Ilyas</v>
      </c>
      <c r="AE22" s="16"/>
    </row>
    <row r="23" spans="1:31" x14ac:dyDescent="0.25">
      <c r="A23" s="9">
        <v>0.12</v>
      </c>
      <c r="B23" s="4">
        <v>38709</v>
      </c>
      <c r="C23" s="3" t="s">
        <v>68</v>
      </c>
      <c r="D23" s="3" t="s">
        <v>69</v>
      </c>
      <c r="E23" s="3">
        <v>5649</v>
      </c>
      <c r="F23" s="3"/>
      <c r="G23" s="3" t="s">
        <v>30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6">
        <v>821387</v>
      </c>
      <c r="AD23" s="2" t="str">
        <f>VLOOKUP(E23,'[1]Detailed Transfer Report (12)'!$K:$Y,14,FALSE)</f>
        <v>Sardar M Sagheer Khan</v>
      </c>
      <c r="AE23" s="16"/>
    </row>
    <row r="24" spans="1:31" x14ac:dyDescent="0.25">
      <c r="A24" s="9">
        <v>0.12</v>
      </c>
      <c r="B24" s="4">
        <v>38709</v>
      </c>
      <c r="C24" s="3" t="s">
        <v>70</v>
      </c>
      <c r="D24" s="3" t="s">
        <v>71</v>
      </c>
      <c r="E24" s="3">
        <v>5802</v>
      </c>
      <c r="F24" s="3"/>
      <c r="G24" s="3" t="s">
        <v>30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6">
        <v>821387</v>
      </c>
      <c r="AD24" s="2" t="str">
        <f>VLOOKUP(E24,'[1]Detailed Transfer Report (12)'!$K:$Y,14,FALSE)</f>
        <v>Sardar Rashid Ilyas Khan</v>
      </c>
      <c r="AE24" s="16"/>
    </row>
    <row r="25" spans="1:31" x14ac:dyDescent="0.25">
      <c r="A25" s="9">
        <v>0.12</v>
      </c>
      <c r="B25" s="4">
        <v>38709</v>
      </c>
      <c r="C25" s="3" t="s">
        <v>72</v>
      </c>
      <c r="D25" s="3" t="s">
        <v>73</v>
      </c>
      <c r="E25" s="3">
        <v>5807</v>
      </c>
      <c r="F25" s="3"/>
      <c r="G25" s="3" t="s">
        <v>30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5">
        <v>36017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5">
        <v>14396</v>
      </c>
      <c r="AB25" s="6">
        <v>871800</v>
      </c>
      <c r="AD25" s="2" t="str">
        <f>VLOOKUP(E25,'[1]Detailed Transfer Report (12)'!$K:$Y,14,FALSE)</f>
        <v>Sardar Rashid Ilyas Khan</v>
      </c>
      <c r="AE25" s="16"/>
    </row>
    <row r="26" spans="1:31" x14ac:dyDescent="0.25">
      <c r="A26" s="9">
        <v>0.12</v>
      </c>
      <c r="B26" s="4">
        <v>38709</v>
      </c>
      <c r="C26" s="3" t="s">
        <v>74</v>
      </c>
      <c r="D26" s="3" t="s">
        <v>75</v>
      </c>
      <c r="E26" s="3">
        <v>7048</v>
      </c>
      <c r="F26" s="3"/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6">
        <v>871800</v>
      </c>
      <c r="AD26" s="2" t="str">
        <f>VLOOKUP(E26,'[1]Detailed Transfer Report (12)'!$K:$Y,14,FALSE)</f>
        <v>Sardar Rashid Ilyas Khan</v>
      </c>
      <c r="AE26" s="16"/>
    </row>
    <row r="27" spans="1:31" x14ac:dyDescent="0.25">
      <c r="A27" s="9">
        <v>0.12</v>
      </c>
      <c r="B27" s="4">
        <v>38709</v>
      </c>
      <c r="C27" s="3" t="s">
        <v>76</v>
      </c>
      <c r="D27" s="3" t="s">
        <v>77</v>
      </c>
      <c r="E27" s="3">
        <v>7457</v>
      </c>
      <c r="F27" s="3"/>
      <c r="G27" s="3" t="s">
        <v>30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6">
        <v>871800</v>
      </c>
      <c r="AD27" s="2" t="str">
        <f>VLOOKUP(E27,'[1]Detailed Transfer Report (12)'!$K:$Y,14,FALSE)</f>
        <v>Sardar Rashid Ilyas Khan</v>
      </c>
      <c r="AE27" s="16"/>
    </row>
    <row r="28" spans="1:31" x14ac:dyDescent="0.25">
      <c r="A28" s="9">
        <v>0.12</v>
      </c>
      <c r="B28" s="4">
        <v>38709</v>
      </c>
      <c r="C28" s="3" t="s">
        <v>78</v>
      </c>
      <c r="D28" s="3" t="s">
        <v>79</v>
      </c>
      <c r="E28" s="3">
        <v>10390</v>
      </c>
      <c r="F28" s="3"/>
      <c r="G28" s="3" t="s">
        <v>30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6">
        <v>871800</v>
      </c>
      <c r="AD28" s="2" t="str">
        <f>VLOOKUP(E28,'[1]Detailed Transfer Report (12)'!$K:$Y,14,FALSE)</f>
        <v>Sardar Rashid Ilyas Khan</v>
      </c>
      <c r="AE28" s="16"/>
    </row>
    <row r="29" spans="1:31" x14ac:dyDescent="0.25">
      <c r="A29" s="9">
        <v>0.12</v>
      </c>
      <c r="B29" s="4">
        <v>38709</v>
      </c>
      <c r="C29" s="3" t="s">
        <v>78</v>
      </c>
      <c r="D29" s="3" t="s">
        <v>71</v>
      </c>
      <c r="E29" s="3">
        <v>5804</v>
      </c>
      <c r="F29" s="3"/>
      <c r="G29" s="3" t="s">
        <v>30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6">
        <v>871800</v>
      </c>
      <c r="AD29" s="2" t="str">
        <f>VLOOKUP(E29,'[1]Detailed Transfer Report (12)'!$K:$Y,14,FALSE)</f>
        <v>Sardar Rashid Ilyas Khan</v>
      </c>
      <c r="AE29" s="16"/>
    </row>
    <row r="30" spans="1:31" x14ac:dyDescent="0.25">
      <c r="A30" s="9">
        <v>0.12</v>
      </c>
      <c r="B30" s="4">
        <v>38709</v>
      </c>
      <c r="C30" s="3" t="s">
        <v>80</v>
      </c>
      <c r="D30" s="3" t="s">
        <v>71</v>
      </c>
      <c r="E30" s="3">
        <v>5805</v>
      </c>
      <c r="F30" s="3"/>
      <c r="G30" s="3" t="s">
        <v>30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6">
        <v>871800</v>
      </c>
      <c r="AD30" s="2" t="str">
        <f>VLOOKUP(E30,'[1]Detailed Transfer Report (12)'!$K:$Y,14,FALSE)</f>
        <v>Sardar Rashid Ilyas Khan</v>
      </c>
      <c r="AE30" s="16"/>
    </row>
    <row r="31" spans="1:31" x14ac:dyDescent="0.25">
      <c r="A31" s="10">
        <v>0.12</v>
      </c>
      <c r="B31" s="4">
        <v>38709</v>
      </c>
      <c r="C31" s="3" t="s">
        <v>81</v>
      </c>
      <c r="D31" s="3" t="s">
        <v>71</v>
      </c>
      <c r="E31" s="3">
        <v>5832</v>
      </c>
      <c r="F31" s="3"/>
      <c r="G31" s="3" t="s">
        <v>30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6">
        <v>871800</v>
      </c>
      <c r="AD31" s="2" t="str">
        <f>VLOOKUP(E31,'[1]Detailed Transfer Report (12)'!$K:$Y,14,FALSE)</f>
        <v>Sardar Rashid Ilyas Khan</v>
      </c>
      <c r="AE31" s="16"/>
    </row>
    <row r="32" spans="1:31" x14ac:dyDescent="0.25">
      <c r="A32" s="7">
        <v>0.13</v>
      </c>
      <c r="B32" s="4">
        <v>38726</v>
      </c>
      <c r="C32" s="3" t="s">
        <v>82</v>
      </c>
      <c r="D32" s="3" t="s">
        <v>83</v>
      </c>
      <c r="E32" s="3">
        <v>5727</v>
      </c>
      <c r="F32" s="3"/>
      <c r="G32" s="3" t="s">
        <v>30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5">
        <v>185000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6">
        <v>185000</v>
      </c>
      <c r="AD32" s="2" t="str">
        <f>VLOOKUP(E32,'[1]Detailed Transfer Report (12)'!$K:$Y,14,FALSE)</f>
        <v>Sardar Rashid Ilyas Khan</v>
      </c>
      <c r="AE32" s="16"/>
    </row>
    <row r="33" spans="1:31" x14ac:dyDescent="0.25">
      <c r="A33" s="10">
        <v>0.13</v>
      </c>
      <c r="B33" s="4">
        <v>38726</v>
      </c>
      <c r="C33" s="3" t="s">
        <v>84</v>
      </c>
      <c r="D33" s="3" t="s">
        <v>85</v>
      </c>
      <c r="E33" s="3">
        <v>1178</v>
      </c>
      <c r="F33" s="3"/>
      <c r="G33" s="3" t="s">
        <v>41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6">
        <v>185000</v>
      </c>
      <c r="AD33" s="2" t="str">
        <f>VLOOKUP(E33,'[1]Detailed Transfer Report (12)'!$K:$Y,14,FALSE)</f>
        <v>Sardar Tanveer Ilyas</v>
      </c>
      <c r="AE33" s="16"/>
    </row>
    <row r="34" spans="1:31" x14ac:dyDescent="0.25">
      <c r="A34" s="7">
        <v>0.14000000000000001</v>
      </c>
      <c r="B34" s="4">
        <v>38857</v>
      </c>
      <c r="C34" s="3" t="s">
        <v>86</v>
      </c>
      <c r="D34" s="3" t="s">
        <v>87</v>
      </c>
      <c r="E34" s="3">
        <v>6844</v>
      </c>
      <c r="F34" s="3"/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8">
        <v>0</v>
      </c>
      <c r="AD34" s="2" t="str">
        <f>VLOOKUP(E34,'[1]Detailed Transfer Report (12)'!$K:$Y,14,FALSE)</f>
        <v>Sardar M Shareef</v>
      </c>
      <c r="AE34" s="16"/>
    </row>
    <row r="35" spans="1:31" x14ac:dyDescent="0.25">
      <c r="A35" s="9">
        <v>0.14000000000000001</v>
      </c>
      <c r="B35" s="4">
        <v>38857</v>
      </c>
      <c r="C35" s="3" t="s">
        <v>88</v>
      </c>
      <c r="D35" s="3" t="s">
        <v>89</v>
      </c>
      <c r="E35" s="3">
        <v>5852</v>
      </c>
      <c r="F35" s="3"/>
      <c r="G35" s="3" t="s">
        <v>30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8">
        <v>0</v>
      </c>
      <c r="AD35" s="2" t="str">
        <f>VLOOKUP(E35,'[1]Detailed Transfer Report (12)'!$K:$Y,14,FALSE)</f>
        <v>Sardar M Shareef</v>
      </c>
      <c r="AE35" s="16"/>
    </row>
    <row r="36" spans="1:31" x14ac:dyDescent="0.25">
      <c r="A36" s="9">
        <v>0.14000000000000001</v>
      </c>
      <c r="B36" s="4">
        <v>38857</v>
      </c>
      <c r="C36" s="3" t="s">
        <v>90</v>
      </c>
      <c r="D36" s="3" t="s">
        <v>91</v>
      </c>
      <c r="E36" s="3">
        <v>5884</v>
      </c>
      <c r="F36" s="3"/>
      <c r="G36" s="3" t="s">
        <v>30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8">
        <v>0</v>
      </c>
      <c r="AD36" s="2" t="str">
        <f>VLOOKUP(E36,'[1]Detailed Transfer Report (12)'!$K:$Y,14,FALSE)</f>
        <v>Sardar M Shareef</v>
      </c>
      <c r="AE36" s="16"/>
    </row>
    <row r="37" spans="1:31" x14ac:dyDescent="0.25">
      <c r="A37" s="9">
        <v>0.14000000000000001</v>
      </c>
      <c r="B37" s="4">
        <v>38857</v>
      </c>
      <c r="C37" s="3" t="s">
        <v>92</v>
      </c>
      <c r="D37" s="3" t="s">
        <v>93</v>
      </c>
      <c r="E37" s="3">
        <v>6019</v>
      </c>
      <c r="F37" s="3"/>
      <c r="G37" s="3" t="s">
        <v>30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8">
        <v>0</v>
      </c>
      <c r="AD37" s="2" t="str">
        <f>VLOOKUP(E37,'[1]Detailed Transfer Report (12)'!$K:$Y,14,FALSE)</f>
        <v>Sardar M Shareef</v>
      </c>
      <c r="AE37" s="16"/>
    </row>
    <row r="38" spans="1:31" x14ac:dyDescent="0.25">
      <c r="A38" s="9">
        <v>0.14000000000000001</v>
      </c>
      <c r="B38" s="4">
        <v>38857</v>
      </c>
      <c r="C38" s="3" t="s">
        <v>94</v>
      </c>
      <c r="D38" s="3" t="s">
        <v>95</v>
      </c>
      <c r="E38" s="3">
        <v>6036</v>
      </c>
      <c r="F38" s="3"/>
      <c r="G38" s="3" t="s">
        <v>30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5">
        <v>779000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6">
        <v>779000</v>
      </c>
      <c r="AD38" s="2" t="str">
        <f>VLOOKUP(E38,'[1]Detailed Transfer Report (12)'!$K:$Y,14,FALSE)</f>
        <v>Sardar M Shareef</v>
      </c>
      <c r="AE38" s="16"/>
    </row>
    <row r="39" spans="1:31" x14ac:dyDescent="0.25">
      <c r="A39" s="9">
        <v>0.14000000000000001</v>
      </c>
      <c r="B39" s="4">
        <v>38857</v>
      </c>
      <c r="C39" s="3" t="s">
        <v>96</v>
      </c>
      <c r="D39" s="3" t="s">
        <v>97</v>
      </c>
      <c r="E39" s="3" t="s">
        <v>98</v>
      </c>
      <c r="F39" s="3"/>
      <c r="G39" s="3" t="s">
        <v>30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6">
        <v>779000</v>
      </c>
      <c r="AD39" s="2" t="str">
        <f>VLOOKUP(E39,'[1]Detailed Transfer Report (12)'!$K:$Y,14,FALSE)</f>
        <v>Sardar M Shareef</v>
      </c>
      <c r="AE39" s="16"/>
    </row>
    <row r="40" spans="1:31" x14ac:dyDescent="0.25">
      <c r="A40" s="9">
        <v>0.14000000000000001</v>
      </c>
      <c r="B40" s="4">
        <v>38857</v>
      </c>
      <c r="C40" s="3" t="s">
        <v>99</v>
      </c>
      <c r="D40" s="3" t="s">
        <v>93</v>
      </c>
      <c r="E40" s="3">
        <v>6020</v>
      </c>
      <c r="F40" s="3"/>
      <c r="G40" s="3" t="s">
        <v>30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6">
        <v>779000</v>
      </c>
      <c r="AD40" s="2" t="str">
        <f>VLOOKUP(E40,'[1]Detailed Transfer Report (12)'!$K:$Y,14,FALSE)</f>
        <v>Sardar M Shareef</v>
      </c>
      <c r="AE40" s="16"/>
    </row>
    <row r="41" spans="1:31" x14ac:dyDescent="0.25">
      <c r="A41" s="9">
        <v>0.14000000000000001</v>
      </c>
      <c r="B41" s="4">
        <v>38863</v>
      </c>
      <c r="C41" s="3" t="s">
        <v>100</v>
      </c>
      <c r="D41" s="3" t="s">
        <v>93</v>
      </c>
      <c r="E41" s="3">
        <v>6845</v>
      </c>
      <c r="F41" s="3"/>
      <c r="G41" s="3" t="s">
        <v>30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6">
        <v>779000</v>
      </c>
      <c r="AD41" s="2" t="str">
        <f>VLOOKUP(E41,'[1]Detailed Transfer Report (12)'!$K:$Y,14,FALSE)</f>
        <v>Sardar M Shareef</v>
      </c>
      <c r="AE41" s="16"/>
    </row>
    <row r="42" spans="1:31" x14ac:dyDescent="0.25">
      <c r="A42" s="10">
        <v>0.14000000000000001</v>
      </c>
      <c r="B42" s="4">
        <v>38863</v>
      </c>
      <c r="C42" s="3" t="s">
        <v>101</v>
      </c>
      <c r="D42" s="3" t="s">
        <v>93</v>
      </c>
      <c r="E42" s="3">
        <v>6846</v>
      </c>
      <c r="F42" s="3"/>
      <c r="G42" s="3" t="s">
        <v>30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6">
        <v>779000</v>
      </c>
      <c r="AD42" s="2" t="str">
        <f>VLOOKUP(E42,'[1]Detailed Transfer Report (12)'!$K:$Y,14,FALSE)</f>
        <v>Sardar M Shareef</v>
      </c>
      <c r="AE42" s="16"/>
    </row>
    <row r="43" spans="1:31" x14ac:dyDescent="0.25">
      <c r="A43" s="7">
        <v>0.15</v>
      </c>
      <c r="B43" s="4">
        <v>38863</v>
      </c>
      <c r="C43" s="3" t="s">
        <v>102</v>
      </c>
      <c r="D43" s="3" t="s">
        <v>103</v>
      </c>
      <c r="E43" s="3">
        <v>6439</v>
      </c>
      <c r="F43" s="3"/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5">
        <v>90200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5">
        <v>96000</v>
      </c>
      <c r="X43" s="3">
        <v>0</v>
      </c>
      <c r="Y43" s="3">
        <v>0</v>
      </c>
      <c r="Z43" s="3">
        <v>0</v>
      </c>
      <c r="AA43" s="3">
        <v>0</v>
      </c>
      <c r="AB43" s="6">
        <v>186200</v>
      </c>
      <c r="AD43" s="2" t="str">
        <f>VLOOKUP(E43,'[1]Detailed Transfer Report (12)'!$K:$Y,14,FALSE)</f>
        <v>Sardar M Shareef</v>
      </c>
      <c r="AE43" s="16"/>
    </row>
    <row r="44" spans="1:31" x14ac:dyDescent="0.25">
      <c r="A44" s="9">
        <v>0.15</v>
      </c>
      <c r="B44" s="4">
        <v>38863</v>
      </c>
      <c r="C44" s="3" t="s">
        <v>104</v>
      </c>
      <c r="D44" s="3" t="s">
        <v>105</v>
      </c>
      <c r="E44" s="3">
        <v>859</v>
      </c>
      <c r="F44" s="3"/>
      <c r="G44" s="3" t="s">
        <v>41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5">
        <v>72500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6">
        <v>258700</v>
      </c>
      <c r="AD44" s="2" t="str">
        <f>VLOOKUP(E44,'[1]Detailed Transfer Report (12)'!$K:$Y,14,FALSE)</f>
        <v>Sardar M Sagheer Khan</v>
      </c>
      <c r="AE44" s="16"/>
    </row>
    <row r="45" spans="1:31" x14ac:dyDescent="0.25">
      <c r="A45" s="9">
        <v>0.15</v>
      </c>
      <c r="B45" s="4">
        <v>38863</v>
      </c>
      <c r="C45" s="3" t="s">
        <v>106</v>
      </c>
      <c r="D45" s="3" t="s">
        <v>107</v>
      </c>
      <c r="E45" s="3">
        <v>860</v>
      </c>
      <c r="F45" s="3"/>
      <c r="G45" s="3" t="s">
        <v>41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6">
        <v>258700</v>
      </c>
      <c r="AD45" s="2" t="str">
        <f>VLOOKUP(E45,'[1]Detailed Transfer Report (12)'!$K:$Y,14,FALSE)</f>
        <v>Sardar M Sagheer Khan</v>
      </c>
      <c r="AE45" s="16"/>
    </row>
    <row r="46" spans="1:31" x14ac:dyDescent="0.25">
      <c r="A46" s="9">
        <v>0.15</v>
      </c>
      <c r="B46" s="4">
        <v>38863</v>
      </c>
      <c r="C46" s="3" t="s">
        <v>108</v>
      </c>
      <c r="D46" s="3" t="s">
        <v>109</v>
      </c>
      <c r="E46" s="3">
        <v>861</v>
      </c>
      <c r="F46" s="3"/>
      <c r="G46" s="3" t="s">
        <v>41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6">
        <v>258700</v>
      </c>
      <c r="AD46" s="2" t="str">
        <f>VLOOKUP(E46,'[1]Detailed Transfer Report (12)'!$K:$Y,14,FALSE)</f>
        <v>Sardar M Sagheer Khan</v>
      </c>
      <c r="AE46" s="16"/>
    </row>
    <row r="47" spans="1:31" x14ac:dyDescent="0.25">
      <c r="A47" s="9">
        <v>0.15</v>
      </c>
      <c r="B47" s="4">
        <v>38863</v>
      </c>
      <c r="C47" s="3" t="s">
        <v>110</v>
      </c>
      <c r="D47" s="3" t="s">
        <v>111</v>
      </c>
      <c r="E47" s="3">
        <v>862</v>
      </c>
      <c r="F47" s="3"/>
      <c r="G47" s="3" t="s">
        <v>41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6">
        <v>258700</v>
      </c>
      <c r="AD47" s="2" t="str">
        <f>VLOOKUP(E47,'[1]Detailed Transfer Report (12)'!$K:$Y,14,FALSE)</f>
        <v>Sardar M Sagheer Khan</v>
      </c>
      <c r="AE47" s="16"/>
    </row>
    <row r="48" spans="1:31" x14ac:dyDescent="0.25">
      <c r="A48" s="9">
        <v>0.15</v>
      </c>
      <c r="B48" s="4">
        <v>38863</v>
      </c>
      <c r="C48" s="3" t="s">
        <v>112</v>
      </c>
      <c r="D48" s="3" t="s">
        <v>113</v>
      </c>
      <c r="E48" s="3">
        <v>864</v>
      </c>
      <c r="F48" s="3"/>
      <c r="G48" s="3" t="s">
        <v>41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6">
        <v>258700</v>
      </c>
      <c r="AD48" s="2" t="str">
        <f>VLOOKUP(E48,'[1]Detailed Transfer Report (12)'!$K:$Y,14,FALSE)</f>
        <v>Sardar M Sagheer Khan</v>
      </c>
      <c r="AE48" s="16"/>
    </row>
    <row r="49" spans="1:31" x14ac:dyDescent="0.25">
      <c r="A49" s="9">
        <v>0.15</v>
      </c>
      <c r="B49" s="4">
        <v>38863</v>
      </c>
      <c r="C49" s="3" t="s">
        <v>114</v>
      </c>
      <c r="D49" s="3" t="s">
        <v>115</v>
      </c>
      <c r="E49" s="3">
        <v>867</v>
      </c>
      <c r="F49" s="3"/>
      <c r="G49" s="3" t="s">
        <v>41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6">
        <v>258700</v>
      </c>
      <c r="AD49" s="2" t="str">
        <f>VLOOKUP(E49,'[1]Detailed Transfer Report (12)'!$K:$Y,14,FALSE)</f>
        <v>Sardar M Sagheer Khan</v>
      </c>
      <c r="AE49" s="16"/>
    </row>
    <row r="50" spans="1:31" x14ac:dyDescent="0.25">
      <c r="A50" s="9">
        <v>0.15</v>
      </c>
      <c r="B50" s="4">
        <v>38863</v>
      </c>
      <c r="C50" s="3" t="s">
        <v>116</v>
      </c>
      <c r="D50" s="3" t="s">
        <v>117</v>
      </c>
      <c r="E50" s="3">
        <v>868</v>
      </c>
      <c r="F50" s="3"/>
      <c r="G50" s="3" t="s">
        <v>41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6">
        <v>258700</v>
      </c>
      <c r="AD50" s="2" t="str">
        <f>VLOOKUP(E50,'[1]Detailed Transfer Report (12)'!$K:$Y,14,FALSE)</f>
        <v>Sardar M Sagheer Khan</v>
      </c>
      <c r="AE50" s="16"/>
    </row>
    <row r="51" spans="1:31" x14ac:dyDescent="0.25">
      <c r="A51" s="9">
        <v>0.15</v>
      </c>
      <c r="B51" s="4">
        <v>38863</v>
      </c>
      <c r="C51" s="3" t="s">
        <v>118</v>
      </c>
      <c r="D51" s="3" t="s">
        <v>119</v>
      </c>
      <c r="E51" s="3">
        <v>6248</v>
      </c>
      <c r="F51" s="3"/>
      <c r="G51" s="3" t="s">
        <v>30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5">
        <v>60000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6">
        <v>318700</v>
      </c>
      <c r="AD51" s="2" t="str">
        <f>VLOOKUP(E51,'[1]Detailed Transfer Report (12)'!$K:$Y,14,FALSE)</f>
        <v>Sardar M Sagheer Khan</v>
      </c>
      <c r="AE51" s="16"/>
    </row>
    <row r="52" spans="1:31" x14ac:dyDescent="0.25">
      <c r="A52" s="9">
        <v>0.15</v>
      </c>
      <c r="B52" s="4">
        <v>38863</v>
      </c>
      <c r="C52" s="3" t="s">
        <v>120</v>
      </c>
      <c r="D52" s="3" t="s">
        <v>121</v>
      </c>
      <c r="E52" s="3">
        <v>6250</v>
      </c>
      <c r="F52" s="3"/>
      <c r="G52" s="3" t="s">
        <v>30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5">
        <v>36000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6">
        <v>354700</v>
      </c>
      <c r="AD52" s="2" t="str">
        <f>VLOOKUP(E52,'[1]Detailed Transfer Report (12)'!$K:$Y,14,FALSE)</f>
        <v>Sardar M Sagheer Khan</v>
      </c>
      <c r="AE52" s="16"/>
    </row>
    <row r="53" spans="1:31" x14ac:dyDescent="0.25">
      <c r="A53" s="9">
        <v>0.15</v>
      </c>
      <c r="B53" s="4">
        <v>38863</v>
      </c>
      <c r="C53" s="3" t="s">
        <v>122</v>
      </c>
      <c r="D53" s="3" t="s">
        <v>123</v>
      </c>
      <c r="E53" s="3">
        <v>6312</v>
      </c>
      <c r="F53" s="3"/>
      <c r="G53" s="3" t="s">
        <v>30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6">
        <v>354700</v>
      </c>
      <c r="AD53" s="2" t="str">
        <f>VLOOKUP(E53,'[1]Detailed Transfer Report (12)'!$K:$Y,14,FALSE)</f>
        <v>Sardar M Sagheer Khan</v>
      </c>
      <c r="AE53" s="16"/>
    </row>
    <row r="54" spans="1:31" x14ac:dyDescent="0.25">
      <c r="A54" s="9">
        <v>0.15</v>
      </c>
      <c r="B54" s="4">
        <v>38863</v>
      </c>
      <c r="C54" s="3" t="s">
        <v>68</v>
      </c>
      <c r="D54" s="3" t="s">
        <v>124</v>
      </c>
      <c r="E54" s="3">
        <v>6335</v>
      </c>
      <c r="F54" s="3"/>
      <c r="G54" s="3" t="s">
        <v>30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6">
        <v>354700</v>
      </c>
      <c r="AD54" s="2" t="str">
        <f>VLOOKUP(E54,'[1]Detailed Transfer Report (12)'!$K:$Y,14,FALSE)</f>
        <v>Sardar M Sagheer Khan</v>
      </c>
      <c r="AE54" s="16"/>
    </row>
    <row r="55" spans="1:31" x14ac:dyDescent="0.25">
      <c r="A55" s="9">
        <v>0.15</v>
      </c>
      <c r="B55" s="4">
        <v>38863</v>
      </c>
      <c r="C55" s="3" t="s">
        <v>125</v>
      </c>
      <c r="D55" s="3" t="s">
        <v>126</v>
      </c>
      <c r="E55" s="3">
        <v>6359</v>
      </c>
      <c r="F55" s="3"/>
      <c r="G55" s="3" t="s">
        <v>30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6">
        <v>354700</v>
      </c>
      <c r="AD55" s="2" t="str">
        <f>VLOOKUP(E55,'[1]Detailed Transfer Report (12)'!$K:$Y,14,FALSE)</f>
        <v>Sardar M Sagheer Khan</v>
      </c>
      <c r="AE55" s="16"/>
    </row>
    <row r="56" spans="1:31" x14ac:dyDescent="0.25">
      <c r="A56" s="9">
        <v>0.15</v>
      </c>
      <c r="B56" s="4">
        <v>38863</v>
      </c>
      <c r="C56" s="3" t="s">
        <v>127</v>
      </c>
      <c r="D56" s="3" t="s">
        <v>128</v>
      </c>
      <c r="E56" s="3">
        <v>6582</v>
      </c>
      <c r="F56" s="3"/>
      <c r="G56" s="3" t="s">
        <v>30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6">
        <v>354700</v>
      </c>
      <c r="AD56" s="2" t="str">
        <f>VLOOKUP(E56,'[1]Detailed Transfer Report (12)'!$K:$Y,14,FALSE)</f>
        <v>Sardar M Sagheer Khan</v>
      </c>
      <c r="AE56" s="16"/>
    </row>
    <row r="57" spans="1:31" x14ac:dyDescent="0.25">
      <c r="A57" s="9">
        <v>0.15</v>
      </c>
      <c r="B57" s="4">
        <v>38863</v>
      </c>
      <c r="C57" s="3" t="s">
        <v>44</v>
      </c>
      <c r="D57" s="3" t="s">
        <v>129</v>
      </c>
      <c r="E57" s="3">
        <v>6614</v>
      </c>
      <c r="F57" s="3"/>
      <c r="G57" s="3" t="s">
        <v>30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6">
        <v>354700</v>
      </c>
      <c r="AD57" s="2" t="str">
        <f>VLOOKUP(E57,'[1]Detailed Transfer Report (12)'!$K:$Y,14,FALSE)</f>
        <v>Sardar M Sagheer Khan</v>
      </c>
      <c r="AE57" s="16"/>
    </row>
    <row r="58" spans="1:31" x14ac:dyDescent="0.25">
      <c r="A58" s="9">
        <v>0.15</v>
      </c>
      <c r="B58" s="4">
        <v>38863</v>
      </c>
      <c r="C58" s="3" t="s">
        <v>130</v>
      </c>
      <c r="D58" s="3" t="s">
        <v>131</v>
      </c>
      <c r="E58" s="3" t="s">
        <v>132</v>
      </c>
      <c r="F58" s="3"/>
      <c r="G58" s="3" t="s">
        <v>30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6">
        <v>354700</v>
      </c>
      <c r="AD58" s="2" t="str">
        <f>VLOOKUP(E58,'[1]Detailed Transfer Report (12)'!$K:$Y,14,FALSE)</f>
        <v>Sardar M Sagheer Khan</v>
      </c>
      <c r="AE58" s="16"/>
    </row>
    <row r="59" spans="1:31" x14ac:dyDescent="0.25">
      <c r="A59" s="9">
        <v>0.15</v>
      </c>
      <c r="B59" s="4">
        <v>38863</v>
      </c>
      <c r="C59" s="3" t="s">
        <v>133</v>
      </c>
      <c r="D59" s="3" t="s">
        <v>134</v>
      </c>
      <c r="E59" s="3">
        <v>6144</v>
      </c>
      <c r="F59" s="3"/>
      <c r="G59" s="3" t="s">
        <v>30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6">
        <v>354700</v>
      </c>
      <c r="AD59" s="2" t="str">
        <f>VLOOKUP(E59,'[1]Detailed Transfer Report (12)'!$K:$Y,14,FALSE)</f>
        <v>Sardar Rashid Ilyas Khan</v>
      </c>
      <c r="AE59" s="16"/>
    </row>
    <row r="60" spans="1:31" x14ac:dyDescent="0.25">
      <c r="A60" s="9">
        <v>0.15</v>
      </c>
      <c r="B60" s="4">
        <v>38863</v>
      </c>
      <c r="C60" s="3" t="s">
        <v>135</v>
      </c>
      <c r="D60" s="3" t="s">
        <v>136</v>
      </c>
      <c r="E60" s="3">
        <v>6145</v>
      </c>
      <c r="F60" s="3"/>
      <c r="G60" s="3" t="s">
        <v>30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5">
        <v>181705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6">
        <v>536405</v>
      </c>
      <c r="AD60" s="2" t="str">
        <f>VLOOKUP(E60,'[1]Detailed Transfer Report (12)'!$K:$Y,14,FALSE)</f>
        <v>Sardar Rashid Ilyas Khan</v>
      </c>
      <c r="AE60" s="16"/>
    </row>
    <row r="61" spans="1:31" x14ac:dyDescent="0.25">
      <c r="A61" s="9">
        <v>0.15</v>
      </c>
      <c r="B61" s="4">
        <v>38863</v>
      </c>
      <c r="C61" s="3" t="s">
        <v>137</v>
      </c>
      <c r="D61" s="3" t="s">
        <v>138</v>
      </c>
      <c r="E61" s="3">
        <v>6146</v>
      </c>
      <c r="F61" s="3"/>
      <c r="G61" s="3" t="s">
        <v>30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6">
        <v>536405</v>
      </c>
      <c r="AD61" s="2" t="str">
        <f>VLOOKUP(E61,'[1]Detailed Transfer Report (12)'!$K:$Y,14,FALSE)</f>
        <v>Sardar Rashid Ilyas Khan</v>
      </c>
      <c r="AE61" s="16"/>
    </row>
    <row r="62" spans="1:31" x14ac:dyDescent="0.25">
      <c r="A62" s="9">
        <v>0.15</v>
      </c>
      <c r="B62" s="4">
        <v>38863</v>
      </c>
      <c r="C62" s="3" t="s">
        <v>139</v>
      </c>
      <c r="D62" s="3" t="s">
        <v>140</v>
      </c>
      <c r="E62" s="3">
        <v>6164</v>
      </c>
      <c r="F62" s="3"/>
      <c r="G62" s="3" t="s">
        <v>30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6">
        <v>536405</v>
      </c>
      <c r="AD62" s="2" t="str">
        <f>VLOOKUP(E62,'[1]Detailed Transfer Report (12)'!$K:$Y,14,FALSE)</f>
        <v>Sardar Rashid Ilyas Khan</v>
      </c>
      <c r="AE62" s="16"/>
    </row>
    <row r="63" spans="1:31" x14ac:dyDescent="0.25">
      <c r="A63" s="9">
        <v>0.15</v>
      </c>
      <c r="B63" s="4">
        <v>38863</v>
      </c>
      <c r="C63" s="3" t="s">
        <v>141</v>
      </c>
      <c r="D63" s="3" t="s">
        <v>142</v>
      </c>
      <c r="E63" s="3">
        <v>6555</v>
      </c>
      <c r="F63" s="3"/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5">
        <v>50000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6">
        <v>586405</v>
      </c>
      <c r="AD63" s="2" t="str">
        <f>VLOOKUP(E63,'[1]Detailed Transfer Report (12)'!$K:$Y,14,FALSE)</f>
        <v>Sardar Rashid Ilyas Khan</v>
      </c>
      <c r="AE63" s="16"/>
    </row>
    <row r="64" spans="1:31" x14ac:dyDescent="0.25">
      <c r="A64" s="10">
        <v>0.15</v>
      </c>
      <c r="B64" s="4">
        <v>38863</v>
      </c>
      <c r="C64" s="3" t="s">
        <v>143</v>
      </c>
      <c r="D64" s="3" t="s">
        <v>144</v>
      </c>
      <c r="E64" s="3">
        <v>6143</v>
      </c>
      <c r="F64" s="3">
        <v>20840</v>
      </c>
      <c r="G64" s="3" t="s">
        <v>30</v>
      </c>
      <c r="H64" s="3">
        <v>0</v>
      </c>
      <c r="I64" s="3">
        <v>0</v>
      </c>
      <c r="J64" s="5">
        <v>46500</v>
      </c>
      <c r="K64" s="3">
        <v>0</v>
      </c>
      <c r="L64" s="3">
        <v>0</v>
      </c>
      <c r="M64" s="3">
        <v>0</v>
      </c>
      <c r="N64" s="5">
        <v>15500</v>
      </c>
      <c r="O64" s="3">
        <v>0</v>
      </c>
      <c r="P64" s="3">
        <v>0</v>
      </c>
      <c r="Q64" s="5">
        <v>16500</v>
      </c>
      <c r="R64" s="5">
        <v>46500</v>
      </c>
      <c r="S64" s="5">
        <v>9450</v>
      </c>
      <c r="T64" s="3">
        <v>0</v>
      </c>
      <c r="U64" s="3">
        <v>0</v>
      </c>
      <c r="V64" s="5">
        <v>50000</v>
      </c>
      <c r="W64" s="3">
        <v>0</v>
      </c>
      <c r="X64" s="5">
        <v>1300</v>
      </c>
      <c r="Y64" s="3">
        <v>0</v>
      </c>
      <c r="Z64" s="3">
        <v>0</v>
      </c>
      <c r="AA64" s="5">
        <v>16000</v>
      </c>
      <c r="AB64" s="6">
        <v>788155</v>
      </c>
      <c r="AC64" s="2" t="str">
        <f>VLOOKUP(E64,'[1]Detailed Transfer Report (12)'!$K:$Y,13,FALSE)</f>
        <v>Sardar Rashid Ilyas Khan</v>
      </c>
      <c r="AD64" s="2" t="str">
        <f>VLOOKUP(E64,'[1]Detailed Transfer Report (12)'!$K:$Y,14,FALSE)</f>
        <v>Sardar Tanveer Ilyas</v>
      </c>
      <c r="AE64" s="16">
        <f>VLOOKUP(E64,'[1]Detailed Transfer Report (12)'!$K:$Y,15,FALSE)</f>
        <v>45142</v>
      </c>
    </row>
    <row r="65" spans="1:31" x14ac:dyDescent="0.25">
      <c r="A65" s="7">
        <v>0.16</v>
      </c>
      <c r="B65" s="4">
        <v>39035</v>
      </c>
      <c r="C65" s="3" t="s">
        <v>44</v>
      </c>
      <c r="D65" s="3" t="s">
        <v>145</v>
      </c>
      <c r="E65" s="3">
        <v>871</v>
      </c>
      <c r="F65" s="3"/>
      <c r="G65" s="3" t="s">
        <v>41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8">
        <v>0</v>
      </c>
      <c r="AD65" s="2" t="str">
        <f>VLOOKUP(E65,'[1]Detailed Transfer Report (12)'!$K:$Y,14,FALSE)</f>
        <v>Sardar M Sagheer Khan</v>
      </c>
      <c r="AE65" s="16"/>
    </row>
    <row r="66" spans="1:31" x14ac:dyDescent="0.25">
      <c r="A66" s="9">
        <v>0.16</v>
      </c>
      <c r="B66" s="4">
        <v>39035</v>
      </c>
      <c r="C66" s="3" t="s">
        <v>137</v>
      </c>
      <c r="D66" s="3" t="s">
        <v>146</v>
      </c>
      <c r="E66" s="3">
        <v>872</v>
      </c>
      <c r="F66" s="3"/>
      <c r="G66" s="3" t="s">
        <v>41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8">
        <v>0</v>
      </c>
      <c r="AD66" s="2" t="str">
        <f>VLOOKUP(E66,'[1]Detailed Transfer Report (12)'!$K:$Y,14,FALSE)</f>
        <v>Sardar M Sagheer Khan</v>
      </c>
      <c r="AE66" s="16"/>
    </row>
    <row r="67" spans="1:31" x14ac:dyDescent="0.25">
      <c r="A67" s="9">
        <v>0.16</v>
      </c>
      <c r="B67" s="4">
        <v>39035</v>
      </c>
      <c r="C67" s="3" t="s">
        <v>106</v>
      </c>
      <c r="D67" s="3" t="s">
        <v>147</v>
      </c>
      <c r="E67" s="3">
        <v>873</v>
      </c>
      <c r="F67" s="3"/>
      <c r="G67" s="3" t="s">
        <v>41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5">
        <v>58500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6">
        <v>58500</v>
      </c>
      <c r="AD67" s="2" t="str">
        <f>VLOOKUP(E67,'[1]Detailed Transfer Report (12)'!$K:$Y,14,FALSE)</f>
        <v>Sardar M Sagheer Khan</v>
      </c>
      <c r="AE67" s="16"/>
    </row>
    <row r="68" spans="1:31" x14ac:dyDescent="0.25">
      <c r="A68" s="10">
        <v>0.16</v>
      </c>
      <c r="B68" s="4">
        <v>39035</v>
      </c>
      <c r="C68" s="3" t="s">
        <v>44</v>
      </c>
      <c r="D68" s="3" t="s">
        <v>148</v>
      </c>
      <c r="E68" s="3">
        <v>870</v>
      </c>
      <c r="F68" s="3"/>
      <c r="G68" s="3" t="s">
        <v>41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6">
        <v>58500</v>
      </c>
      <c r="AD68" s="2" t="str">
        <f>VLOOKUP(E68,'[1]Detailed Transfer Report (12)'!$K:$Y,14,FALSE)</f>
        <v>Sardar M Sagheer Khan</v>
      </c>
      <c r="AE68" s="16"/>
    </row>
    <row r="69" spans="1:31" x14ac:dyDescent="0.25">
      <c r="A69" s="7">
        <v>0.17</v>
      </c>
      <c r="B69" s="4">
        <v>39063</v>
      </c>
      <c r="C69" s="3" t="s">
        <v>46</v>
      </c>
      <c r="D69" s="3" t="s">
        <v>149</v>
      </c>
      <c r="E69" s="3">
        <v>876</v>
      </c>
      <c r="F69" s="3"/>
      <c r="G69" s="3" t="s">
        <v>41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5">
        <v>58605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6">
        <v>58605</v>
      </c>
      <c r="AD69" s="2" t="str">
        <f>VLOOKUP(E69,'[1]Detailed Transfer Report (12)'!$K:$Y,14,FALSE)</f>
        <v>Sardar M Sagheer Khan</v>
      </c>
      <c r="AE69" s="16"/>
    </row>
    <row r="70" spans="1:31" x14ac:dyDescent="0.25">
      <c r="A70" s="9">
        <v>0.17</v>
      </c>
      <c r="B70" s="4">
        <v>39063</v>
      </c>
      <c r="C70" s="3" t="s">
        <v>108</v>
      </c>
      <c r="D70" s="3" t="s">
        <v>150</v>
      </c>
      <c r="E70" s="3">
        <v>6443</v>
      </c>
      <c r="F70" s="3"/>
      <c r="G70" s="3" t="s">
        <v>30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5">
        <v>58605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6">
        <v>117210</v>
      </c>
      <c r="AD70" s="2" t="str">
        <f>VLOOKUP(E70,'[1]Detailed Transfer Report (12)'!$K:$Y,14,FALSE)</f>
        <v>Sardar M Sagheer Khan</v>
      </c>
      <c r="AE70" s="16"/>
    </row>
    <row r="71" spans="1:31" x14ac:dyDescent="0.25">
      <c r="A71" s="9">
        <v>0.17</v>
      </c>
      <c r="B71" s="4">
        <v>39063</v>
      </c>
      <c r="C71" s="3" t="s">
        <v>137</v>
      </c>
      <c r="D71" s="3" t="s">
        <v>151</v>
      </c>
      <c r="E71" s="3">
        <v>874</v>
      </c>
      <c r="F71" s="3"/>
      <c r="G71" s="3" t="s">
        <v>41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6">
        <v>117210</v>
      </c>
      <c r="AD71" s="2" t="str">
        <f>VLOOKUP(E71,'[1]Detailed Transfer Report (12)'!$K:$Y,14,FALSE)</f>
        <v>Sardar M Sagheer Khan</v>
      </c>
      <c r="AE71" s="16"/>
    </row>
    <row r="72" spans="1:31" x14ac:dyDescent="0.25">
      <c r="A72" s="9">
        <v>0.17</v>
      </c>
      <c r="B72" s="4">
        <v>39063</v>
      </c>
      <c r="C72" s="3" t="s">
        <v>137</v>
      </c>
      <c r="D72" s="3" t="s">
        <v>152</v>
      </c>
      <c r="E72" s="3">
        <v>877</v>
      </c>
      <c r="F72" s="3"/>
      <c r="G72" s="3" t="s">
        <v>41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6">
        <v>117210</v>
      </c>
      <c r="AD72" s="2" t="str">
        <f>VLOOKUP(E72,'[1]Detailed Transfer Report (12)'!$K:$Y,14,FALSE)</f>
        <v>Sardar M Sagheer Khan</v>
      </c>
      <c r="AE72" s="16"/>
    </row>
    <row r="73" spans="1:31" x14ac:dyDescent="0.25">
      <c r="A73" s="9">
        <v>0.17</v>
      </c>
      <c r="B73" s="4">
        <v>39063</v>
      </c>
      <c r="C73" s="3" t="s">
        <v>153</v>
      </c>
      <c r="D73" s="3" t="s">
        <v>154</v>
      </c>
      <c r="E73" s="3">
        <v>6444</v>
      </c>
      <c r="F73" s="3"/>
      <c r="G73" s="3" t="s">
        <v>30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6">
        <v>117210</v>
      </c>
      <c r="AD73" s="2" t="str">
        <f>VLOOKUP(E73,'[1]Detailed Transfer Report (12)'!$K:$Y,14,FALSE)</f>
        <v>Sardar M Sagheer Khan</v>
      </c>
      <c r="AE73" s="16"/>
    </row>
    <row r="74" spans="1:31" x14ac:dyDescent="0.25">
      <c r="A74" s="10">
        <v>0.17</v>
      </c>
      <c r="B74" s="4">
        <v>39063</v>
      </c>
      <c r="C74" s="3" t="s">
        <v>42</v>
      </c>
      <c r="D74" s="3" t="s">
        <v>155</v>
      </c>
      <c r="E74" s="3">
        <v>6451</v>
      </c>
      <c r="F74" s="3"/>
      <c r="G74" s="3" t="s">
        <v>30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6">
        <v>117210</v>
      </c>
      <c r="AD74" s="2" t="str">
        <f>VLOOKUP(E74,'[1]Detailed Transfer Report (12)'!$K:$Y,14,FALSE)</f>
        <v>Sardar M Sagheer Khan</v>
      </c>
      <c r="AE74" s="16"/>
    </row>
    <row r="75" spans="1:31" x14ac:dyDescent="0.25">
      <c r="A75" s="7">
        <v>0.18</v>
      </c>
      <c r="B75" s="4">
        <v>39077</v>
      </c>
      <c r="C75" s="3" t="s">
        <v>137</v>
      </c>
      <c r="D75" s="3" t="s">
        <v>156</v>
      </c>
      <c r="E75" s="3">
        <v>880</v>
      </c>
      <c r="F75" s="3"/>
      <c r="G75" s="3" t="s">
        <v>41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5">
        <v>3750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5">
        <v>3817</v>
      </c>
      <c r="X75" s="3">
        <v>0</v>
      </c>
      <c r="Y75" s="3">
        <v>0</v>
      </c>
      <c r="Z75" s="3">
        <v>0</v>
      </c>
      <c r="AA75" s="5">
        <v>1250</v>
      </c>
      <c r="AB75" s="6">
        <v>8817</v>
      </c>
      <c r="AD75" s="2" t="str">
        <f>VLOOKUP(E75,'[1]Detailed Transfer Report (12)'!$K:$Y,14,FALSE)</f>
        <v>Sardar M Sagheer Khan</v>
      </c>
      <c r="AE75" s="16"/>
    </row>
    <row r="76" spans="1:31" x14ac:dyDescent="0.25">
      <c r="A76" s="9">
        <v>0.18</v>
      </c>
      <c r="B76" s="4">
        <v>39077</v>
      </c>
      <c r="C76" s="3" t="s">
        <v>157</v>
      </c>
      <c r="D76" s="3" t="s">
        <v>158</v>
      </c>
      <c r="E76" s="3">
        <v>884</v>
      </c>
      <c r="F76" s="3"/>
      <c r="G76" s="3" t="s">
        <v>41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5">
        <v>30750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5">
        <v>20000</v>
      </c>
      <c r="X76" s="3">
        <v>0</v>
      </c>
      <c r="Y76" s="3">
        <v>0</v>
      </c>
      <c r="Z76" s="3">
        <v>0</v>
      </c>
      <c r="AA76" s="3">
        <v>0</v>
      </c>
      <c r="AB76" s="6">
        <v>59567</v>
      </c>
      <c r="AD76" s="2" t="str">
        <f>VLOOKUP(E76,'[1]Detailed Transfer Report (12)'!$K:$Y,14,FALSE)</f>
        <v>Sardar M Sagheer Khan</v>
      </c>
      <c r="AE76" s="16"/>
    </row>
    <row r="77" spans="1:31" x14ac:dyDescent="0.25">
      <c r="A77" s="10">
        <v>0.18</v>
      </c>
      <c r="B77" s="4">
        <v>39077</v>
      </c>
      <c r="C77" s="3" t="s">
        <v>159</v>
      </c>
      <c r="D77" s="3" t="s">
        <v>160</v>
      </c>
      <c r="E77" s="3">
        <v>6466</v>
      </c>
      <c r="F77" s="3"/>
      <c r="G77" s="3" t="s">
        <v>30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5">
        <v>29783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6">
        <v>89350</v>
      </c>
      <c r="AD77" s="2" t="str">
        <f>VLOOKUP(E77,'[1]Detailed Transfer Report (12)'!$K:$Y,14,FALSE)</f>
        <v>Sardar M Sagheer Khan</v>
      </c>
      <c r="AE77" s="16"/>
    </row>
    <row r="78" spans="1:31" x14ac:dyDescent="0.25">
      <c r="A78" s="3">
        <v>0.19</v>
      </c>
      <c r="B78" s="4">
        <v>39074</v>
      </c>
      <c r="C78" s="3" t="s">
        <v>161</v>
      </c>
      <c r="D78" s="3" t="s">
        <v>162</v>
      </c>
      <c r="E78" s="3">
        <v>8375</v>
      </c>
      <c r="F78" s="3"/>
      <c r="G78" s="3" t="s">
        <v>30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5">
        <v>40000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6">
        <v>40000</v>
      </c>
      <c r="AD78" s="2" t="str">
        <f>VLOOKUP(E78,'[1]Detailed Transfer Report (12)'!$K:$Y,14,FALSE)</f>
        <v>Sardar Tanveer Ilyas</v>
      </c>
      <c r="AE78" s="16"/>
    </row>
    <row r="79" spans="1:31" x14ac:dyDescent="0.25">
      <c r="A79" s="3">
        <v>0.2</v>
      </c>
      <c r="B79" s="4">
        <v>38275</v>
      </c>
      <c r="C79" s="3" t="s">
        <v>163</v>
      </c>
      <c r="D79" s="3" t="s">
        <v>164</v>
      </c>
      <c r="E79" s="3">
        <v>741</v>
      </c>
      <c r="F79" s="3"/>
      <c r="G79" s="3" t="s">
        <v>41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5">
        <v>106515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5">
        <v>123000</v>
      </c>
      <c r="X79" s="3">
        <v>0</v>
      </c>
      <c r="Y79" s="3">
        <v>0</v>
      </c>
      <c r="Z79" s="3">
        <v>0</v>
      </c>
      <c r="AA79" s="3">
        <v>0</v>
      </c>
      <c r="AB79" s="6">
        <v>229515</v>
      </c>
      <c r="AD79" s="2" t="str">
        <f>VLOOKUP(E79,'[1]Detailed Transfer Report (12)'!$K:$Y,14,FALSE)</f>
        <v>Sardar M Sagheer Khan</v>
      </c>
      <c r="AE79" s="16"/>
    </row>
    <row r="80" spans="1:31" x14ac:dyDescent="0.25">
      <c r="A80" s="7">
        <v>0.2</v>
      </c>
      <c r="B80" s="4">
        <v>39002</v>
      </c>
      <c r="C80" s="3" t="s">
        <v>165</v>
      </c>
      <c r="D80" s="3" t="s">
        <v>166</v>
      </c>
      <c r="E80" s="3">
        <v>6913</v>
      </c>
      <c r="F80" s="3"/>
      <c r="G80" s="3" t="s">
        <v>30</v>
      </c>
      <c r="H80" s="3">
        <v>0</v>
      </c>
      <c r="I80" s="3">
        <v>0</v>
      </c>
      <c r="J80" s="3">
        <v>0</v>
      </c>
      <c r="K80" s="3">
        <v>0</v>
      </c>
      <c r="L80" s="5">
        <v>2250000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5">
        <v>6533450</v>
      </c>
      <c r="W80" s="5">
        <v>588000</v>
      </c>
      <c r="X80" s="3">
        <v>0</v>
      </c>
      <c r="Y80" s="3">
        <v>0</v>
      </c>
      <c r="Z80" s="3">
        <v>0</v>
      </c>
      <c r="AA80" s="3">
        <v>0</v>
      </c>
      <c r="AB80" s="6">
        <v>9371450</v>
      </c>
      <c r="AD80" s="2" t="str">
        <f>VLOOKUP(E80,'[1]Detailed Transfer Report (12)'!$K:$Y,14,FALSE)</f>
        <v>Sardar Tanveer Ilyas</v>
      </c>
      <c r="AE80" s="16"/>
    </row>
    <row r="81" spans="1:31" x14ac:dyDescent="0.25">
      <c r="A81" s="9">
        <v>0.2</v>
      </c>
      <c r="B81" s="4">
        <v>39002</v>
      </c>
      <c r="C81" s="3" t="s">
        <v>167</v>
      </c>
      <c r="D81" s="3" t="s">
        <v>168</v>
      </c>
      <c r="E81" s="3">
        <v>6914</v>
      </c>
      <c r="F81" s="3"/>
      <c r="G81" s="3" t="s">
        <v>30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6">
        <v>9371450</v>
      </c>
      <c r="AD81" s="2" t="str">
        <f>VLOOKUP(E81,'[1]Detailed Transfer Report (12)'!$K:$Y,14,FALSE)</f>
        <v>Sardar Tanveer Ilyas</v>
      </c>
      <c r="AE81" s="16"/>
    </row>
    <row r="82" spans="1:31" x14ac:dyDescent="0.25">
      <c r="A82" s="9">
        <v>0.2</v>
      </c>
      <c r="B82" s="4">
        <v>39002</v>
      </c>
      <c r="C82" s="3" t="s">
        <v>169</v>
      </c>
      <c r="D82" s="3" t="s">
        <v>170</v>
      </c>
      <c r="E82" s="3">
        <v>6957</v>
      </c>
      <c r="F82" s="3"/>
      <c r="G82" s="3" t="s">
        <v>30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6">
        <v>9371450</v>
      </c>
      <c r="AD82" s="2" t="str">
        <f>VLOOKUP(E82,'[1]Detailed Transfer Report (12)'!$K:$Y,14,FALSE)</f>
        <v>Sardar Tanveer Ilyas</v>
      </c>
      <c r="AE82" s="16"/>
    </row>
    <row r="83" spans="1:31" x14ac:dyDescent="0.25">
      <c r="A83" s="9">
        <v>0.2</v>
      </c>
      <c r="B83" s="4">
        <v>39002</v>
      </c>
      <c r="C83" s="3" t="s">
        <v>171</v>
      </c>
      <c r="D83" s="3" t="s">
        <v>172</v>
      </c>
      <c r="E83" s="3">
        <v>7330</v>
      </c>
      <c r="F83" s="3"/>
      <c r="G83" s="3" t="s">
        <v>30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6">
        <v>9371450</v>
      </c>
      <c r="AD83" s="2" t="str">
        <f>VLOOKUP(E83,'[1]Detailed Transfer Report (12)'!$K:$Y,14,FALSE)</f>
        <v>Sardar Tanveer Ilyas</v>
      </c>
      <c r="AE83" s="16"/>
    </row>
    <row r="84" spans="1:31" x14ac:dyDescent="0.25">
      <c r="A84" s="10">
        <v>0.2</v>
      </c>
      <c r="B84" s="4">
        <v>39002</v>
      </c>
      <c r="C84" s="3" t="s">
        <v>173</v>
      </c>
      <c r="D84" s="3" t="s">
        <v>174</v>
      </c>
      <c r="E84" s="3">
        <v>6959</v>
      </c>
      <c r="F84" s="3"/>
      <c r="G84" s="3" t="s">
        <v>30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6">
        <v>9371450</v>
      </c>
      <c r="AD84" s="2" t="str">
        <f>VLOOKUP(E84,'[1]Detailed Transfer Report (12)'!$K:$Y,14,FALSE)</f>
        <v>Sardar Tanveer Ilyas</v>
      </c>
      <c r="AE84" s="16"/>
    </row>
    <row r="85" spans="1:31" x14ac:dyDescent="0.25">
      <c r="A85" s="7">
        <v>0.21</v>
      </c>
      <c r="B85" s="4">
        <v>38277</v>
      </c>
      <c r="C85" s="3" t="s">
        <v>175</v>
      </c>
      <c r="D85" s="3" t="s">
        <v>176</v>
      </c>
      <c r="E85" s="3">
        <v>742</v>
      </c>
      <c r="F85" s="3"/>
      <c r="G85" s="3" t="s">
        <v>41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5">
        <v>600200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5">
        <v>3000</v>
      </c>
      <c r="U85" s="3">
        <v>0</v>
      </c>
      <c r="V85" s="3">
        <v>0</v>
      </c>
      <c r="W85" s="5">
        <v>397000</v>
      </c>
      <c r="X85" s="3">
        <v>0</v>
      </c>
      <c r="Y85" s="3">
        <v>0</v>
      </c>
      <c r="Z85" s="3">
        <v>0</v>
      </c>
      <c r="AA85" s="5">
        <v>200000</v>
      </c>
      <c r="AB85" s="6">
        <v>1200200</v>
      </c>
      <c r="AD85" s="2" t="str">
        <f>VLOOKUP(E85,'[1]Detailed Transfer Report (12)'!$K:$Y,14,FALSE)</f>
        <v>Sardar Tanveer Ilyas</v>
      </c>
      <c r="AE85" s="16"/>
    </row>
    <row r="86" spans="1:31" x14ac:dyDescent="0.25">
      <c r="A86" s="9">
        <v>0.21</v>
      </c>
      <c r="B86" s="4">
        <v>38370</v>
      </c>
      <c r="C86" s="3" t="s">
        <v>177</v>
      </c>
      <c r="D86" s="3" t="s">
        <v>176</v>
      </c>
      <c r="E86" s="3">
        <v>764</v>
      </c>
      <c r="F86" s="3"/>
      <c r="G86" s="3" t="s">
        <v>41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5">
        <v>120015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5">
        <v>59985</v>
      </c>
      <c r="X86" s="3">
        <v>0</v>
      </c>
      <c r="Y86" s="3">
        <v>0</v>
      </c>
      <c r="Z86" s="3">
        <v>0</v>
      </c>
      <c r="AA86" s="5">
        <v>40000</v>
      </c>
      <c r="AB86" s="6">
        <v>1420200</v>
      </c>
      <c r="AD86" s="2" t="str">
        <f>VLOOKUP(E86,'[1]Detailed Transfer Report (12)'!$K:$Y,14,FALSE)</f>
        <v>Sardar Tanveer Ilyas</v>
      </c>
      <c r="AE86" s="16"/>
    </row>
    <row r="87" spans="1:31" x14ac:dyDescent="0.25">
      <c r="A87" s="9">
        <v>0.21</v>
      </c>
      <c r="B87" s="4">
        <v>38454</v>
      </c>
      <c r="C87" s="3" t="s">
        <v>178</v>
      </c>
      <c r="D87" s="3" t="s">
        <v>176</v>
      </c>
      <c r="E87" s="3">
        <v>4898</v>
      </c>
      <c r="F87" s="3"/>
      <c r="G87" s="3" t="s">
        <v>30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5">
        <v>79500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5">
        <v>197000</v>
      </c>
      <c r="X87" s="3">
        <v>0</v>
      </c>
      <c r="Y87" s="3">
        <v>0</v>
      </c>
      <c r="Z87" s="3">
        <v>0</v>
      </c>
      <c r="AA87" s="5">
        <v>26500</v>
      </c>
      <c r="AB87" s="6">
        <v>1723200</v>
      </c>
      <c r="AD87" s="2" t="str">
        <f>VLOOKUP(E87,'[1]Detailed Transfer Report (12)'!$K:$Y,14,FALSE)</f>
        <v>Sardar Tanveer Ilyas</v>
      </c>
      <c r="AE87" s="16"/>
    </row>
    <row r="88" spans="1:31" x14ac:dyDescent="0.25">
      <c r="A88" s="9">
        <v>0.21</v>
      </c>
      <c r="B88" s="4">
        <v>38295</v>
      </c>
      <c r="C88" s="3" t="s">
        <v>179</v>
      </c>
      <c r="D88" s="3" t="s">
        <v>176</v>
      </c>
      <c r="E88" s="3">
        <v>761</v>
      </c>
      <c r="F88" s="3"/>
      <c r="G88" s="3" t="s">
        <v>41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5">
        <v>45015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5">
        <v>15000</v>
      </c>
      <c r="AB88" s="6">
        <v>1783215</v>
      </c>
      <c r="AD88" s="2" t="str">
        <f>VLOOKUP(E88,'[1]Detailed Transfer Report (12)'!$K:$Y,14,FALSE)</f>
        <v>Sardar Tanveer Ilyas</v>
      </c>
      <c r="AE88" s="16"/>
    </row>
    <row r="89" spans="1:31" x14ac:dyDescent="0.25">
      <c r="A89" s="9">
        <v>0.21</v>
      </c>
      <c r="B89" s="4">
        <v>44312</v>
      </c>
      <c r="C89" s="3" t="s">
        <v>180</v>
      </c>
      <c r="D89" s="3" t="s">
        <v>176</v>
      </c>
      <c r="E89" s="3">
        <v>801</v>
      </c>
      <c r="F89" s="3"/>
      <c r="G89" s="3" t="s">
        <v>41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5">
        <v>264000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5">
        <v>8800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5">
        <v>88000</v>
      </c>
      <c r="AB89" s="6">
        <v>2144015</v>
      </c>
      <c r="AD89" s="2" t="str">
        <f>VLOOKUP(E89,'[1]Detailed Transfer Report (12)'!$K:$Y,14,FALSE)</f>
        <v>Sardar Tanveer Ilyas</v>
      </c>
      <c r="AE89" s="16"/>
    </row>
    <row r="90" spans="1:31" x14ac:dyDescent="0.25">
      <c r="A90" s="9">
        <v>0.21</v>
      </c>
      <c r="B90" s="4">
        <v>38295</v>
      </c>
      <c r="C90" s="3" t="s">
        <v>181</v>
      </c>
      <c r="D90" s="3" t="s">
        <v>176</v>
      </c>
      <c r="E90" s="3">
        <v>760</v>
      </c>
      <c r="F90" s="3"/>
      <c r="G90" s="3" t="s">
        <v>41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5">
        <v>438015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5">
        <v>1190000</v>
      </c>
      <c r="U90" s="3">
        <v>0</v>
      </c>
      <c r="V90" s="3">
        <v>0</v>
      </c>
      <c r="W90" s="5">
        <v>163970</v>
      </c>
      <c r="X90" s="3">
        <v>0</v>
      </c>
      <c r="Y90" s="3">
        <v>0</v>
      </c>
      <c r="Z90" s="3">
        <v>0</v>
      </c>
      <c r="AA90" s="5">
        <v>146000</v>
      </c>
      <c r="AB90" s="6">
        <v>4082000</v>
      </c>
      <c r="AD90" s="2" t="str">
        <f>VLOOKUP(E90,'[1]Detailed Transfer Report (12)'!$K:$Y,14,FALSE)</f>
        <v>Sardar Tanveer Ilyas</v>
      </c>
      <c r="AE90" s="16"/>
    </row>
    <row r="91" spans="1:31" x14ac:dyDescent="0.25">
      <c r="A91" s="10">
        <v>0.21</v>
      </c>
      <c r="B91" s="4">
        <v>38371</v>
      </c>
      <c r="C91" s="3" t="s">
        <v>182</v>
      </c>
      <c r="D91" s="3" t="s">
        <v>176</v>
      </c>
      <c r="E91" s="3">
        <v>842</v>
      </c>
      <c r="F91" s="3"/>
      <c r="G91" s="3" t="s">
        <v>41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5">
        <v>264000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5">
        <v>18800</v>
      </c>
      <c r="AB91" s="6">
        <v>4364800</v>
      </c>
      <c r="AD91" s="2" t="str">
        <f>VLOOKUP(E91,'[1]Detailed Transfer Report (12)'!$K:$Y,14,FALSE)</f>
        <v>Sardar Tanveer Ilyas</v>
      </c>
      <c r="AE91" s="16"/>
    </row>
    <row r="92" spans="1:31" x14ac:dyDescent="0.25">
      <c r="A92" s="7">
        <v>0.3</v>
      </c>
      <c r="B92" s="4">
        <v>38286</v>
      </c>
      <c r="C92" s="3" t="s">
        <v>183</v>
      </c>
      <c r="D92" s="3" t="s">
        <v>184</v>
      </c>
      <c r="E92" s="3">
        <v>915</v>
      </c>
      <c r="F92" s="3"/>
      <c r="G92" s="3" t="s">
        <v>41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5">
        <v>48200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5">
        <v>47800</v>
      </c>
      <c r="X92" s="3">
        <v>0</v>
      </c>
      <c r="Y92" s="3">
        <v>0</v>
      </c>
      <c r="Z92" s="3">
        <v>0</v>
      </c>
      <c r="AA92" s="3">
        <v>0</v>
      </c>
      <c r="AB92" s="6">
        <v>96000</v>
      </c>
      <c r="AD92" s="2" t="str">
        <f>VLOOKUP(E92,'[1]Detailed Transfer Report (12)'!$K:$Y,14,FALSE)</f>
        <v>Sardar Tanveer Ilyas</v>
      </c>
      <c r="AE92" s="16"/>
    </row>
    <row r="93" spans="1:31" x14ac:dyDescent="0.25">
      <c r="A93" s="9">
        <v>0.3</v>
      </c>
      <c r="B93" s="4">
        <v>38286</v>
      </c>
      <c r="C93" s="3" t="s">
        <v>185</v>
      </c>
      <c r="D93" s="3" t="s">
        <v>186</v>
      </c>
      <c r="E93" s="3">
        <v>4800</v>
      </c>
      <c r="F93" s="3"/>
      <c r="G93" s="3" t="s">
        <v>30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5">
        <v>60017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5">
        <v>63000</v>
      </c>
      <c r="X93" s="3">
        <v>0</v>
      </c>
      <c r="Y93" s="3">
        <v>0</v>
      </c>
      <c r="Z93" s="3">
        <v>0</v>
      </c>
      <c r="AA93" s="3">
        <v>0</v>
      </c>
      <c r="AB93" s="6">
        <v>219017</v>
      </c>
      <c r="AD93" s="2" t="str">
        <f>VLOOKUP(E93,'[1]Detailed Transfer Report (12)'!$K:$Y,14,FALSE)</f>
        <v>Sardar M Sagheer Khan</v>
      </c>
      <c r="AE93" s="16"/>
    </row>
    <row r="94" spans="1:31" x14ac:dyDescent="0.25">
      <c r="A94" s="10">
        <v>0.3</v>
      </c>
      <c r="B94" s="4">
        <v>38286</v>
      </c>
      <c r="C94" s="3" t="s">
        <v>72</v>
      </c>
      <c r="D94" s="3" t="s">
        <v>187</v>
      </c>
      <c r="E94" s="3">
        <v>746</v>
      </c>
      <c r="F94" s="3"/>
      <c r="G94" s="3" t="s">
        <v>41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5">
        <v>15015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5">
        <v>18000</v>
      </c>
      <c r="X94" s="3">
        <v>0</v>
      </c>
      <c r="Y94" s="3">
        <v>0</v>
      </c>
      <c r="Z94" s="3">
        <v>0</v>
      </c>
      <c r="AA94" s="3">
        <v>0</v>
      </c>
      <c r="AB94" s="6">
        <v>252032</v>
      </c>
      <c r="AD94" s="2" t="str">
        <f>VLOOKUP(E94,'[1]Detailed Transfer Report (12)'!$K:$Y,14,FALSE)</f>
        <v>Sardar M Sagheer Khan</v>
      </c>
      <c r="AE94" s="16"/>
    </row>
    <row r="95" spans="1:31" x14ac:dyDescent="0.25">
      <c r="A95" s="7">
        <v>0.4</v>
      </c>
      <c r="B95" s="4">
        <v>38294</v>
      </c>
      <c r="C95" s="3" t="s">
        <v>188</v>
      </c>
      <c r="D95" s="3" t="s">
        <v>189</v>
      </c>
      <c r="E95" s="3">
        <v>875</v>
      </c>
      <c r="F95" s="3"/>
      <c r="G95" s="3" t="s">
        <v>41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5">
        <v>21000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5">
        <v>3000</v>
      </c>
      <c r="W95" s="5">
        <v>22000</v>
      </c>
      <c r="X95" s="3">
        <v>0</v>
      </c>
      <c r="Y95" s="3">
        <v>0</v>
      </c>
      <c r="Z95" s="3">
        <v>0</v>
      </c>
      <c r="AA95" s="5">
        <v>18000</v>
      </c>
      <c r="AB95" s="6">
        <v>64000</v>
      </c>
      <c r="AD95" s="2" t="str">
        <f>VLOOKUP(E95,'[1]Detailed Transfer Report (12)'!$K:$Y,14,FALSE)</f>
        <v>Sardar M Shareef</v>
      </c>
      <c r="AE95" s="16"/>
    </row>
    <row r="96" spans="1:31" x14ac:dyDescent="0.25">
      <c r="A96" s="9">
        <v>0.4</v>
      </c>
      <c r="B96" s="4">
        <v>38294</v>
      </c>
      <c r="C96" s="3" t="s">
        <v>190</v>
      </c>
      <c r="D96" s="3" t="s">
        <v>191</v>
      </c>
      <c r="E96" s="3">
        <v>759</v>
      </c>
      <c r="F96" s="3"/>
      <c r="G96" s="3" t="s">
        <v>41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5">
        <v>22515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5">
        <v>22000</v>
      </c>
      <c r="X96" s="3">
        <v>0</v>
      </c>
      <c r="Y96" s="3">
        <v>0</v>
      </c>
      <c r="Z96" s="3">
        <v>0</v>
      </c>
      <c r="AA96" s="3">
        <v>0</v>
      </c>
      <c r="AB96" s="6">
        <v>108515</v>
      </c>
      <c r="AD96" s="2" t="str">
        <f>VLOOKUP(E96,'[1]Detailed Transfer Report (12)'!$K:$Y,14,FALSE)</f>
        <v>Sardar M Shareef</v>
      </c>
      <c r="AE96" s="16"/>
    </row>
    <row r="97" spans="1:31" x14ac:dyDescent="0.25">
      <c r="A97" s="9">
        <v>0.4</v>
      </c>
      <c r="B97" s="4">
        <v>38294</v>
      </c>
      <c r="C97" s="3" t="s">
        <v>192</v>
      </c>
      <c r="D97" s="3" t="s">
        <v>193</v>
      </c>
      <c r="E97" s="3">
        <v>5120</v>
      </c>
      <c r="F97" s="3"/>
      <c r="G97" s="3" t="s">
        <v>30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5">
        <v>218145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6">
        <v>326660</v>
      </c>
      <c r="AD97" s="2" t="str">
        <f>VLOOKUP(E97,'[1]Detailed Transfer Report (12)'!$K:$Y,14,FALSE)</f>
        <v>Sardar M Shareef</v>
      </c>
      <c r="AE97" s="16"/>
    </row>
    <row r="98" spans="1:31" x14ac:dyDescent="0.25">
      <c r="A98" s="9">
        <v>0.4</v>
      </c>
      <c r="B98" s="4">
        <v>38294</v>
      </c>
      <c r="C98" s="3" t="s">
        <v>194</v>
      </c>
      <c r="D98" s="3" t="s">
        <v>195</v>
      </c>
      <c r="E98" s="3">
        <v>878</v>
      </c>
      <c r="F98" s="3"/>
      <c r="G98" s="3" t="s">
        <v>41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5">
        <v>9000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5">
        <v>3000</v>
      </c>
      <c r="AB98" s="6">
        <v>338660</v>
      </c>
      <c r="AD98" s="2" t="str">
        <f>VLOOKUP(E98,'[1]Detailed Transfer Report (12)'!$K:$Y,14,FALSE)</f>
        <v>Sardar M Shareef</v>
      </c>
      <c r="AE98" s="16"/>
    </row>
    <row r="99" spans="1:31" x14ac:dyDescent="0.25">
      <c r="A99" s="9">
        <v>0.4</v>
      </c>
      <c r="B99" s="4">
        <v>38294</v>
      </c>
      <c r="C99" s="3" t="s">
        <v>196</v>
      </c>
      <c r="D99" s="3" t="s">
        <v>197</v>
      </c>
      <c r="E99" s="3">
        <v>879</v>
      </c>
      <c r="F99" s="3"/>
      <c r="G99" s="3" t="s">
        <v>41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5">
        <v>21000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5">
        <v>22000</v>
      </c>
      <c r="X99" s="3">
        <v>0</v>
      </c>
      <c r="Y99" s="3">
        <v>0</v>
      </c>
      <c r="Z99" s="3">
        <v>0</v>
      </c>
      <c r="AA99" s="5">
        <v>9000</v>
      </c>
      <c r="AB99" s="6">
        <v>390660</v>
      </c>
      <c r="AD99" s="2" t="str">
        <f>VLOOKUP(E99,'[1]Detailed Transfer Report (12)'!$K:$Y,14,FALSE)</f>
        <v>Sardar M Shareef</v>
      </c>
      <c r="AE99" s="16"/>
    </row>
    <row r="100" spans="1:31" x14ac:dyDescent="0.25">
      <c r="A100" s="9">
        <v>0.4</v>
      </c>
      <c r="B100" s="4">
        <v>38294</v>
      </c>
      <c r="C100" s="3" t="s">
        <v>198</v>
      </c>
      <c r="D100" s="3" t="s">
        <v>193</v>
      </c>
      <c r="E100" s="3">
        <v>5121</v>
      </c>
      <c r="F100" s="3"/>
      <c r="G100" s="3" t="s">
        <v>30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6">
        <v>390660</v>
      </c>
      <c r="AD100" s="2" t="str">
        <f>VLOOKUP(E100,'[1]Detailed Transfer Report (12)'!$K:$Y,14,FALSE)</f>
        <v>Sardar M Shareef</v>
      </c>
      <c r="AE100" s="16"/>
    </row>
    <row r="101" spans="1:31" x14ac:dyDescent="0.25">
      <c r="A101" s="9">
        <v>0.4</v>
      </c>
      <c r="B101" s="4">
        <v>38294</v>
      </c>
      <c r="C101" s="3" t="s">
        <v>31</v>
      </c>
      <c r="D101" s="3" t="s">
        <v>193</v>
      </c>
      <c r="E101" s="3">
        <v>5122</v>
      </c>
      <c r="F101" s="3"/>
      <c r="G101" s="3" t="s">
        <v>30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6">
        <v>390660</v>
      </c>
      <c r="AD101" s="2" t="str">
        <f>VLOOKUP(E101,'[1]Detailed Transfer Report (12)'!$K:$Y,14,FALSE)</f>
        <v>Sardar M Shareef</v>
      </c>
      <c r="AE101" s="16"/>
    </row>
    <row r="102" spans="1:31" x14ac:dyDescent="0.25">
      <c r="A102" s="9">
        <v>0.4</v>
      </c>
      <c r="B102" s="4">
        <v>38294</v>
      </c>
      <c r="C102" s="3" t="s">
        <v>72</v>
      </c>
      <c r="D102" s="3" t="s">
        <v>193</v>
      </c>
      <c r="E102" s="3">
        <v>6448</v>
      </c>
      <c r="F102" s="3"/>
      <c r="G102" s="3" t="s">
        <v>30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6">
        <v>390660</v>
      </c>
      <c r="AD102" s="2" t="str">
        <f>VLOOKUP(E102,'[1]Detailed Transfer Report (12)'!$K:$Y,14,FALSE)</f>
        <v>Sardar M Shareef</v>
      </c>
      <c r="AE102" s="16"/>
    </row>
    <row r="103" spans="1:31" x14ac:dyDescent="0.25">
      <c r="A103" s="9">
        <v>0.4</v>
      </c>
      <c r="B103" s="4">
        <v>38294</v>
      </c>
      <c r="C103" s="3" t="s">
        <v>199</v>
      </c>
      <c r="D103" s="3" t="s">
        <v>193</v>
      </c>
      <c r="E103" s="3">
        <v>6457</v>
      </c>
      <c r="F103" s="3"/>
      <c r="G103" s="3" t="s">
        <v>30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6">
        <v>390660</v>
      </c>
      <c r="AD103" s="2" t="str">
        <f>VLOOKUP(E103,'[1]Detailed Transfer Report (12)'!$K:$Y,14,FALSE)</f>
        <v>Sardar M Shareef</v>
      </c>
      <c r="AE103" s="16"/>
    </row>
    <row r="104" spans="1:31" x14ac:dyDescent="0.25">
      <c r="A104" s="10">
        <v>0.4</v>
      </c>
      <c r="B104" s="4">
        <v>38294</v>
      </c>
      <c r="C104" s="3" t="s">
        <v>44</v>
      </c>
      <c r="D104" s="3" t="s">
        <v>193</v>
      </c>
      <c r="E104" s="3">
        <v>6458</v>
      </c>
      <c r="F104" s="3"/>
      <c r="G104" s="3" t="s">
        <v>30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6">
        <v>390660</v>
      </c>
      <c r="AD104" s="2" t="str">
        <f>VLOOKUP(E104,'[1]Detailed Transfer Report (12)'!$K:$Y,14,FALSE)</f>
        <v>Sardar M Shareef</v>
      </c>
      <c r="AE104" s="16"/>
    </row>
    <row r="105" spans="1:31" x14ac:dyDescent="0.25">
      <c r="A105" s="7">
        <v>0.5</v>
      </c>
      <c r="B105" s="4">
        <v>38327</v>
      </c>
      <c r="C105" s="3" t="s">
        <v>200</v>
      </c>
      <c r="D105" s="3" t="s">
        <v>201</v>
      </c>
      <c r="E105" s="3">
        <v>4819</v>
      </c>
      <c r="F105" s="3"/>
      <c r="G105" s="3" t="s">
        <v>30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5">
        <v>22500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5">
        <v>21000</v>
      </c>
      <c r="X105" s="3">
        <v>0</v>
      </c>
      <c r="Y105" s="3">
        <v>0</v>
      </c>
      <c r="Z105" s="3">
        <v>0</v>
      </c>
      <c r="AA105" s="3">
        <v>0</v>
      </c>
      <c r="AB105" s="6">
        <v>43500</v>
      </c>
      <c r="AD105" s="2" t="str">
        <f>VLOOKUP(E105,'[1]Detailed Transfer Report (12)'!$K:$Y,14,FALSE)</f>
        <v>Sardar M Sagheer Khan</v>
      </c>
      <c r="AE105" s="16"/>
    </row>
    <row r="106" spans="1:31" x14ac:dyDescent="0.25">
      <c r="A106" s="9">
        <v>0.5</v>
      </c>
      <c r="B106" s="4">
        <v>38327</v>
      </c>
      <c r="C106" s="3" t="s">
        <v>202</v>
      </c>
      <c r="D106" s="3" t="s">
        <v>203</v>
      </c>
      <c r="E106" s="3">
        <v>4837</v>
      </c>
      <c r="F106" s="3"/>
      <c r="G106" s="3" t="s">
        <v>30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5">
        <v>12000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5">
        <v>9000</v>
      </c>
      <c r="X106" s="3">
        <v>0</v>
      </c>
      <c r="Y106" s="3">
        <v>0</v>
      </c>
      <c r="Z106" s="3">
        <v>0</v>
      </c>
      <c r="AA106" s="3">
        <v>0</v>
      </c>
      <c r="AB106" s="6">
        <v>64500</v>
      </c>
      <c r="AD106" s="2" t="str">
        <f>VLOOKUP(E106,'[1]Detailed Transfer Report (12)'!$K:$Y,14,FALSE)</f>
        <v>Sardar M Sagheer Khan</v>
      </c>
      <c r="AE106" s="16"/>
    </row>
    <row r="107" spans="1:31" x14ac:dyDescent="0.25">
      <c r="A107" s="9">
        <v>0.5</v>
      </c>
      <c r="B107" s="4">
        <v>38327</v>
      </c>
      <c r="C107" s="3" t="s">
        <v>194</v>
      </c>
      <c r="D107" s="3" t="s">
        <v>204</v>
      </c>
      <c r="E107" s="3">
        <v>4841</v>
      </c>
      <c r="F107" s="3"/>
      <c r="G107" s="3" t="s">
        <v>30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5">
        <v>12000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5">
        <v>6600</v>
      </c>
      <c r="X107" s="3">
        <v>0</v>
      </c>
      <c r="Y107" s="3">
        <v>0</v>
      </c>
      <c r="Z107" s="3">
        <v>0</v>
      </c>
      <c r="AA107" s="3">
        <v>0</v>
      </c>
      <c r="AB107" s="6">
        <v>83100</v>
      </c>
      <c r="AD107" s="2" t="str">
        <f>VLOOKUP(E107,'[1]Detailed Transfer Report (12)'!$K:$Y,14,FALSE)</f>
        <v>Sardar M Sagheer Khan</v>
      </c>
      <c r="AE107" s="16"/>
    </row>
    <row r="108" spans="1:31" x14ac:dyDescent="0.25">
      <c r="A108" s="9">
        <v>0.5</v>
      </c>
      <c r="B108" s="4">
        <v>38327</v>
      </c>
      <c r="C108" s="3" t="s">
        <v>205</v>
      </c>
      <c r="D108" s="3" t="s">
        <v>206</v>
      </c>
      <c r="E108" s="3">
        <v>755</v>
      </c>
      <c r="F108" s="3"/>
      <c r="G108" s="3" t="s">
        <v>41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6">
        <v>83100</v>
      </c>
      <c r="AD108" s="2" t="str">
        <f>VLOOKUP(E108,'[1]Detailed Transfer Report (12)'!$K:$Y,14,FALSE)</f>
        <v>Sardar M Shareef</v>
      </c>
      <c r="AE108" s="16"/>
    </row>
    <row r="109" spans="1:31" x14ac:dyDescent="0.25">
      <c r="A109" s="9">
        <v>0.5</v>
      </c>
      <c r="B109" s="4">
        <v>38327</v>
      </c>
      <c r="C109" s="3" t="s">
        <v>207</v>
      </c>
      <c r="D109" s="3" t="s">
        <v>206</v>
      </c>
      <c r="E109" s="3">
        <v>752</v>
      </c>
      <c r="F109" s="3"/>
      <c r="G109" s="3" t="s">
        <v>41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5">
        <v>21015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5">
        <v>13985</v>
      </c>
      <c r="X109" s="3">
        <v>0</v>
      </c>
      <c r="Y109" s="3">
        <v>0</v>
      </c>
      <c r="Z109" s="3">
        <v>0</v>
      </c>
      <c r="AA109" s="3">
        <v>0</v>
      </c>
      <c r="AB109" s="6">
        <v>118100</v>
      </c>
      <c r="AD109" s="2" t="str">
        <f>VLOOKUP(E109,'[1]Detailed Transfer Report (12)'!$K:$Y,14,FALSE)</f>
        <v>Sardar M Shareef</v>
      </c>
      <c r="AE109" s="16"/>
    </row>
    <row r="110" spans="1:31" x14ac:dyDescent="0.25">
      <c r="A110" s="9">
        <v>0.5</v>
      </c>
      <c r="B110" s="4">
        <v>38327</v>
      </c>
      <c r="C110" s="3" t="s">
        <v>208</v>
      </c>
      <c r="D110" s="3" t="s">
        <v>206</v>
      </c>
      <c r="E110" s="3">
        <v>750</v>
      </c>
      <c r="F110" s="3"/>
      <c r="G110" s="3" t="s">
        <v>41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5">
        <v>21200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5">
        <v>24000</v>
      </c>
      <c r="X110" s="3">
        <v>0</v>
      </c>
      <c r="Y110" s="3">
        <v>0</v>
      </c>
      <c r="Z110" s="3">
        <v>0</v>
      </c>
      <c r="AA110" s="3">
        <v>0</v>
      </c>
      <c r="AB110" s="6">
        <v>163300</v>
      </c>
      <c r="AD110" s="2" t="str">
        <f>VLOOKUP(E110,'[1]Detailed Transfer Report (12)'!$K:$Y,14,FALSE)</f>
        <v>Sardar M Shareef</v>
      </c>
      <c r="AE110" s="16"/>
    </row>
    <row r="111" spans="1:31" x14ac:dyDescent="0.25">
      <c r="A111" s="10">
        <v>0.5</v>
      </c>
      <c r="B111" s="4">
        <v>38327</v>
      </c>
      <c r="C111" s="3" t="s">
        <v>209</v>
      </c>
      <c r="D111" s="3" t="s">
        <v>210</v>
      </c>
      <c r="E111" s="3">
        <v>4838</v>
      </c>
      <c r="F111" s="3"/>
      <c r="G111" s="3" t="s">
        <v>30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900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6">
        <v>164200</v>
      </c>
      <c r="AD111" s="2" t="str">
        <f>VLOOKUP(E111,'[1]Detailed Transfer Report (12)'!$K:$Y,14,FALSE)</f>
        <v>Sardar M Sagheer Khan</v>
      </c>
      <c r="AE111" s="16"/>
    </row>
    <row r="112" spans="1:31" x14ac:dyDescent="0.25">
      <c r="A112" s="3">
        <v>0.6</v>
      </c>
      <c r="B112" s="4">
        <v>38151</v>
      </c>
      <c r="C112" s="3" t="s">
        <v>211</v>
      </c>
      <c r="D112" s="3" t="s">
        <v>212</v>
      </c>
      <c r="E112" s="3">
        <v>8814</v>
      </c>
      <c r="F112" s="3"/>
      <c r="G112" s="3" t="s">
        <v>30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8">
        <v>0</v>
      </c>
      <c r="AD112" s="2" t="str">
        <f>VLOOKUP(E112,'[1]Detailed Transfer Report (12)'!$K:$Y,14,FALSE)</f>
        <v>Sardar M Sagheer Khan</v>
      </c>
      <c r="AE112" s="16">
        <f>VLOOKUP(E112,'[1]Detailed Transfer Report (12)'!$K:$Y,15,FALSE)</f>
        <v>45006</v>
      </c>
    </row>
    <row r="113" spans="1:31" x14ac:dyDescent="0.25">
      <c r="A113" s="7">
        <v>0.7</v>
      </c>
      <c r="B113" s="4">
        <v>38528</v>
      </c>
      <c r="C113" s="3" t="s">
        <v>213</v>
      </c>
      <c r="D113" s="3" t="s">
        <v>214</v>
      </c>
      <c r="E113" s="3">
        <v>4859</v>
      </c>
      <c r="F113" s="3"/>
      <c r="G113" s="3" t="s">
        <v>30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5">
        <v>53000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6">
        <v>53000</v>
      </c>
      <c r="AD113" s="2" t="str">
        <f>VLOOKUP(E113,'[1]Detailed Transfer Report (12)'!$K:$Y,14,FALSE)</f>
        <v>Sardar M Sagheer Khan</v>
      </c>
      <c r="AE113" s="16"/>
    </row>
    <row r="114" spans="1:31" x14ac:dyDescent="0.25">
      <c r="A114" s="9">
        <v>0.7</v>
      </c>
      <c r="B114" s="4">
        <v>38529</v>
      </c>
      <c r="C114" s="3" t="s">
        <v>215</v>
      </c>
      <c r="D114" s="3" t="s">
        <v>216</v>
      </c>
      <c r="E114" s="3">
        <v>4944</v>
      </c>
      <c r="F114" s="3"/>
      <c r="G114" s="3" t="s">
        <v>30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5">
        <v>60017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5">
        <v>75966</v>
      </c>
      <c r="X114" s="3">
        <v>0</v>
      </c>
      <c r="Y114" s="3">
        <v>0</v>
      </c>
      <c r="Z114" s="3">
        <v>0</v>
      </c>
      <c r="AA114" s="3">
        <v>0</v>
      </c>
      <c r="AB114" s="6">
        <v>188983</v>
      </c>
      <c r="AD114" s="2" t="str">
        <f>VLOOKUP(E114,'[1]Detailed Transfer Report (12)'!$K:$Y,14,FALSE)</f>
        <v>Sardar M Shareef</v>
      </c>
      <c r="AE114" s="16"/>
    </row>
    <row r="115" spans="1:31" x14ac:dyDescent="0.25">
      <c r="A115" s="10">
        <v>0.7</v>
      </c>
      <c r="B115" s="4">
        <v>38529</v>
      </c>
      <c r="C115" s="3" t="s">
        <v>88</v>
      </c>
      <c r="D115" s="3" t="s">
        <v>216</v>
      </c>
      <c r="E115" s="3">
        <v>4945</v>
      </c>
      <c r="F115" s="3"/>
      <c r="G115" s="3" t="s">
        <v>30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6">
        <v>188983</v>
      </c>
      <c r="AD115" s="2" t="str">
        <f>VLOOKUP(E115,'[1]Detailed Transfer Report (12)'!$K:$Y,14,FALSE)</f>
        <v>Sardar M Shareef</v>
      </c>
      <c r="AE115" s="16"/>
    </row>
    <row r="116" spans="1:31" x14ac:dyDescent="0.25">
      <c r="A116" s="7">
        <v>0.8</v>
      </c>
      <c r="B116" s="4">
        <v>38394</v>
      </c>
      <c r="C116" s="3" t="s">
        <v>171</v>
      </c>
      <c r="D116" s="3" t="s">
        <v>217</v>
      </c>
      <c r="E116" s="3">
        <v>5006</v>
      </c>
      <c r="F116" s="3"/>
      <c r="G116" s="3" t="s">
        <v>30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8">
        <v>0</v>
      </c>
      <c r="AD116" s="2" t="str">
        <f>VLOOKUP(E116,'[1]Detailed Transfer Report (12)'!$K:$Y,14,FALSE)</f>
        <v>Sardar M Sagheer Khan</v>
      </c>
      <c r="AE116" s="16"/>
    </row>
    <row r="117" spans="1:31" x14ac:dyDescent="0.25">
      <c r="A117" s="9">
        <v>0.8</v>
      </c>
      <c r="B117" s="4">
        <v>38394</v>
      </c>
      <c r="C117" s="3" t="s">
        <v>68</v>
      </c>
      <c r="D117" s="3" t="s">
        <v>218</v>
      </c>
      <c r="E117" s="3">
        <v>5007</v>
      </c>
      <c r="F117" s="3"/>
      <c r="G117" s="3" t="s">
        <v>30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8">
        <v>0</v>
      </c>
      <c r="AD117" s="2" t="str">
        <f>VLOOKUP(E117,'[1]Detailed Transfer Report (12)'!$K:$Y,14,FALSE)</f>
        <v>Sardar M Sagheer Khan</v>
      </c>
      <c r="AE117" s="16"/>
    </row>
    <row r="118" spans="1:31" x14ac:dyDescent="0.25">
      <c r="A118" s="9">
        <v>0.8</v>
      </c>
      <c r="B118" s="4">
        <v>38394</v>
      </c>
      <c r="C118" s="3" t="s">
        <v>219</v>
      </c>
      <c r="D118" s="3" t="s">
        <v>220</v>
      </c>
      <c r="E118" s="3">
        <v>5008</v>
      </c>
      <c r="F118" s="3"/>
      <c r="G118" s="3" t="s">
        <v>30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8">
        <v>0</v>
      </c>
      <c r="AD118" s="2" t="str">
        <f>VLOOKUP(E118,'[1]Detailed Transfer Report (12)'!$K:$Y,14,FALSE)</f>
        <v>Sardar M Sagheer Khan</v>
      </c>
      <c r="AE118" s="16"/>
    </row>
    <row r="119" spans="1:31" x14ac:dyDescent="0.25">
      <c r="A119" s="9">
        <v>0.8</v>
      </c>
      <c r="B119" s="4">
        <v>38394</v>
      </c>
      <c r="C119" s="3" t="s">
        <v>141</v>
      </c>
      <c r="D119" s="3" t="s">
        <v>221</v>
      </c>
      <c r="E119" s="3">
        <v>5010</v>
      </c>
      <c r="F119" s="3"/>
      <c r="G119" s="3" t="s">
        <v>30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8">
        <v>0</v>
      </c>
      <c r="AD119" s="2" t="str">
        <f>VLOOKUP(E119,'[1]Detailed Transfer Report (12)'!$K:$Y,14,FALSE)</f>
        <v>Sardar M Sagheer Khan</v>
      </c>
      <c r="AE119" s="16"/>
    </row>
    <row r="120" spans="1:31" x14ac:dyDescent="0.25">
      <c r="A120" s="9">
        <v>0.8</v>
      </c>
      <c r="B120" s="4">
        <v>38394</v>
      </c>
      <c r="C120" s="3" t="s">
        <v>46</v>
      </c>
      <c r="D120" s="3" t="s">
        <v>222</v>
      </c>
      <c r="E120" s="3">
        <v>5014</v>
      </c>
      <c r="F120" s="3"/>
      <c r="G120" s="3" t="s">
        <v>30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8">
        <v>0</v>
      </c>
      <c r="AD120" s="2" t="str">
        <f>VLOOKUP(E120,'[1]Detailed Transfer Report (12)'!$K:$Y,14,FALSE)</f>
        <v>Sardar M Sagheer Khan</v>
      </c>
      <c r="AE120" s="16"/>
    </row>
    <row r="121" spans="1:31" x14ac:dyDescent="0.25">
      <c r="A121" s="9">
        <v>0.8</v>
      </c>
      <c r="B121" s="4">
        <v>38394</v>
      </c>
      <c r="C121" s="3" t="s">
        <v>223</v>
      </c>
      <c r="D121" s="3" t="s">
        <v>224</v>
      </c>
      <c r="E121" s="3">
        <v>5009</v>
      </c>
      <c r="F121" s="3"/>
      <c r="G121" s="3" t="s">
        <v>30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8">
        <v>0</v>
      </c>
      <c r="AD121" s="2" t="str">
        <f>VLOOKUP(E121,'[1]Detailed Transfer Report (12)'!$K:$Y,14,FALSE)</f>
        <v>Sardar M Sagheer Khan</v>
      </c>
      <c r="AE121" s="16"/>
    </row>
    <row r="122" spans="1:31" x14ac:dyDescent="0.25">
      <c r="A122" s="9">
        <v>0.8</v>
      </c>
      <c r="B122" s="4">
        <v>38394</v>
      </c>
      <c r="C122" s="3" t="s">
        <v>225</v>
      </c>
      <c r="D122" s="3" t="s">
        <v>226</v>
      </c>
      <c r="E122" s="3">
        <v>5011</v>
      </c>
      <c r="F122" s="3"/>
      <c r="G122" s="3" t="s">
        <v>30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5">
        <v>136619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5">
        <v>144000</v>
      </c>
      <c r="X122" s="3">
        <v>0</v>
      </c>
      <c r="Y122" s="3">
        <v>0</v>
      </c>
      <c r="Z122" s="3">
        <v>0</v>
      </c>
      <c r="AA122" s="3">
        <v>0</v>
      </c>
      <c r="AB122" s="6">
        <v>280619</v>
      </c>
      <c r="AD122" s="2" t="str">
        <f>VLOOKUP(E122,'[1]Detailed Transfer Report (12)'!$K:$Y,14,FALSE)</f>
        <v>Sardar M Sagheer Khan</v>
      </c>
      <c r="AE122" s="16"/>
    </row>
    <row r="123" spans="1:31" x14ac:dyDescent="0.25">
      <c r="A123" s="9">
        <v>0.8</v>
      </c>
      <c r="B123" s="4">
        <v>38394</v>
      </c>
      <c r="C123" s="3" t="s">
        <v>227</v>
      </c>
      <c r="D123" s="3" t="s">
        <v>228</v>
      </c>
      <c r="E123" s="3">
        <v>5012</v>
      </c>
      <c r="F123" s="3"/>
      <c r="G123" s="3" t="s">
        <v>30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6">
        <v>280619</v>
      </c>
      <c r="AD123" s="2" t="str">
        <f>VLOOKUP(E123,'[1]Detailed Transfer Report (12)'!$K:$Y,14,FALSE)</f>
        <v>Sardar M Sagheer Khan</v>
      </c>
      <c r="AE123" s="16"/>
    </row>
    <row r="124" spans="1:31" x14ac:dyDescent="0.25">
      <c r="A124" s="9">
        <v>0.8</v>
      </c>
      <c r="B124" s="4">
        <v>38394</v>
      </c>
      <c r="C124" s="3" t="s">
        <v>84</v>
      </c>
      <c r="D124" s="3" t="s">
        <v>229</v>
      </c>
      <c r="E124" s="3">
        <v>5030</v>
      </c>
      <c r="F124" s="3"/>
      <c r="G124" s="3" t="s">
        <v>30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6">
        <v>280619</v>
      </c>
      <c r="AD124" s="2" t="str">
        <f>VLOOKUP(E124,'[1]Detailed Transfer Report (12)'!$K:$Y,14,FALSE)</f>
        <v>Sardar M Sagheer Khan</v>
      </c>
      <c r="AE124" s="16"/>
    </row>
    <row r="125" spans="1:31" x14ac:dyDescent="0.25">
      <c r="A125" s="10">
        <v>0.8</v>
      </c>
      <c r="B125" s="4">
        <v>38394</v>
      </c>
      <c r="C125" s="3" t="s">
        <v>44</v>
      </c>
      <c r="D125" s="3" t="s">
        <v>230</v>
      </c>
      <c r="E125" s="3">
        <v>5013</v>
      </c>
      <c r="F125" s="3"/>
      <c r="G125" s="3" t="s">
        <v>30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6">
        <v>280619</v>
      </c>
      <c r="AD125" s="2" t="str">
        <f>VLOOKUP(E125,'[1]Detailed Transfer Report (12)'!$K:$Y,14,FALSE)</f>
        <v>Sardar M Sagheer Khan</v>
      </c>
      <c r="AE125" s="16"/>
    </row>
    <row r="126" spans="1:31" x14ac:dyDescent="0.25">
      <c r="A126" s="7">
        <v>0.9</v>
      </c>
      <c r="B126" s="4">
        <v>38429</v>
      </c>
      <c r="C126" s="3" t="s">
        <v>231</v>
      </c>
      <c r="D126" s="3" t="s">
        <v>232</v>
      </c>
      <c r="E126" s="3">
        <v>4967</v>
      </c>
      <c r="F126" s="3"/>
      <c r="G126" s="3" t="s">
        <v>30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5">
        <v>3767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6">
        <v>3767</v>
      </c>
      <c r="AD126" s="2" t="str">
        <f>VLOOKUP(E126,'[1]Detailed Transfer Report (12)'!$K:$Y,14,FALSE)</f>
        <v>Sardar M Sagheer Khan</v>
      </c>
      <c r="AE126" s="16"/>
    </row>
    <row r="127" spans="1:31" x14ac:dyDescent="0.25">
      <c r="A127" s="9">
        <v>0.9</v>
      </c>
      <c r="B127" s="4">
        <v>38394</v>
      </c>
      <c r="C127" s="3" t="s">
        <v>233</v>
      </c>
      <c r="D127" s="3" t="s">
        <v>234</v>
      </c>
      <c r="E127" s="3">
        <v>5031</v>
      </c>
      <c r="F127" s="3"/>
      <c r="G127" s="3" t="s">
        <v>30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6">
        <v>3767</v>
      </c>
      <c r="AD127" s="2" t="str">
        <f>VLOOKUP(E127,'[1]Detailed Transfer Report (12)'!$K:$Y,14,FALSE)</f>
        <v>Sardar M Sagheer Khan</v>
      </c>
      <c r="AE127" s="16"/>
    </row>
    <row r="128" spans="1:31" x14ac:dyDescent="0.25">
      <c r="A128" s="9">
        <v>0.9</v>
      </c>
      <c r="B128" s="4">
        <v>38429</v>
      </c>
      <c r="C128" s="3" t="s">
        <v>235</v>
      </c>
      <c r="D128" s="3" t="s">
        <v>236</v>
      </c>
      <c r="E128" s="3">
        <v>5088</v>
      </c>
      <c r="F128" s="3"/>
      <c r="G128" s="3" t="s">
        <v>30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5">
        <v>178684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5">
        <v>94000</v>
      </c>
      <c r="X128" s="3">
        <v>0</v>
      </c>
      <c r="Y128" s="3">
        <v>0</v>
      </c>
      <c r="Z128" s="3">
        <v>0</v>
      </c>
      <c r="AA128" s="3">
        <v>0</v>
      </c>
      <c r="AB128" s="6">
        <v>276451</v>
      </c>
      <c r="AD128" s="2" t="str">
        <f>VLOOKUP(E128,'[1]Detailed Transfer Report (12)'!$K:$Y,14,FALSE)</f>
        <v>Sardar M Sagheer Khan</v>
      </c>
      <c r="AE128" s="16"/>
    </row>
    <row r="129" spans="1:31" x14ac:dyDescent="0.25">
      <c r="A129" s="9">
        <v>0.9</v>
      </c>
      <c r="B129" s="4">
        <v>38449</v>
      </c>
      <c r="C129" s="3" t="s">
        <v>157</v>
      </c>
      <c r="D129" s="3" t="s">
        <v>237</v>
      </c>
      <c r="E129" s="3">
        <v>1087</v>
      </c>
      <c r="F129" s="3"/>
      <c r="G129" s="3" t="s">
        <v>41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5">
        <v>60300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5">
        <v>20000</v>
      </c>
      <c r="X129" s="3">
        <v>0</v>
      </c>
      <c r="Y129" s="3">
        <v>0</v>
      </c>
      <c r="Z129" s="3">
        <v>0</v>
      </c>
      <c r="AA129" s="5">
        <v>20100</v>
      </c>
      <c r="AB129" s="6">
        <v>376851</v>
      </c>
      <c r="AD129" s="2" t="str">
        <f>VLOOKUP(E129,'[1]Detailed Transfer Report (12)'!$K:$Y,14,FALSE)</f>
        <v>Sardar M Shareef</v>
      </c>
      <c r="AE129" s="16"/>
    </row>
    <row r="130" spans="1:31" x14ac:dyDescent="0.25">
      <c r="A130" s="9">
        <v>0.9</v>
      </c>
      <c r="B130" s="4">
        <v>38449</v>
      </c>
      <c r="C130" s="3" t="s">
        <v>238</v>
      </c>
      <c r="D130" s="3" t="s">
        <v>239</v>
      </c>
      <c r="E130" s="3">
        <v>784</v>
      </c>
      <c r="F130" s="3"/>
      <c r="G130" s="3" t="s">
        <v>41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5">
        <v>21000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5">
        <v>30784</v>
      </c>
      <c r="X130" s="3">
        <v>0</v>
      </c>
      <c r="Y130" s="3">
        <v>0</v>
      </c>
      <c r="Z130" s="3">
        <v>0</v>
      </c>
      <c r="AA130" s="3">
        <v>0</v>
      </c>
      <c r="AB130" s="6">
        <v>428635</v>
      </c>
      <c r="AD130" s="2" t="str">
        <f>VLOOKUP(E130,'[1]Detailed Transfer Report (12)'!$K:$Y,14,FALSE)</f>
        <v>Sardar M Shareef</v>
      </c>
      <c r="AE130" s="16"/>
    </row>
    <row r="131" spans="1:31" x14ac:dyDescent="0.25">
      <c r="A131" s="9">
        <v>0.9</v>
      </c>
      <c r="B131" s="4">
        <v>38449</v>
      </c>
      <c r="C131" s="3" t="s">
        <v>44</v>
      </c>
      <c r="D131" s="3" t="s">
        <v>240</v>
      </c>
      <c r="E131" s="3">
        <v>1112</v>
      </c>
      <c r="F131" s="3"/>
      <c r="G131" s="3" t="s">
        <v>41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5">
        <v>15900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5">
        <v>5000</v>
      </c>
      <c r="X131" s="3">
        <v>0</v>
      </c>
      <c r="Y131" s="3">
        <v>0</v>
      </c>
      <c r="Z131" s="3">
        <v>0</v>
      </c>
      <c r="AA131" s="5">
        <v>5300</v>
      </c>
      <c r="AB131" s="6">
        <v>454835</v>
      </c>
      <c r="AD131" s="2" t="str">
        <f>VLOOKUP(E131,'[1]Detailed Transfer Report (12)'!$K:$Y,14,FALSE)</f>
        <v>Sardar M Shareef</v>
      </c>
      <c r="AE131" s="16"/>
    </row>
    <row r="132" spans="1:31" x14ac:dyDescent="0.25">
      <c r="A132" s="9">
        <v>0.9</v>
      </c>
      <c r="B132" s="4">
        <v>38429</v>
      </c>
      <c r="C132" s="3" t="s">
        <v>241</v>
      </c>
      <c r="D132" s="3" t="s">
        <v>242</v>
      </c>
      <c r="E132" s="3">
        <v>5087</v>
      </c>
      <c r="F132" s="3"/>
      <c r="G132" s="3" t="s">
        <v>30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5">
        <v>267043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5">
        <v>200000</v>
      </c>
      <c r="X132" s="3">
        <v>0</v>
      </c>
      <c r="Y132" s="3">
        <v>0</v>
      </c>
      <c r="Z132" s="3">
        <v>0</v>
      </c>
      <c r="AA132" s="3">
        <v>0</v>
      </c>
      <c r="AB132" s="6">
        <v>921878</v>
      </c>
      <c r="AD132" s="2" t="str">
        <f>VLOOKUP(E132,'[1]Detailed Transfer Report (12)'!$K:$Y,14,FALSE)</f>
        <v>Sardar M Sagheer Khan</v>
      </c>
      <c r="AE132" s="16"/>
    </row>
    <row r="133" spans="1:31" x14ac:dyDescent="0.25">
      <c r="A133" s="9">
        <v>0.9</v>
      </c>
      <c r="B133" s="4">
        <v>38429</v>
      </c>
      <c r="C133" s="3" t="s">
        <v>127</v>
      </c>
      <c r="D133" s="3" t="s">
        <v>243</v>
      </c>
      <c r="E133" s="3">
        <v>5175</v>
      </c>
      <c r="F133" s="3"/>
      <c r="G133" s="3" t="s">
        <v>30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5">
        <v>12017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6">
        <v>933895</v>
      </c>
      <c r="AD133" s="2" t="str">
        <f>VLOOKUP(E133,'[1]Detailed Transfer Report (12)'!$K:$Y,14,FALSE)</f>
        <v>Sardar M Sagheer Khan</v>
      </c>
      <c r="AE133" s="16"/>
    </row>
    <row r="134" spans="1:31" x14ac:dyDescent="0.25">
      <c r="A134" s="9">
        <v>0.9</v>
      </c>
      <c r="B134" s="4">
        <v>38429</v>
      </c>
      <c r="C134" s="3" t="s">
        <v>244</v>
      </c>
      <c r="D134" s="3" t="s">
        <v>245</v>
      </c>
      <c r="E134" s="3">
        <v>5176</v>
      </c>
      <c r="F134" s="3"/>
      <c r="G134" s="3" t="s">
        <v>30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5">
        <v>5100</v>
      </c>
      <c r="X134" s="3">
        <v>0</v>
      </c>
      <c r="Y134" s="3">
        <v>0</v>
      </c>
      <c r="Z134" s="3">
        <v>0</v>
      </c>
      <c r="AA134" s="5">
        <v>3017</v>
      </c>
      <c r="AB134" s="6">
        <v>942012</v>
      </c>
      <c r="AD134" s="2" t="str">
        <f>VLOOKUP(E134,'[1]Detailed Transfer Report (12)'!$K:$Y,14,FALSE)</f>
        <v>Sardar M Sagheer Khan</v>
      </c>
      <c r="AE134" s="16"/>
    </row>
    <row r="135" spans="1:31" x14ac:dyDescent="0.25">
      <c r="A135" s="9">
        <v>0.9</v>
      </c>
      <c r="B135" s="4">
        <v>38429</v>
      </c>
      <c r="C135" s="3" t="s">
        <v>246</v>
      </c>
      <c r="D135" s="3" t="s">
        <v>247</v>
      </c>
      <c r="E135" s="3">
        <v>5126</v>
      </c>
      <c r="F135" s="3"/>
      <c r="G135" s="3" t="s">
        <v>30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5">
        <v>48017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5">
        <v>25500</v>
      </c>
      <c r="AB135" s="6">
        <v>1015529</v>
      </c>
      <c r="AD135" s="2" t="str">
        <f>VLOOKUP(E135,'[1]Detailed Transfer Report (12)'!$K:$Y,14,FALSE)</f>
        <v>Sardar M Shareef</v>
      </c>
      <c r="AE135" s="16"/>
    </row>
    <row r="136" spans="1:31" x14ac:dyDescent="0.25">
      <c r="A136" s="10">
        <v>0.9</v>
      </c>
      <c r="B136" s="4">
        <v>38449</v>
      </c>
      <c r="C136" s="3" t="s">
        <v>207</v>
      </c>
      <c r="D136" s="3" t="s">
        <v>239</v>
      </c>
      <c r="E136" s="3">
        <v>786</v>
      </c>
      <c r="F136" s="3"/>
      <c r="G136" s="3" t="s">
        <v>41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5">
        <v>21000</v>
      </c>
      <c r="X136" s="3">
        <v>0</v>
      </c>
      <c r="Y136" s="3">
        <v>0</v>
      </c>
      <c r="Z136" s="3">
        <v>0</v>
      </c>
      <c r="AA136" s="3">
        <v>0</v>
      </c>
      <c r="AB136" s="6">
        <v>1036529</v>
      </c>
      <c r="AD136" s="2" t="str">
        <f>VLOOKUP(E136,'[1]Detailed Transfer Report (12)'!$K:$Y,14,FALSE)</f>
        <v>Sardar M Shareef</v>
      </c>
      <c r="AE136" s="16"/>
    </row>
    <row r="137" spans="1:31" x14ac:dyDescent="0.25">
      <c r="A137" s="7">
        <v>1</v>
      </c>
      <c r="B137" s="4">
        <v>40985</v>
      </c>
      <c r="C137" s="3" t="s">
        <v>248</v>
      </c>
      <c r="D137" s="3" t="s">
        <v>249</v>
      </c>
      <c r="E137" s="3" t="s">
        <v>250</v>
      </c>
      <c r="F137" s="3"/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5">
        <v>96000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6">
        <v>96000</v>
      </c>
      <c r="AD137" s="2" t="str">
        <f>VLOOKUP(E137,'[1]Detailed Transfer Report (12)'!$K:$Y,14,FALSE)</f>
        <v>Noor Wahid</v>
      </c>
      <c r="AE137" s="16"/>
    </row>
    <row r="138" spans="1:31" x14ac:dyDescent="0.25">
      <c r="A138" s="10">
        <v>1</v>
      </c>
      <c r="B138" s="4">
        <v>40844</v>
      </c>
      <c r="C138" s="3" t="s">
        <v>251</v>
      </c>
      <c r="D138" s="3" t="s">
        <v>252</v>
      </c>
      <c r="E138" s="3" t="s">
        <v>253</v>
      </c>
      <c r="F138" s="3"/>
      <c r="G138" s="3" t="s">
        <v>30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5">
        <v>159000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5">
        <v>165000</v>
      </c>
      <c r="X138" s="3">
        <v>0</v>
      </c>
      <c r="Y138" s="3">
        <v>0</v>
      </c>
      <c r="Z138" s="3">
        <v>0</v>
      </c>
      <c r="AA138" s="5">
        <v>129000</v>
      </c>
      <c r="AB138" s="6">
        <v>549000</v>
      </c>
      <c r="AD138" s="2" t="str">
        <f>VLOOKUP(E138,'[1]Detailed Transfer Report (12)'!$K:$Y,14,FALSE)</f>
        <v>Noor Wahid</v>
      </c>
      <c r="AE138" s="16"/>
    </row>
    <row r="139" spans="1:31" x14ac:dyDescent="0.25">
      <c r="A139" s="7">
        <v>2</v>
      </c>
      <c r="B139" s="4">
        <v>40294</v>
      </c>
      <c r="C139" s="3" t="s">
        <v>205</v>
      </c>
      <c r="D139" s="3" t="s">
        <v>254</v>
      </c>
      <c r="E139" s="3">
        <v>966</v>
      </c>
      <c r="F139" s="3"/>
      <c r="G139" s="3" t="s">
        <v>41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5">
        <v>9500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5">
        <v>3000</v>
      </c>
      <c r="AB139" s="6">
        <v>12500</v>
      </c>
      <c r="AD139" s="2" t="str">
        <f>VLOOKUP(E139,'[1]Detailed Transfer Report (12)'!$K:$Y,14,FALSE)</f>
        <v>Sardar Tanveer Ilyas</v>
      </c>
      <c r="AE139" s="16"/>
    </row>
    <row r="140" spans="1:31" x14ac:dyDescent="0.25">
      <c r="A140" s="10">
        <v>2</v>
      </c>
      <c r="B140" s="4">
        <v>40294</v>
      </c>
      <c r="C140" s="3" t="s">
        <v>90</v>
      </c>
      <c r="D140" s="3" t="s">
        <v>255</v>
      </c>
      <c r="E140" s="3">
        <v>965</v>
      </c>
      <c r="F140" s="3"/>
      <c r="G140" s="3" t="s">
        <v>41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5">
        <v>33500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500</v>
      </c>
      <c r="W140" s="5">
        <v>24000</v>
      </c>
      <c r="X140" s="3">
        <v>0</v>
      </c>
      <c r="Y140" s="3">
        <v>0</v>
      </c>
      <c r="Z140" s="3">
        <v>0</v>
      </c>
      <c r="AA140" s="5">
        <v>11000</v>
      </c>
      <c r="AB140" s="6">
        <v>81500</v>
      </c>
      <c r="AD140" s="2" t="str">
        <f>VLOOKUP(E140,'[1]Detailed Transfer Report (12)'!$K:$Y,14,FALSE)</f>
        <v>Sardar Tanveer Ilyas</v>
      </c>
      <c r="AE140" s="16"/>
    </row>
    <row r="141" spans="1:31" x14ac:dyDescent="0.25">
      <c r="A141" s="3">
        <v>3</v>
      </c>
      <c r="B141" s="4">
        <v>40298</v>
      </c>
      <c r="C141" s="3" t="s">
        <v>256</v>
      </c>
      <c r="D141" s="3" t="s">
        <v>257</v>
      </c>
      <c r="E141" s="3">
        <v>969</v>
      </c>
      <c r="F141" s="3"/>
      <c r="G141" s="3" t="s">
        <v>41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5">
        <v>53000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500</v>
      </c>
      <c r="W141" s="5">
        <v>30000</v>
      </c>
      <c r="X141" s="3">
        <v>0</v>
      </c>
      <c r="Y141" s="3">
        <v>0</v>
      </c>
      <c r="Z141" s="3">
        <v>0</v>
      </c>
      <c r="AA141" s="5">
        <v>17500</v>
      </c>
      <c r="AB141" s="6">
        <v>101000</v>
      </c>
      <c r="AD141" s="2" t="str">
        <f>VLOOKUP(E141,'[1]Detailed Transfer Report (12)'!$K:$Y,14,FALSE)</f>
        <v>Sardar Tanveer Ilyas</v>
      </c>
      <c r="AE141" s="16"/>
    </row>
    <row r="142" spans="1:31" x14ac:dyDescent="0.25">
      <c r="A142" s="3">
        <v>4</v>
      </c>
      <c r="B142" s="4">
        <v>40343</v>
      </c>
      <c r="C142" s="3" t="s">
        <v>258</v>
      </c>
      <c r="D142" s="3" t="s">
        <v>259</v>
      </c>
      <c r="E142" s="3">
        <v>972</v>
      </c>
      <c r="F142" s="3"/>
      <c r="G142" s="3" t="s">
        <v>41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5">
        <v>30300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500</v>
      </c>
      <c r="W142" s="5">
        <v>24000</v>
      </c>
      <c r="X142" s="3">
        <v>0</v>
      </c>
      <c r="Y142" s="3">
        <v>0</v>
      </c>
      <c r="Z142" s="3">
        <v>0</v>
      </c>
      <c r="AA142" s="5">
        <v>10000</v>
      </c>
      <c r="AB142" s="6">
        <v>64800</v>
      </c>
      <c r="AD142" s="2" t="str">
        <f>VLOOKUP(E142,'[1]Detailed Transfer Report (12)'!$K:$Y,14,FALSE)</f>
        <v>Sardar Tanveer Ilyas</v>
      </c>
      <c r="AE142" s="16"/>
    </row>
    <row r="143" spans="1:31" x14ac:dyDescent="0.25">
      <c r="A143" s="7">
        <v>5</v>
      </c>
      <c r="B143" s="4">
        <v>40844</v>
      </c>
      <c r="C143" s="3" t="s">
        <v>72</v>
      </c>
      <c r="D143" s="3" t="s">
        <v>260</v>
      </c>
      <c r="E143" s="3" t="s">
        <v>261</v>
      </c>
      <c r="F143" s="3"/>
      <c r="G143" s="3" t="s">
        <v>30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5">
        <v>90000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5">
        <v>30000</v>
      </c>
      <c r="AB143" s="6">
        <v>120000</v>
      </c>
      <c r="AD143" s="2" t="str">
        <f>VLOOKUP(E143,'[1]Detailed Transfer Report (12)'!$K:$Y,14,FALSE)</f>
        <v>Noor Wahid</v>
      </c>
      <c r="AE143" s="16"/>
    </row>
    <row r="144" spans="1:31" x14ac:dyDescent="0.25">
      <c r="A144" s="9">
        <v>5</v>
      </c>
      <c r="B144" s="4">
        <v>40844</v>
      </c>
      <c r="C144" s="3" t="s">
        <v>46</v>
      </c>
      <c r="D144" s="3" t="s">
        <v>262</v>
      </c>
      <c r="E144" s="3" t="s">
        <v>263</v>
      </c>
      <c r="F144" s="3"/>
      <c r="G144" s="3" t="s">
        <v>30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5">
        <v>24000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5">
        <v>48000</v>
      </c>
      <c r="X144" s="3">
        <v>0</v>
      </c>
      <c r="Y144" s="3">
        <v>0</v>
      </c>
      <c r="Z144" s="3">
        <v>0</v>
      </c>
      <c r="AA144" s="5">
        <v>8000</v>
      </c>
      <c r="AB144" s="6">
        <v>200000</v>
      </c>
      <c r="AD144" s="2" t="str">
        <f>VLOOKUP(E144,'[1]Detailed Transfer Report (12)'!$K:$Y,14,FALSE)</f>
        <v>Noor Wahid</v>
      </c>
      <c r="AE144" s="16"/>
    </row>
    <row r="145" spans="1:31" x14ac:dyDescent="0.25">
      <c r="A145" s="10">
        <v>5</v>
      </c>
      <c r="B145" s="4">
        <v>40844</v>
      </c>
      <c r="C145" s="3" t="s">
        <v>264</v>
      </c>
      <c r="D145" s="3" t="s">
        <v>262</v>
      </c>
      <c r="E145" s="3">
        <v>9854</v>
      </c>
      <c r="F145" s="3"/>
      <c r="G145" s="3" t="s">
        <v>30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5">
        <v>300000</v>
      </c>
      <c r="Z145" s="3">
        <v>0</v>
      </c>
      <c r="AA145" s="3">
        <v>0</v>
      </c>
      <c r="AB145" s="6">
        <v>500000</v>
      </c>
      <c r="AD145" s="2" t="str">
        <f>VLOOKUP(E145,'[1]Detailed Transfer Report (12)'!$K:$Y,14,FALSE)</f>
        <v>Sardar Tanveer Ilyas</v>
      </c>
      <c r="AE145" s="16"/>
    </row>
    <row r="146" spans="1:31" x14ac:dyDescent="0.25">
      <c r="A146" s="3">
        <v>6</v>
      </c>
      <c r="B146" s="4">
        <v>40844</v>
      </c>
      <c r="C146" s="3" t="s">
        <v>265</v>
      </c>
      <c r="D146" s="3" t="s">
        <v>266</v>
      </c>
      <c r="E146" s="3">
        <v>9164</v>
      </c>
      <c r="F146" s="3"/>
      <c r="G146" s="3" t="s">
        <v>30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5">
        <v>42000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5">
        <v>18000</v>
      </c>
      <c r="X146" s="3">
        <v>0</v>
      </c>
      <c r="Y146" s="3">
        <v>0</v>
      </c>
      <c r="Z146" s="3">
        <v>0</v>
      </c>
      <c r="AA146" s="5">
        <v>14000</v>
      </c>
      <c r="AB146" s="6">
        <v>74000</v>
      </c>
      <c r="AD146" s="2" t="str">
        <f>VLOOKUP(E146,'[1]Detailed Transfer Report (12)'!$K:$Y,14,FALSE)</f>
        <v>Noor Wahid</v>
      </c>
      <c r="AE146" s="16"/>
    </row>
    <row r="147" spans="1:31" x14ac:dyDescent="0.25">
      <c r="A147" s="7">
        <v>7</v>
      </c>
      <c r="B147" s="4">
        <v>41198</v>
      </c>
      <c r="C147" s="3" t="s">
        <v>267</v>
      </c>
      <c r="D147" s="3" t="s">
        <v>268</v>
      </c>
      <c r="E147" s="3">
        <v>9652</v>
      </c>
      <c r="F147" s="3"/>
      <c r="G147" s="3" t="s">
        <v>30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5">
        <v>465000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5">
        <v>5000</v>
      </c>
      <c r="W147" s="3">
        <v>0</v>
      </c>
      <c r="X147" s="3">
        <v>0</v>
      </c>
      <c r="Y147" s="3">
        <v>0</v>
      </c>
      <c r="Z147" s="3">
        <v>0</v>
      </c>
      <c r="AA147" s="5">
        <v>76900</v>
      </c>
      <c r="AB147" s="6">
        <v>546900</v>
      </c>
      <c r="AD147" s="2" t="str">
        <f>VLOOKUP(E147,'[1]Detailed Transfer Report (12)'!$K:$Y,14,FALSE)</f>
        <v>Sardar Tanveer Ilyas</v>
      </c>
      <c r="AE147" s="16"/>
    </row>
    <row r="148" spans="1:31" x14ac:dyDescent="0.25">
      <c r="A148" s="9">
        <v>7</v>
      </c>
      <c r="B148" s="4">
        <v>41198</v>
      </c>
      <c r="C148" s="3" t="s">
        <v>269</v>
      </c>
      <c r="D148" s="3" t="s">
        <v>270</v>
      </c>
      <c r="E148" s="3">
        <v>9653</v>
      </c>
      <c r="F148" s="3"/>
      <c r="G148" s="3" t="s">
        <v>30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5">
        <v>76500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5">
        <v>2200</v>
      </c>
      <c r="X148" s="3">
        <v>0</v>
      </c>
      <c r="Y148" s="3">
        <v>0</v>
      </c>
      <c r="Z148" s="3">
        <v>0</v>
      </c>
      <c r="AA148" s="5">
        <v>103600</v>
      </c>
      <c r="AB148" s="6">
        <v>729200</v>
      </c>
      <c r="AD148" s="2" t="str">
        <f>VLOOKUP(E148,'[1]Detailed Transfer Report (12)'!$K:$Y,14,FALSE)</f>
        <v>Sardar Tanveer Ilyas</v>
      </c>
      <c r="AE148" s="16"/>
    </row>
    <row r="149" spans="1:31" x14ac:dyDescent="0.25">
      <c r="A149" s="10">
        <v>7</v>
      </c>
      <c r="B149" s="4">
        <v>41221</v>
      </c>
      <c r="C149" s="3" t="s">
        <v>271</v>
      </c>
      <c r="D149" s="3" t="s">
        <v>272</v>
      </c>
      <c r="E149" s="3">
        <v>9654</v>
      </c>
      <c r="F149" s="3"/>
      <c r="G149" s="3" t="s">
        <v>30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5">
        <v>5400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5">
        <v>207800</v>
      </c>
      <c r="X149" s="3">
        <v>0</v>
      </c>
      <c r="Y149" s="3">
        <v>0</v>
      </c>
      <c r="Z149" s="3">
        <v>0</v>
      </c>
      <c r="AA149" s="5">
        <v>1800</v>
      </c>
      <c r="AB149" s="6">
        <v>944200</v>
      </c>
      <c r="AD149" s="2" t="str">
        <f>VLOOKUP(E149,'[1]Detailed Transfer Report (12)'!$K:$Y,14,FALSE)</f>
        <v>Sardar Tanveer Ilyas</v>
      </c>
      <c r="AE149" s="16"/>
    </row>
    <row r="150" spans="1:31" x14ac:dyDescent="0.25">
      <c r="A150" s="7">
        <v>8</v>
      </c>
      <c r="B150" s="4">
        <v>41311</v>
      </c>
      <c r="C150" s="3" t="s">
        <v>273</v>
      </c>
      <c r="D150" s="3" t="s">
        <v>274</v>
      </c>
      <c r="E150" s="3">
        <v>10098</v>
      </c>
      <c r="F150" s="3"/>
      <c r="G150" s="3" t="s">
        <v>30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5">
        <v>23100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5">
        <v>7600</v>
      </c>
      <c r="AB150" s="6">
        <v>30700</v>
      </c>
      <c r="AD150" s="2" t="str">
        <f>VLOOKUP(E150,'[1]Detailed Transfer Report (12)'!$K:$Y,14,FALSE)</f>
        <v>Sardar Tanveer Ilyas</v>
      </c>
      <c r="AE150" s="16"/>
    </row>
    <row r="151" spans="1:31" x14ac:dyDescent="0.25">
      <c r="A151" s="9">
        <v>8</v>
      </c>
      <c r="B151" s="4">
        <v>41755</v>
      </c>
      <c r="C151" s="3" t="s">
        <v>31</v>
      </c>
      <c r="D151" s="3" t="s">
        <v>275</v>
      </c>
      <c r="E151" s="3">
        <v>10168</v>
      </c>
      <c r="F151" s="3"/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5">
        <v>22000</v>
      </c>
      <c r="N151" s="5">
        <v>33300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5">
        <v>51000</v>
      </c>
      <c r="X151" s="3">
        <v>0</v>
      </c>
      <c r="Y151" s="3">
        <v>0</v>
      </c>
      <c r="Z151" s="3">
        <v>0</v>
      </c>
      <c r="AA151" s="5">
        <v>11000</v>
      </c>
      <c r="AB151" s="6">
        <v>148000</v>
      </c>
      <c r="AD151" s="2" t="str">
        <f>VLOOKUP(E151,'[1]Detailed Transfer Report (12)'!$K:$Y,14,FALSE)</f>
        <v>Sardar Tanveer Ilyas</v>
      </c>
      <c r="AE151" s="16"/>
    </row>
    <row r="152" spans="1:31" x14ac:dyDescent="0.25">
      <c r="A152" s="10">
        <v>8</v>
      </c>
      <c r="B152" s="4">
        <v>41614</v>
      </c>
      <c r="C152" s="3" t="s">
        <v>276</v>
      </c>
      <c r="D152" s="3" t="s">
        <v>277</v>
      </c>
      <c r="E152" s="3">
        <v>10167</v>
      </c>
      <c r="F152" s="3"/>
      <c r="G152" s="3" t="s">
        <v>30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5">
        <v>32000</v>
      </c>
      <c r="N152" s="5">
        <v>48300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5">
        <v>16000</v>
      </c>
      <c r="AB152" s="6">
        <v>244300</v>
      </c>
      <c r="AD152" s="2" t="str">
        <f>VLOOKUP(E152,'[1]Detailed Transfer Report (12)'!$K:$Y,14,FALSE)</f>
        <v>Sardar Tanveer Ilyas</v>
      </c>
      <c r="AE152" s="16"/>
    </row>
    <row r="153" spans="1:31" x14ac:dyDescent="0.25">
      <c r="A153" s="3">
        <v>9</v>
      </c>
      <c r="B153" s="4">
        <v>41121</v>
      </c>
      <c r="C153" s="3" t="s">
        <v>278</v>
      </c>
      <c r="D153" s="3" t="s">
        <v>279</v>
      </c>
      <c r="E153" s="3">
        <v>9514</v>
      </c>
      <c r="F153" s="3"/>
      <c r="G153" s="3" t="s">
        <v>30</v>
      </c>
      <c r="H153" s="3">
        <v>0</v>
      </c>
      <c r="I153" s="3">
        <v>0</v>
      </c>
      <c r="J153" s="3">
        <v>0</v>
      </c>
      <c r="K153" s="3">
        <v>0</v>
      </c>
      <c r="L153" s="5">
        <v>25000</v>
      </c>
      <c r="M153" s="3">
        <v>0</v>
      </c>
      <c r="N153" s="5">
        <v>27000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5">
        <v>18000</v>
      </c>
      <c r="X153" s="3">
        <v>0</v>
      </c>
      <c r="Y153" s="3">
        <v>0</v>
      </c>
      <c r="Z153" s="3">
        <v>0</v>
      </c>
      <c r="AA153" s="5">
        <v>9000</v>
      </c>
      <c r="AB153" s="6">
        <v>79000</v>
      </c>
      <c r="AD153" s="2" t="str">
        <f>VLOOKUP(E153,'[1]Detailed Transfer Report (12)'!$K:$Y,14,FALSE)</f>
        <v>Sardar Tanveer Ilyas</v>
      </c>
      <c r="AE153" s="16"/>
    </row>
    <row r="154" spans="1:31" x14ac:dyDescent="0.25">
      <c r="A154" s="7">
        <v>10</v>
      </c>
      <c r="B154" s="4">
        <v>41438</v>
      </c>
      <c r="C154" s="3" t="s">
        <v>280</v>
      </c>
      <c r="D154" s="3" t="s">
        <v>281</v>
      </c>
      <c r="E154" s="3">
        <v>10518</v>
      </c>
      <c r="F154" s="3"/>
      <c r="G154" s="3" t="s">
        <v>30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5">
        <v>30000</v>
      </c>
      <c r="N154" s="5">
        <v>45300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5">
        <v>133500</v>
      </c>
      <c r="X154" s="3">
        <v>0</v>
      </c>
      <c r="Y154" s="3">
        <v>0</v>
      </c>
      <c r="Z154" s="3">
        <v>0</v>
      </c>
      <c r="AA154" s="5">
        <v>15000</v>
      </c>
      <c r="AB154" s="6">
        <v>223800</v>
      </c>
      <c r="AD154" s="2" t="str">
        <f>VLOOKUP(E154,'[1]Detailed Transfer Report (12)'!$K:$Y,14,FALSE)</f>
        <v>Sardar Tanveer Ilyas</v>
      </c>
      <c r="AE154" s="16"/>
    </row>
    <row r="155" spans="1:31" x14ac:dyDescent="0.25">
      <c r="A155" s="9">
        <v>10</v>
      </c>
      <c r="B155" s="4">
        <v>41438</v>
      </c>
      <c r="C155" s="3" t="s">
        <v>282</v>
      </c>
      <c r="D155" s="3" t="s">
        <v>283</v>
      </c>
      <c r="E155" s="3">
        <v>10519</v>
      </c>
      <c r="F155" s="3"/>
      <c r="G155" s="3" t="s">
        <v>30</v>
      </c>
      <c r="H155" s="3">
        <v>0</v>
      </c>
      <c r="I155" s="3">
        <v>0</v>
      </c>
      <c r="J155" s="3">
        <v>0</v>
      </c>
      <c r="K155" s="3">
        <v>0</v>
      </c>
      <c r="L155" s="5">
        <v>500000</v>
      </c>
      <c r="M155" s="5">
        <v>47000</v>
      </c>
      <c r="N155" s="5">
        <v>70800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5">
        <v>23500</v>
      </c>
      <c r="AB155" s="6">
        <v>865100</v>
      </c>
      <c r="AD155" s="2" t="str">
        <f>VLOOKUP(E155,'[1]Detailed Transfer Report (12)'!$K:$Y,14,FALSE)</f>
        <v>Sardar Tanveer Ilyas</v>
      </c>
      <c r="AE155" s="16"/>
    </row>
    <row r="156" spans="1:31" x14ac:dyDescent="0.25">
      <c r="A156" s="10">
        <v>10</v>
      </c>
      <c r="B156" s="4">
        <v>41438</v>
      </c>
      <c r="C156" s="3" t="s">
        <v>284</v>
      </c>
      <c r="D156" s="3" t="s">
        <v>285</v>
      </c>
      <c r="E156" s="3">
        <v>10520</v>
      </c>
      <c r="F156" s="3"/>
      <c r="G156" s="3" t="s">
        <v>30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5">
        <v>18300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5">
        <v>58500</v>
      </c>
      <c r="X156" s="3">
        <v>0</v>
      </c>
      <c r="Y156" s="3">
        <v>0</v>
      </c>
      <c r="Z156" s="3">
        <v>0</v>
      </c>
      <c r="AA156" s="5">
        <v>6000</v>
      </c>
      <c r="AB156" s="6">
        <v>947900</v>
      </c>
      <c r="AD156" s="2" t="str">
        <f>VLOOKUP(E156,'[1]Detailed Transfer Report (12)'!$K:$Y,14,FALSE)</f>
        <v>Sardar Tanveer Ilyas</v>
      </c>
      <c r="AE156" s="16"/>
    </row>
    <row r="157" spans="1:31" x14ac:dyDescent="0.25">
      <c r="A157" s="7">
        <v>11</v>
      </c>
      <c r="B157" s="4">
        <v>41367</v>
      </c>
      <c r="C157" s="3" t="s">
        <v>286</v>
      </c>
      <c r="D157" s="3" t="s">
        <v>287</v>
      </c>
      <c r="E157" s="3">
        <v>10653</v>
      </c>
      <c r="F157" s="3"/>
      <c r="G157" s="3" t="s">
        <v>30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8">
        <v>0</v>
      </c>
      <c r="AD157" s="2" t="str">
        <f>VLOOKUP(E157,'[1]Detailed Transfer Report (12)'!$K:$Y,14,FALSE)</f>
        <v>Sardar Tanveer Ilyas</v>
      </c>
      <c r="AE157" s="16"/>
    </row>
    <row r="158" spans="1:31" x14ac:dyDescent="0.25">
      <c r="A158" s="10">
        <v>11</v>
      </c>
      <c r="B158" s="4">
        <v>41029</v>
      </c>
      <c r="C158" s="3" t="s">
        <v>288</v>
      </c>
      <c r="D158" s="3" t="s">
        <v>289</v>
      </c>
      <c r="E158" s="3">
        <v>10654</v>
      </c>
      <c r="F158" s="3"/>
      <c r="G158" s="3" t="s">
        <v>30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5">
        <v>67500</v>
      </c>
      <c r="N158" s="5">
        <v>101250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5">
        <v>37000</v>
      </c>
      <c r="W158" s="5">
        <v>49000</v>
      </c>
      <c r="X158" s="3">
        <v>0</v>
      </c>
      <c r="Y158" s="3">
        <v>0</v>
      </c>
      <c r="Z158" s="3">
        <v>0</v>
      </c>
      <c r="AA158" s="5">
        <v>33750</v>
      </c>
      <c r="AB158" s="6">
        <v>288500</v>
      </c>
      <c r="AD158" s="2" t="str">
        <f>VLOOKUP(E158,'[1]Detailed Transfer Report (12)'!$K:$Y,14,FALSE)</f>
        <v>Sardar Tanveer Ilyas</v>
      </c>
      <c r="AE158" s="16"/>
    </row>
    <row r="159" spans="1:31" x14ac:dyDescent="0.25">
      <c r="A159" s="3">
        <v>12</v>
      </c>
      <c r="B159" s="4">
        <v>41367</v>
      </c>
      <c r="C159" s="3" t="s">
        <v>290</v>
      </c>
      <c r="D159" s="3" t="s">
        <v>291</v>
      </c>
      <c r="E159" s="3">
        <v>9853</v>
      </c>
      <c r="F159" s="3"/>
      <c r="G159" s="3" t="s">
        <v>30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5">
        <v>137000</v>
      </c>
      <c r="N159" s="5">
        <v>205500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5">
        <v>2500</v>
      </c>
      <c r="W159" s="5">
        <v>98000</v>
      </c>
      <c r="X159" s="3">
        <v>0</v>
      </c>
      <c r="Y159" s="3">
        <v>0</v>
      </c>
      <c r="Z159" s="3">
        <v>0</v>
      </c>
      <c r="AA159" s="5">
        <v>68500</v>
      </c>
      <c r="AB159" s="6">
        <v>511500</v>
      </c>
      <c r="AD159" s="2" t="str">
        <f>VLOOKUP(E159,'[1]Detailed Transfer Report (12)'!$K:$Y,14,FALSE)</f>
        <v>Sardar Tanveer Ilyas</v>
      </c>
      <c r="AE159" s="16"/>
    </row>
    <row r="160" spans="1:31" x14ac:dyDescent="0.25">
      <c r="A160" s="3">
        <v>13</v>
      </c>
      <c r="B160" s="4">
        <v>41051</v>
      </c>
      <c r="C160" s="3" t="s">
        <v>292</v>
      </c>
      <c r="D160" s="3" t="s">
        <v>293</v>
      </c>
      <c r="E160" s="3">
        <v>9459</v>
      </c>
      <c r="F160" s="3"/>
      <c r="G160" s="3" t="s">
        <v>30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5">
        <v>40000</v>
      </c>
      <c r="N160" s="5">
        <v>66000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5">
        <v>1000</v>
      </c>
      <c r="W160" s="3">
        <v>0</v>
      </c>
      <c r="X160" s="3">
        <v>0</v>
      </c>
      <c r="Y160" s="3">
        <v>0</v>
      </c>
      <c r="Z160" s="3">
        <v>0</v>
      </c>
      <c r="AA160" s="5">
        <v>22000</v>
      </c>
      <c r="AB160" s="6">
        <v>129000</v>
      </c>
      <c r="AD160" s="2" t="str">
        <f>VLOOKUP(E160,'[1]Detailed Transfer Report (12)'!$K:$Y,14,FALSE)</f>
        <v>Sardar Tanveer Ilyas</v>
      </c>
      <c r="AE160" s="16"/>
    </row>
    <row r="161" spans="1:31" x14ac:dyDescent="0.25">
      <c r="A161" s="7">
        <v>14</v>
      </c>
      <c r="B161" s="4">
        <v>40844</v>
      </c>
      <c r="C161" s="3" t="s">
        <v>112</v>
      </c>
      <c r="D161" s="3" t="s">
        <v>294</v>
      </c>
      <c r="E161" s="3" t="s">
        <v>295</v>
      </c>
      <c r="F161" s="3"/>
      <c r="G161" s="3" t="s">
        <v>30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5">
        <v>48000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5">
        <v>27000</v>
      </c>
      <c r="X161" s="3">
        <v>0</v>
      </c>
      <c r="Y161" s="3">
        <v>0</v>
      </c>
      <c r="Z161" s="3">
        <v>0</v>
      </c>
      <c r="AA161" s="5">
        <v>16000</v>
      </c>
      <c r="AB161" s="6">
        <v>91000</v>
      </c>
      <c r="AD161" s="2" t="str">
        <f>VLOOKUP(E161,'[1]Detailed Transfer Report (12)'!$K:$Y,14,FALSE)</f>
        <v>Noor Wahid</v>
      </c>
      <c r="AE161" s="16"/>
    </row>
    <row r="162" spans="1:31" x14ac:dyDescent="0.25">
      <c r="A162" s="10">
        <v>14</v>
      </c>
      <c r="B162" s="4">
        <v>40844</v>
      </c>
      <c r="C162" s="3" t="s">
        <v>44</v>
      </c>
      <c r="D162" s="3" t="s">
        <v>296</v>
      </c>
      <c r="E162" s="3">
        <v>9107</v>
      </c>
      <c r="F162" s="3"/>
      <c r="G162" s="3" t="s">
        <v>30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5">
        <v>12000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5">
        <v>4000</v>
      </c>
      <c r="AB162" s="6">
        <v>107000</v>
      </c>
      <c r="AD162" s="2" t="str">
        <f>VLOOKUP(E162,'[1]Detailed Transfer Report (12)'!$K:$Y,14,FALSE)</f>
        <v>Noor Wahid</v>
      </c>
      <c r="AE162" s="16"/>
    </row>
    <row r="163" spans="1:31" x14ac:dyDescent="0.25">
      <c r="A163" s="7">
        <v>15</v>
      </c>
      <c r="B163" s="4">
        <v>41025</v>
      </c>
      <c r="C163" s="3" t="s">
        <v>297</v>
      </c>
      <c r="D163" s="3" t="s">
        <v>298</v>
      </c>
      <c r="E163" s="3">
        <v>10831</v>
      </c>
      <c r="F163" s="3"/>
      <c r="G163" s="3" t="s">
        <v>30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8">
        <v>0</v>
      </c>
      <c r="AD163" s="2" t="str">
        <f>VLOOKUP(E163,'[1]Detailed Transfer Report (12)'!$K:$Y,14,FALSE)</f>
        <v>Sardar Tanveer Ilyas</v>
      </c>
      <c r="AE163" s="16"/>
    </row>
    <row r="164" spans="1:31" x14ac:dyDescent="0.25">
      <c r="A164" s="9">
        <v>15</v>
      </c>
      <c r="B164" s="4">
        <v>41025</v>
      </c>
      <c r="C164" s="3" t="s">
        <v>299</v>
      </c>
      <c r="D164" s="3" t="s">
        <v>298</v>
      </c>
      <c r="E164" s="3">
        <v>1179</v>
      </c>
      <c r="F164" s="3"/>
      <c r="G164" s="3" t="s">
        <v>41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8">
        <v>0</v>
      </c>
      <c r="AD164" s="2" t="str">
        <f>VLOOKUP(E164,'[1]Detailed Transfer Report (12)'!$K:$Y,14,FALSE)</f>
        <v>Sardar Tanveer Ilyas</v>
      </c>
      <c r="AE164" s="16"/>
    </row>
    <row r="165" spans="1:31" x14ac:dyDescent="0.25">
      <c r="A165" s="9">
        <v>15</v>
      </c>
      <c r="B165" s="4">
        <v>41025</v>
      </c>
      <c r="C165" s="3" t="s">
        <v>300</v>
      </c>
      <c r="D165" s="3" t="s">
        <v>298</v>
      </c>
      <c r="E165" s="3">
        <v>9408</v>
      </c>
      <c r="F165" s="3"/>
      <c r="G165" s="3" t="s">
        <v>30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8">
        <v>0</v>
      </c>
      <c r="AD165" s="2" t="str">
        <f>VLOOKUP(E165,'[1]Detailed Transfer Report (12)'!$K:$Y,14,FALSE)</f>
        <v>Sardar Tanveer Ilyas</v>
      </c>
      <c r="AE165" s="16"/>
    </row>
    <row r="166" spans="1:31" x14ac:dyDescent="0.25">
      <c r="A166" s="9">
        <v>15</v>
      </c>
      <c r="B166" s="4">
        <v>41025</v>
      </c>
      <c r="C166" s="3" t="s">
        <v>301</v>
      </c>
      <c r="D166" s="3" t="s">
        <v>298</v>
      </c>
      <c r="E166" s="3">
        <v>9409</v>
      </c>
      <c r="F166" s="3"/>
      <c r="G166" s="3" t="s">
        <v>30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8">
        <v>0</v>
      </c>
      <c r="AD166" s="2" t="str">
        <f>VLOOKUP(E166,'[1]Detailed Transfer Report (12)'!$K:$Y,14,FALSE)</f>
        <v>Sardar Tanveer Ilyas</v>
      </c>
      <c r="AE166" s="16"/>
    </row>
    <row r="167" spans="1:31" x14ac:dyDescent="0.25">
      <c r="A167" s="9">
        <v>15</v>
      </c>
      <c r="B167" s="4">
        <v>41025</v>
      </c>
      <c r="C167" s="3" t="s">
        <v>302</v>
      </c>
      <c r="D167" s="3" t="s">
        <v>298</v>
      </c>
      <c r="E167" s="3">
        <v>10225</v>
      </c>
      <c r="F167" s="3"/>
      <c r="G167" s="3" t="s">
        <v>30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8">
        <v>0</v>
      </c>
      <c r="AD167" s="2" t="str">
        <f>VLOOKUP(E167,'[1]Detailed Transfer Report (12)'!$K:$Y,14,FALSE)</f>
        <v>Sardar Tanveer Ilyas</v>
      </c>
      <c r="AE167" s="16"/>
    </row>
    <row r="168" spans="1:31" x14ac:dyDescent="0.25">
      <c r="A168" s="9">
        <v>15</v>
      </c>
      <c r="B168" s="4">
        <v>41025</v>
      </c>
      <c r="C168" s="3" t="s">
        <v>44</v>
      </c>
      <c r="D168" s="3" t="s">
        <v>298</v>
      </c>
      <c r="E168" s="3">
        <v>10288</v>
      </c>
      <c r="F168" s="3"/>
      <c r="G168" s="3" t="s">
        <v>30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8">
        <v>0</v>
      </c>
      <c r="AD168" s="2" t="str">
        <f>VLOOKUP(E168,'[1]Detailed Transfer Report (12)'!$K:$Y,14,FALSE)</f>
        <v>Sardar Tanveer Ilyas</v>
      </c>
      <c r="AE168" s="16"/>
    </row>
    <row r="169" spans="1:31" x14ac:dyDescent="0.25">
      <c r="A169" s="9">
        <v>15</v>
      </c>
      <c r="B169" s="4">
        <v>41025</v>
      </c>
      <c r="C169" s="3" t="s">
        <v>303</v>
      </c>
      <c r="D169" s="3" t="s">
        <v>298</v>
      </c>
      <c r="E169" s="3">
        <v>10289</v>
      </c>
      <c r="F169" s="3"/>
      <c r="G169" s="3" t="s">
        <v>30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8">
        <v>0</v>
      </c>
      <c r="AD169" s="2" t="str">
        <f>VLOOKUP(E169,'[1]Detailed Transfer Report (12)'!$K:$Y,14,FALSE)</f>
        <v>Sardar Tanveer Ilyas</v>
      </c>
      <c r="AE169" s="16"/>
    </row>
    <row r="170" spans="1:31" x14ac:dyDescent="0.25">
      <c r="A170" s="9">
        <v>15</v>
      </c>
      <c r="B170" s="4">
        <v>41025</v>
      </c>
      <c r="C170" s="3" t="s">
        <v>153</v>
      </c>
      <c r="D170" s="3" t="s">
        <v>298</v>
      </c>
      <c r="E170" s="3">
        <v>10291</v>
      </c>
      <c r="F170" s="3"/>
      <c r="G170" s="3" t="s">
        <v>30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8">
        <v>0</v>
      </c>
      <c r="AD170" s="2" t="str">
        <f>VLOOKUP(E170,'[1]Detailed Transfer Report (12)'!$K:$Y,14,FALSE)</f>
        <v>Sardar Tanveer Ilyas</v>
      </c>
      <c r="AE170" s="16"/>
    </row>
    <row r="171" spans="1:31" x14ac:dyDescent="0.25">
      <c r="A171" s="9">
        <v>15</v>
      </c>
      <c r="B171" s="4">
        <v>41025</v>
      </c>
      <c r="C171" s="3" t="s">
        <v>114</v>
      </c>
      <c r="D171" s="3" t="s">
        <v>298</v>
      </c>
      <c r="E171" s="3">
        <v>10391</v>
      </c>
      <c r="F171" s="3"/>
      <c r="G171" s="3" t="s">
        <v>30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8">
        <v>0</v>
      </c>
      <c r="AD171" s="2" t="str">
        <f>VLOOKUP(E171,'[1]Detailed Transfer Report (12)'!$K:$Y,14,FALSE)</f>
        <v>Sardar Tanveer Ilyas</v>
      </c>
      <c r="AE171" s="16"/>
    </row>
    <row r="172" spans="1:31" x14ac:dyDescent="0.25">
      <c r="A172" s="9">
        <v>15</v>
      </c>
      <c r="B172" s="4">
        <v>41025</v>
      </c>
      <c r="C172" s="3" t="s">
        <v>304</v>
      </c>
      <c r="D172" s="3" t="s">
        <v>298</v>
      </c>
      <c r="E172" s="3">
        <v>10441</v>
      </c>
      <c r="F172" s="3"/>
      <c r="G172" s="3" t="s">
        <v>30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8">
        <v>0</v>
      </c>
      <c r="AD172" s="2" t="str">
        <f>VLOOKUP(E172,'[1]Detailed Transfer Report (12)'!$K:$Y,14,FALSE)</f>
        <v>Sardar Tanveer Ilyas</v>
      </c>
      <c r="AE172" s="16"/>
    </row>
    <row r="173" spans="1:31" x14ac:dyDescent="0.25">
      <c r="A173" s="9">
        <v>15</v>
      </c>
      <c r="B173" s="4">
        <v>41025</v>
      </c>
      <c r="C173" s="3" t="s">
        <v>305</v>
      </c>
      <c r="D173" s="3" t="s">
        <v>298</v>
      </c>
      <c r="E173" s="3">
        <v>10574</v>
      </c>
      <c r="F173" s="3"/>
      <c r="G173" s="3" t="s">
        <v>30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8">
        <v>0</v>
      </c>
      <c r="AD173" s="2" t="str">
        <f>VLOOKUP(E173,'[1]Detailed Transfer Report (12)'!$K:$Y,14,FALSE)</f>
        <v>Sardar Tanveer Ilyas</v>
      </c>
      <c r="AE173" s="16"/>
    </row>
    <row r="174" spans="1:31" x14ac:dyDescent="0.25">
      <c r="A174" s="9">
        <v>15</v>
      </c>
      <c r="B174" s="4">
        <v>41025</v>
      </c>
      <c r="C174" s="3" t="s">
        <v>306</v>
      </c>
      <c r="D174" s="3" t="s">
        <v>298</v>
      </c>
      <c r="E174" s="3">
        <v>10576</v>
      </c>
      <c r="F174" s="3"/>
      <c r="G174" s="3" t="s">
        <v>30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8">
        <v>0</v>
      </c>
      <c r="AD174" s="2" t="str">
        <f>VLOOKUP(E174,'[1]Detailed Transfer Report (12)'!$K:$Y,14,FALSE)</f>
        <v>Sardar Tanveer Ilyas</v>
      </c>
      <c r="AE174" s="16"/>
    </row>
    <row r="175" spans="1:31" x14ac:dyDescent="0.25">
      <c r="A175" s="9">
        <v>15</v>
      </c>
      <c r="B175" s="4">
        <v>41025</v>
      </c>
      <c r="C175" s="3" t="s">
        <v>307</v>
      </c>
      <c r="D175" s="3" t="s">
        <v>298</v>
      </c>
      <c r="E175" s="3">
        <v>10668</v>
      </c>
      <c r="F175" s="3"/>
      <c r="G175" s="3" t="s">
        <v>30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8">
        <v>0</v>
      </c>
      <c r="AD175" s="2" t="str">
        <f>VLOOKUP(E175,'[1]Detailed Transfer Report (12)'!$K:$Y,14,FALSE)</f>
        <v>Sardar Tanveer Ilyas</v>
      </c>
      <c r="AE175" s="16"/>
    </row>
    <row r="176" spans="1:31" x14ac:dyDescent="0.25">
      <c r="A176" s="9">
        <v>15</v>
      </c>
      <c r="B176" s="4">
        <v>41025</v>
      </c>
      <c r="C176" s="3" t="s">
        <v>308</v>
      </c>
      <c r="D176" s="3" t="s">
        <v>298</v>
      </c>
      <c r="E176" s="3">
        <v>10682</v>
      </c>
      <c r="F176" s="3"/>
      <c r="G176" s="3" t="s">
        <v>30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8">
        <v>0</v>
      </c>
      <c r="AD176" s="2" t="str">
        <f>VLOOKUP(E176,'[1]Detailed Transfer Report (12)'!$K:$Y,14,FALSE)</f>
        <v>Sardar Tanveer Ilyas</v>
      </c>
      <c r="AE176" s="16"/>
    </row>
    <row r="177" spans="1:31" x14ac:dyDescent="0.25">
      <c r="A177" s="9">
        <v>15</v>
      </c>
      <c r="B177" s="4">
        <v>41025</v>
      </c>
      <c r="C177" s="3" t="s">
        <v>110</v>
      </c>
      <c r="D177" s="3" t="s">
        <v>298</v>
      </c>
      <c r="E177" s="3">
        <v>10800</v>
      </c>
      <c r="F177" s="3"/>
      <c r="G177" s="3" t="s">
        <v>30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8">
        <v>0</v>
      </c>
      <c r="AD177" s="2" t="str">
        <f>VLOOKUP(E177,'[1]Detailed Transfer Report (12)'!$K:$Y,14,FALSE)</f>
        <v>Sardar Tanveer Ilyas</v>
      </c>
      <c r="AE177" s="16"/>
    </row>
    <row r="178" spans="1:31" x14ac:dyDescent="0.25">
      <c r="A178" s="9">
        <v>15</v>
      </c>
      <c r="B178" s="4">
        <v>41025</v>
      </c>
      <c r="C178" s="3" t="s">
        <v>309</v>
      </c>
      <c r="D178" s="3" t="s">
        <v>298</v>
      </c>
      <c r="E178" s="3">
        <v>11071</v>
      </c>
      <c r="F178" s="3"/>
      <c r="G178" s="3" t="s">
        <v>30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8">
        <v>0</v>
      </c>
      <c r="AD178" s="2" t="str">
        <f>VLOOKUP(E178,'[1]Detailed Transfer Report (12)'!$K:$Y,14,FALSE)</f>
        <v>Sardar Tanveer Ilyas</v>
      </c>
      <c r="AE178" s="16"/>
    </row>
    <row r="179" spans="1:31" x14ac:dyDescent="0.25">
      <c r="A179" s="9">
        <v>15</v>
      </c>
      <c r="B179" s="4">
        <v>41025</v>
      </c>
      <c r="C179" s="3" t="s">
        <v>68</v>
      </c>
      <c r="D179" s="3" t="s">
        <v>298</v>
      </c>
      <c r="E179" s="3">
        <v>12153</v>
      </c>
      <c r="F179" s="3"/>
      <c r="G179" s="3" t="s">
        <v>30</v>
      </c>
      <c r="H179" s="3">
        <v>0</v>
      </c>
      <c r="I179" s="3">
        <v>0</v>
      </c>
      <c r="J179" s="3">
        <v>0</v>
      </c>
      <c r="K179" s="3">
        <v>0</v>
      </c>
      <c r="L179" s="5">
        <v>150000</v>
      </c>
      <c r="M179" s="3">
        <v>0</v>
      </c>
      <c r="N179" s="5">
        <v>600000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5">
        <v>266000</v>
      </c>
      <c r="X179" s="3">
        <v>0</v>
      </c>
      <c r="Y179" s="3">
        <v>0</v>
      </c>
      <c r="Z179" s="3">
        <v>0</v>
      </c>
      <c r="AA179" s="3">
        <v>0</v>
      </c>
      <c r="AB179" s="6">
        <v>1016000</v>
      </c>
      <c r="AD179" s="2" t="str">
        <f>VLOOKUP(E179,'[1]Detailed Transfer Report (12)'!$K:$Y,14,FALSE)</f>
        <v>Sardar Tanveer Ilyas</v>
      </c>
      <c r="AE179" s="16"/>
    </row>
    <row r="180" spans="1:31" x14ac:dyDescent="0.25">
      <c r="A180" s="9">
        <v>15</v>
      </c>
      <c r="B180" s="4">
        <v>41025</v>
      </c>
      <c r="C180" s="3" t="s">
        <v>130</v>
      </c>
      <c r="D180" s="3" t="s">
        <v>298</v>
      </c>
      <c r="E180" s="3" t="s">
        <v>310</v>
      </c>
      <c r="F180" s="3"/>
      <c r="G180" s="3" t="s">
        <v>30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6">
        <v>1016000</v>
      </c>
      <c r="AE180" s="16"/>
    </row>
    <row r="181" spans="1:31" x14ac:dyDescent="0.25">
      <c r="A181" s="9">
        <v>15</v>
      </c>
      <c r="B181" s="4">
        <v>41025</v>
      </c>
      <c r="C181" s="3" t="s">
        <v>133</v>
      </c>
      <c r="D181" s="3" t="s">
        <v>298</v>
      </c>
      <c r="E181" s="3">
        <v>11353</v>
      </c>
      <c r="F181" s="3"/>
      <c r="G181" s="3" t="s">
        <v>30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6">
        <v>1016000</v>
      </c>
      <c r="AD181" s="2" t="str">
        <f>VLOOKUP(E181,'[1]Detailed Transfer Report (12)'!$K:$Y,14,FALSE)</f>
        <v>Sardar Tanveer Ilyas</v>
      </c>
      <c r="AE181" s="16"/>
    </row>
    <row r="182" spans="1:31" x14ac:dyDescent="0.25">
      <c r="A182" s="9">
        <v>15</v>
      </c>
      <c r="B182" s="4">
        <v>41025</v>
      </c>
      <c r="C182" s="3" t="s">
        <v>114</v>
      </c>
      <c r="D182" s="3" t="s">
        <v>298</v>
      </c>
      <c r="E182" s="3">
        <v>1207</v>
      </c>
      <c r="F182" s="3"/>
      <c r="G182" s="3" t="s">
        <v>41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6">
        <v>1016000</v>
      </c>
      <c r="AD182" s="2" t="str">
        <f>VLOOKUP(E182,'[1]Detailed Transfer Report (12)'!$K:$Y,14,FALSE)</f>
        <v>Sardar Tanveer Ilyas</v>
      </c>
      <c r="AE182" s="16"/>
    </row>
    <row r="183" spans="1:31" x14ac:dyDescent="0.25">
      <c r="A183" s="9">
        <v>15</v>
      </c>
      <c r="B183" s="4">
        <v>41025</v>
      </c>
      <c r="C183" s="3" t="s">
        <v>311</v>
      </c>
      <c r="D183" s="3" t="s">
        <v>298</v>
      </c>
      <c r="E183" s="3">
        <v>1222</v>
      </c>
      <c r="F183" s="3"/>
      <c r="G183" s="3" t="s">
        <v>41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6">
        <v>1016000</v>
      </c>
      <c r="AD183" s="2" t="str">
        <f>VLOOKUP(E183,'[1]Detailed Transfer Report (12)'!$K:$Y,14,FALSE)</f>
        <v>Sardar Tanveer Ilyas</v>
      </c>
      <c r="AE183" s="16"/>
    </row>
    <row r="184" spans="1:31" x14ac:dyDescent="0.25">
      <c r="A184" s="9">
        <v>15</v>
      </c>
      <c r="B184" s="4">
        <v>41025</v>
      </c>
      <c r="C184" s="3" t="s">
        <v>312</v>
      </c>
      <c r="D184" s="3" t="s">
        <v>298</v>
      </c>
      <c r="E184" s="3">
        <v>1252</v>
      </c>
      <c r="F184" s="3"/>
      <c r="G184" s="3" t="s">
        <v>41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6">
        <v>1016000</v>
      </c>
      <c r="AD184" s="2" t="str">
        <f>VLOOKUP(E184,'[1]Detailed Transfer Report (12)'!$K:$Y,14,FALSE)</f>
        <v>Sardar Tanveer Ilyas</v>
      </c>
      <c r="AE184" s="16"/>
    </row>
    <row r="185" spans="1:31" x14ac:dyDescent="0.25">
      <c r="A185" s="10">
        <v>15</v>
      </c>
      <c r="B185" s="4">
        <v>41025</v>
      </c>
      <c r="C185" s="3" t="s">
        <v>313</v>
      </c>
      <c r="D185" s="3" t="s">
        <v>298</v>
      </c>
      <c r="E185" s="3">
        <v>1196</v>
      </c>
      <c r="F185" s="3"/>
      <c r="G185" s="3" t="s">
        <v>41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6">
        <v>1016000</v>
      </c>
      <c r="AD185" s="2" t="str">
        <f>VLOOKUP(E185,'[1]Detailed Transfer Report (12)'!$K:$Y,14,FALSE)</f>
        <v>Sardar Tanveer Ilyas</v>
      </c>
      <c r="AE185" s="16"/>
    </row>
    <row r="186" spans="1:31" x14ac:dyDescent="0.25">
      <c r="A186" s="3">
        <v>17</v>
      </c>
      <c r="B186" s="4">
        <v>41025</v>
      </c>
      <c r="C186" s="3" t="s">
        <v>314</v>
      </c>
      <c r="D186" s="3" t="s">
        <v>315</v>
      </c>
      <c r="E186" s="3">
        <v>9426</v>
      </c>
      <c r="F186" s="3"/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5">
        <v>38000</v>
      </c>
      <c r="X186" s="3">
        <v>0</v>
      </c>
      <c r="Y186" s="3">
        <v>0</v>
      </c>
      <c r="Z186" s="3">
        <v>0</v>
      </c>
      <c r="AA186" s="3">
        <v>0</v>
      </c>
      <c r="AB186" s="6">
        <v>38000</v>
      </c>
      <c r="AD186" s="2" t="str">
        <f>VLOOKUP(E186,'[1]Detailed Transfer Report (12)'!$K:$Y,14,FALSE)</f>
        <v>Sardar Tanveer Ilyas</v>
      </c>
      <c r="AE186" s="16"/>
    </row>
    <row r="187" spans="1:31" x14ac:dyDescent="0.25">
      <c r="A187" s="3">
        <v>18</v>
      </c>
      <c r="B187" s="4">
        <v>41444</v>
      </c>
      <c r="C187" s="3" t="s">
        <v>316</v>
      </c>
      <c r="D187" s="3" t="s">
        <v>317</v>
      </c>
      <c r="E187" s="3">
        <v>9932</v>
      </c>
      <c r="F187" s="3"/>
      <c r="G187" s="3" t="s">
        <v>30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5">
        <v>210000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5">
        <v>3000</v>
      </c>
      <c r="U187" s="3">
        <v>0</v>
      </c>
      <c r="V187" s="3">
        <v>0</v>
      </c>
      <c r="W187" s="5">
        <v>140000</v>
      </c>
      <c r="X187" s="3">
        <v>0</v>
      </c>
      <c r="Y187" s="3">
        <v>0</v>
      </c>
      <c r="Z187" s="3">
        <v>0</v>
      </c>
      <c r="AA187" s="5">
        <v>70000</v>
      </c>
      <c r="AB187" s="6">
        <v>423000</v>
      </c>
      <c r="AD187" s="2" t="str">
        <f>VLOOKUP(E187,'[1]Detailed Transfer Report (12)'!$K:$Y,14,FALSE)</f>
        <v>Sardar Tanveer Ilyas</v>
      </c>
      <c r="AE187" s="16"/>
    </row>
    <row r="188" spans="1:31" x14ac:dyDescent="0.25">
      <c r="A188" s="3">
        <v>19</v>
      </c>
      <c r="B188" s="4">
        <v>41478</v>
      </c>
      <c r="C188" s="3" t="s">
        <v>318</v>
      </c>
      <c r="D188" s="3" t="s">
        <v>319</v>
      </c>
      <c r="E188" s="3">
        <v>9971</v>
      </c>
      <c r="F188" s="3"/>
      <c r="G188" s="3" t="s">
        <v>30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5">
        <v>250000</v>
      </c>
      <c r="N188" s="5">
        <v>375000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5">
        <v>175000</v>
      </c>
      <c r="X188" s="3">
        <v>0</v>
      </c>
      <c r="Y188" s="3">
        <v>0</v>
      </c>
      <c r="Z188" s="3">
        <v>0</v>
      </c>
      <c r="AA188" s="5">
        <v>125000</v>
      </c>
      <c r="AB188" s="6">
        <v>925000</v>
      </c>
      <c r="AD188" s="2" t="str">
        <f>VLOOKUP(E188,'[1]Detailed Transfer Report (12)'!$K:$Y,14,FALSE)</f>
        <v>Sardar Rashid Ilyas Khan</v>
      </c>
      <c r="AE188" s="16"/>
    </row>
    <row r="189" spans="1:31" x14ac:dyDescent="0.25">
      <c r="A189" s="7">
        <v>20</v>
      </c>
      <c r="B189" s="4">
        <v>41478</v>
      </c>
      <c r="C189" s="3" t="s">
        <v>320</v>
      </c>
      <c r="D189" s="3" t="s">
        <v>321</v>
      </c>
      <c r="E189" s="3">
        <v>9962</v>
      </c>
      <c r="F189" s="3"/>
      <c r="G189" s="3" t="s">
        <v>30</v>
      </c>
      <c r="H189" s="3">
        <v>0</v>
      </c>
      <c r="I189" s="3">
        <v>0</v>
      </c>
      <c r="J189" s="3">
        <v>0</v>
      </c>
      <c r="K189" s="3">
        <v>0</v>
      </c>
      <c r="L189" s="5">
        <v>282000</v>
      </c>
      <c r="M189" s="5">
        <v>120000</v>
      </c>
      <c r="N189" s="5">
        <v>180000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5">
        <v>6000</v>
      </c>
      <c r="W189" s="3">
        <v>0</v>
      </c>
      <c r="X189" s="3">
        <v>0</v>
      </c>
      <c r="Y189" s="3">
        <v>0</v>
      </c>
      <c r="Z189" s="3">
        <v>0</v>
      </c>
      <c r="AA189" s="5">
        <v>60000</v>
      </c>
      <c r="AB189" s="6">
        <v>648000</v>
      </c>
      <c r="AD189" s="2" t="str">
        <f>VLOOKUP(E189,'[1]Detailed Transfer Report (12)'!$K:$Y,14,FALSE)</f>
        <v>Sardar Tanveer Ilyas</v>
      </c>
      <c r="AE189" s="16"/>
    </row>
    <row r="190" spans="1:31" x14ac:dyDescent="0.25">
      <c r="A190" s="10">
        <v>20</v>
      </c>
      <c r="B190" s="4">
        <v>41478</v>
      </c>
      <c r="C190" s="3" t="s">
        <v>44</v>
      </c>
      <c r="D190" s="3" t="s">
        <v>322</v>
      </c>
      <c r="E190" s="3">
        <v>9963</v>
      </c>
      <c r="F190" s="3"/>
      <c r="G190" s="3" t="s">
        <v>30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6">
        <v>648000</v>
      </c>
      <c r="AD190" s="2" t="str">
        <f>VLOOKUP(E190,'[1]Detailed Transfer Report (12)'!$K:$Y,14,FALSE)</f>
        <v>Sardar Tanveer Ilyas</v>
      </c>
      <c r="AE190" s="16"/>
    </row>
    <row r="191" spans="1:31" x14ac:dyDescent="0.25">
      <c r="A191" s="3">
        <v>21</v>
      </c>
      <c r="B191" s="4">
        <v>41533</v>
      </c>
      <c r="C191" s="3" t="s">
        <v>323</v>
      </c>
      <c r="D191" s="3" t="s">
        <v>324</v>
      </c>
      <c r="E191" s="3">
        <v>10024</v>
      </c>
      <c r="F191" s="3"/>
      <c r="G191" s="3" t="s">
        <v>30</v>
      </c>
      <c r="H191" s="3">
        <v>0</v>
      </c>
      <c r="I191" s="3">
        <v>0</v>
      </c>
      <c r="J191" s="3">
        <v>0</v>
      </c>
      <c r="K191" s="3">
        <v>0</v>
      </c>
      <c r="L191" s="5">
        <v>200000</v>
      </c>
      <c r="M191" s="5">
        <v>56000</v>
      </c>
      <c r="N191" s="5">
        <v>84000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5">
        <v>4000</v>
      </c>
      <c r="W191" s="3">
        <v>0</v>
      </c>
      <c r="X191" s="3">
        <v>0</v>
      </c>
      <c r="Y191" s="3">
        <v>0</v>
      </c>
      <c r="Z191" s="3">
        <v>0</v>
      </c>
      <c r="AA191" s="5">
        <v>28000</v>
      </c>
      <c r="AB191" s="6">
        <v>372000</v>
      </c>
      <c r="AD191" s="2" t="str">
        <f>VLOOKUP(E191,'[1]Detailed Transfer Report (12)'!$K:$Y,14,FALSE)</f>
        <v>Sardar Tanveer Ilyas</v>
      </c>
      <c r="AE191" s="16"/>
    </row>
    <row r="192" spans="1:31" x14ac:dyDescent="0.25">
      <c r="A192" s="3">
        <v>22</v>
      </c>
      <c r="B192" s="4">
        <v>41516</v>
      </c>
      <c r="C192" s="3" t="s">
        <v>325</v>
      </c>
      <c r="D192" s="3" t="s">
        <v>326</v>
      </c>
      <c r="E192" s="3">
        <v>10003</v>
      </c>
      <c r="F192" s="3"/>
      <c r="G192" s="3" t="s">
        <v>30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5">
        <v>54000</v>
      </c>
      <c r="N192" s="5">
        <v>81000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5">
        <v>3000</v>
      </c>
      <c r="W192" s="5">
        <v>36000</v>
      </c>
      <c r="X192" s="3">
        <v>0</v>
      </c>
      <c r="Y192" s="3">
        <v>0</v>
      </c>
      <c r="Z192" s="3">
        <v>0</v>
      </c>
      <c r="AA192" s="5">
        <v>27000</v>
      </c>
      <c r="AB192" s="6">
        <v>201000</v>
      </c>
      <c r="AD192" s="2" t="str">
        <f>VLOOKUP(E192,'[1]Detailed Transfer Report (12)'!$K:$Y,14,FALSE)</f>
        <v>Sardar Tanveer Ilyas</v>
      </c>
      <c r="AE192" s="16"/>
    </row>
    <row r="193" spans="1:31" x14ac:dyDescent="0.25">
      <c r="A193" s="3">
        <v>23</v>
      </c>
      <c r="B193" s="4">
        <v>41516</v>
      </c>
      <c r="C193" s="3" t="s">
        <v>59</v>
      </c>
      <c r="D193" s="3" t="s">
        <v>327</v>
      </c>
      <c r="E193" s="3">
        <v>10016</v>
      </c>
      <c r="F193" s="3"/>
      <c r="G193" s="3" t="s">
        <v>30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5">
        <v>26000</v>
      </c>
      <c r="N193" s="5">
        <v>39000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5">
        <v>2000</v>
      </c>
      <c r="W193" s="5">
        <v>16000</v>
      </c>
      <c r="X193" s="3">
        <v>0</v>
      </c>
      <c r="Y193" s="3">
        <v>0</v>
      </c>
      <c r="Z193" s="3">
        <v>0</v>
      </c>
      <c r="AA193" s="5">
        <v>13000</v>
      </c>
      <c r="AB193" s="6">
        <v>96000</v>
      </c>
      <c r="AD193" s="2" t="str">
        <f>VLOOKUP(E193,'[1]Detailed Transfer Report (12)'!$K:$Y,14,FALSE)</f>
        <v>Sardar Tanveer Ilyas</v>
      </c>
      <c r="AE193" s="16"/>
    </row>
    <row r="194" spans="1:31" x14ac:dyDescent="0.25">
      <c r="A194" s="7">
        <v>24</v>
      </c>
      <c r="B194" s="4">
        <v>41534</v>
      </c>
      <c r="C194" s="3" t="s">
        <v>238</v>
      </c>
      <c r="D194" s="3" t="s">
        <v>328</v>
      </c>
      <c r="E194" s="3">
        <v>10025</v>
      </c>
      <c r="F194" s="3"/>
      <c r="G194" s="3" t="s">
        <v>30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5">
        <v>56000</v>
      </c>
      <c r="N194" s="5">
        <v>84000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5">
        <v>3000</v>
      </c>
      <c r="W194" s="3">
        <v>0</v>
      </c>
      <c r="X194" s="3">
        <v>0</v>
      </c>
      <c r="Y194" s="3">
        <v>0</v>
      </c>
      <c r="Z194" s="3">
        <v>0</v>
      </c>
      <c r="AA194" s="5">
        <v>28000</v>
      </c>
      <c r="AB194" s="6">
        <v>171000</v>
      </c>
      <c r="AD194" s="2" t="str">
        <f>VLOOKUP(E194,'[1]Detailed Transfer Report (12)'!$K:$Y,14,FALSE)</f>
        <v>Sardar Tanveer Ilyas</v>
      </c>
      <c r="AE194" s="16"/>
    </row>
    <row r="195" spans="1:31" x14ac:dyDescent="0.25">
      <c r="A195" s="10">
        <v>24</v>
      </c>
      <c r="B195" s="4">
        <v>41534</v>
      </c>
      <c r="C195" s="3" t="s">
        <v>329</v>
      </c>
      <c r="D195" s="3" t="s">
        <v>330</v>
      </c>
      <c r="E195" s="3">
        <v>10026</v>
      </c>
      <c r="F195" s="3"/>
      <c r="G195" s="3" t="s">
        <v>30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5">
        <v>21000</v>
      </c>
      <c r="N195" s="5">
        <v>31500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5">
        <v>52000</v>
      </c>
      <c r="X195" s="3">
        <v>0</v>
      </c>
      <c r="Y195" s="3">
        <v>0</v>
      </c>
      <c r="Z195" s="3">
        <v>0</v>
      </c>
      <c r="AA195" s="5">
        <v>10500</v>
      </c>
      <c r="AB195" s="6">
        <v>286000</v>
      </c>
      <c r="AD195" s="2" t="str">
        <f>VLOOKUP(E195,'[1]Detailed Transfer Report (12)'!$K:$Y,14,FALSE)</f>
        <v>Sardar Tanveer Ilyas</v>
      </c>
      <c r="AE195" s="16"/>
    </row>
    <row r="196" spans="1:31" x14ac:dyDescent="0.25">
      <c r="A196" s="3">
        <v>25</v>
      </c>
      <c r="B196" s="4">
        <v>41573</v>
      </c>
      <c r="C196" s="3" t="s">
        <v>141</v>
      </c>
      <c r="D196" s="3" t="s">
        <v>331</v>
      </c>
      <c r="E196" s="3">
        <v>10069</v>
      </c>
      <c r="F196" s="3"/>
      <c r="G196" s="3" t="s">
        <v>30</v>
      </c>
      <c r="H196" s="3">
        <v>0</v>
      </c>
      <c r="I196" s="3">
        <v>0</v>
      </c>
      <c r="J196" s="3">
        <v>0</v>
      </c>
      <c r="K196" s="3">
        <v>0</v>
      </c>
      <c r="L196" s="5">
        <v>150000</v>
      </c>
      <c r="M196" s="5">
        <v>36000</v>
      </c>
      <c r="N196" s="5">
        <v>54300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5">
        <v>24000</v>
      </c>
      <c r="X196" s="3">
        <v>0</v>
      </c>
      <c r="Y196" s="3">
        <v>0</v>
      </c>
      <c r="Z196" s="3">
        <v>0</v>
      </c>
      <c r="AA196" s="5">
        <v>18000</v>
      </c>
      <c r="AB196" s="6">
        <v>282300</v>
      </c>
      <c r="AD196" s="2" t="str">
        <f>VLOOKUP(E196,'[1]Detailed Transfer Report (12)'!$K:$Y,14,FALSE)</f>
        <v>Sardar Tanveer Ilyas</v>
      </c>
      <c r="AE196" s="16"/>
    </row>
    <row r="197" spans="1:31" x14ac:dyDescent="0.25">
      <c r="A197" s="3">
        <v>26</v>
      </c>
      <c r="B197" s="4">
        <v>41586</v>
      </c>
      <c r="C197" s="3" t="s">
        <v>72</v>
      </c>
      <c r="D197" s="3" t="s">
        <v>332</v>
      </c>
      <c r="E197" s="3">
        <v>10100</v>
      </c>
      <c r="F197" s="3"/>
      <c r="G197" s="3" t="s">
        <v>30</v>
      </c>
      <c r="H197" s="3">
        <v>0</v>
      </c>
      <c r="I197" s="3">
        <v>0</v>
      </c>
      <c r="J197" s="3">
        <v>0</v>
      </c>
      <c r="K197" s="3">
        <v>0</v>
      </c>
      <c r="L197" s="5">
        <v>180000</v>
      </c>
      <c r="M197" s="5">
        <v>72000</v>
      </c>
      <c r="N197" s="5">
        <v>108300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5">
        <v>6000</v>
      </c>
      <c r="W197" s="3">
        <v>0</v>
      </c>
      <c r="X197" s="3">
        <v>0</v>
      </c>
      <c r="Y197" s="3">
        <v>0</v>
      </c>
      <c r="Z197" s="3">
        <v>0</v>
      </c>
      <c r="AA197" s="5">
        <v>36000</v>
      </c>
      <c r="AB197" s="6">
        <v>402300</v>
      </c>
      <c r="AD197" s="2" t="str">
        <f>VLOOKUP(E197,'[1]Detailed Transfer Report (12)'!$K:$Y,14,FALSE)</f>
        <v>Sardar Tanveer Ilyas</v>
      </c>
      <c r="AE197" s="16"/>
    </row>
    <row r="198" spans="1:31" x14ac:dyDescent="0.25">
      <c r="A198" s="3">
        <v>27</v>
      </c>
      <c r="B198" s="4">
        <v>41556</v>
      </c>
      <c r="C198" s="3" t="s">
        <v>333</v>
      </c>
      <c r="D198" s="3" t="s">
        <v>334</v>
      </c>
      <c r="E198" s="3">
        <v>1090</v>
      </c>
      <c r="F198" s="3"/>
      <c r="G198" s="3" t="s">
        <v>41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5">
        <v>124050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5">
        <v>2000</v>
      </c>
      <c r="W198" s="5">
        <v>72000</v>
      </c>
      <c r="X198" s="3">
        <v>0</v>
      </c>
      <c r="Y198" s="3">
        <v>0</v>
      </c>
      <c r="Z198" s="3">
        <v>0</v>
      </c>
      <c r="AA198" s="5">
        <v>41350</v>
      </c>
      <c r="AB198" s="6">
        <v>239400</v>
      </c>
      <c r="AD198" s="2" t="str">
        <f>VLOOKUP(E198,'[1]Detailed Transfer Report (12)'!$K:$Y,14,FALSE)</f>
        <v>Sardar Tanveer Ilyas</v>
      </c>
      <c r="AE198" s="16"/>
    </row>
    <row r="199" spans="1:31" x14ac:dyDescent="0.25">
      <c r="A199" s="3">
        <v>31</v>
      </c>
      <c r="B199" s="4">
        <v>42070</v>
      </c>
      <c r="C199" s="3" t="s">
        <v>68</v>
      </c>
      <c r="D199" s="3" t="s">
        <v>335</v>
      </c>
      <c r="E199" s="3">
        <v>11117</v>
      </c>
      <c r="F199" s="3"/>
      <c r="G199" s="3" t="s">
        <v>30</v>
      </c>
      <c r="H199" s="3">
        <v>0</v>
      </c>
      <c r="I199" s="3">
        <v>0</v>
      </c>
      <c r="J199" s="3">
        <v>0</v>
      </c>
      <c r="K199" s="3">
        <v>0</v>
      </c>
      <c r="L199" s="5">
        <v>56250</v>
      </c>
      <c r="M199" s="5">
        <v>27000</v>
      </c>
      <c r="N199" s="5">
        <v>41500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5">
        <v>4000</v>
      </c>
      <c r="W199" s="5">
        <v>13000</v>
      </c>
      <c r="X199" s="3">
        <v>0</v>
      </c>
      <c r="Y199" s="3">
        <v>0</v>
      </c>
      <c r="Z199" s="3">
        <v>0</v>
      </c>
      <c r="AA199" s="5">
        <v>13500</v>
      </c>
      <c r="AB199" s="6">
        <v>155250</v>
      </c>
      <c r="AD199" s="2" t="str">
        <f>VLOOKUP(E199,'[1]Detailed Transfer Report (12)'!$K:$Y,14,FALSE)</f>
        <v>Sardar Tanveer Ilyas</v>
      </c>
      <c r="AE199" s="16"/>
    </row>
    <row r="200" spans="1:31" x14ac:dyDescent="0.25">
      <c r="A200" s="3">
        <v>32</v>
      </c>
      <c r="B200" s="4">
        <v>41635</v>
      </c>
      <c r="C200" s="3" t="s">
        <v>336</v>
      </c>
      <c r="D200" s="3" t="s">
        <v>337</v>
      </c>
      <c r="E200" s="3">
        <v>10194</v>
      </c>
      <c r="F200" s="3"/>
      <c r="G200" s="3" t="s">
        <v>30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5">
        <v>72000</v>
      </c>
      <c r="N200" s="5">
        <v>108300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5">
        <v>9000</v>
      </c>
      <c r="W200" s="5">
        <v>72000</v>
      </c>
      <c r="X200" s="3">
        <v>0</v>
      </c>
      <c r="Y200" s="3">
        <v>0</v>
      </c>
      <c r="Z200" s="3">
        <v>0</v>
      </c>
      <c r="AA200" s="5">
        <v>36000</v>
      </c>
      <c r="AB200" s="6">
        <v>297300</v>
      </c>
      <c r="AD200" s="2" t="str">
        <f>VLOOKUP(E200,'[1]Detailed Transfer Report (12)'!$K:$Y,14,FALSE)</f>
        <v>Noor Wahid</v>
      </c>
      <c r="AE200" s="16"/>
    </row>
    <row r="201" spans="1:31" x14ac:dyDescent="0.25">
      <c r="A201" s="7">
        <v>33</v>
      </c>
      <c r="B201" s="4">
        <v>41768</v>
      </c>
      <c r="C201" s="3" t="s">
        <v>338</v>
      </c>
      <c r="D201" s="3" t="s">
        <v>339</v>
      </c>
      <c r="E201" s="3">
        <v>10466</v>
      </c>
      <c r="F201" s="3"/>
      <c r="G201" s="3" t="s">
        <v>30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5">
        <v>36000</v>
      </c>
      <c r="N201" s="5">
        <v>54300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5">
        <v>34000</v>
      </c>
      <c r="W201" s="5">
        <v>30000</v>
      </c>
      <c r="X201" s="3">
        <v>0</v>
      </c>
      <c r="Y201" s="3">
        <v>0</v>
      </c>
      <c r="Z201" s="3">
        <v>0</v>
      </c>
      <c r="AA201" s="5">
        <v>18000</v>
      </c>
      <c r="AB201" s="6">
        <v>172300</v>
      </c>
      <c r="AD201" s="2" t="str">
        <f>VLOOKUP(E201,'[1]Detailed Transfer Report (12)'!$K:$Y,14,FALSE)</f>
        <v>Sardar Tanveer Ilyas</v>
      </c>
      <c r="AE201" s="16"/>
    </row>
    <row r="202" spans="1:31" x14ac:dyDescent="0.25">
      <c r="A202" s="9">
        <v>33</v>
      </c>
      <c r="B202" s="4">
        <v>41669</v>
      </c>
      <c r="C202" s="3" t="s">
        <v>340</v>
      </c>
      <c r="D202" s="3" t="s">
        <v>341</v>
      </c>
      <c r="E202" s="3">
        <v>10261</v>
      </c>
      <c r="F202" s="3"/>
      <c r="G202" s="3" t="s">
        <v>30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5">
        <v>48000</v>
      </c>
      <c r="N202" s="5">
        <v>72300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5">
        <v>24000</v>
      </c>
      <c r="AB202" s="6">
        <v>316600</v>
      </c>
      <c r="AD202" s="2" t="str">
        <f>VLOOKUP(E202,'[1]Detailed Transfer Report (12)'!$K:$Y,14,FALSE)</f>
        <v>Sardar Tanveer Ilyas</v>
      </c>
      <c r="AE202" s="16"/>
    </row>
    <row r="203" spans="1:31" x14ac:dyDescent="0.25">
      <c r="A203" s="9">
        <v>33</v>
      </c>
      <c r="B203" s="4">
        <v>41753</v>
      </c>
      <c r="C203" s="3" t="s">
        <v>342</v>
      </c>
      <c r="D203" s="3" t="s">
        <v>343</v>
      </c>
      <c r="E203" s="3">
        <v>10292</v>
      </c>
      <c r="F203" s="3"/>
      <c r="G203" s="3" t="s">
        <v>30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5">
        <v>80000</v>
      </c>
      <c r="X203" s="3">
        <v>0</v>
      </c>
      <c r="Y203" s="3">
        <v>0</v>
      </c>
      <c r="Z203" s="3">
        <v>0</v>
      </c>
      <c r="AA203" s="3">
        <v>0</v>
      </c>
      <c r="AB203" s="6">
        <v>396600</v>
      </c>
      <c r="AD203" s="2" t="str">
        <f>VLOOKUP(E203,'[1]Detailed Transfer Report (12)'!$K:$Y,14,FALSE)</f>
        <v>Sardar Tanveer Ilyas</v>
      </c>
      <c r="AE203" s="16"/>
    </row>
    <row r="204" spans="1:31" x14ac:dyDescent="0.25">
      <c r="A204" s="10">
        <v>33</v>
      </c>
      <c r="B204" s="4">
        <v>41716</v>
      </c>
      <c r="C204" s="3" t="s">
        <v>344</v>
      </c>
      <c r="D204" s="3" t="s">
        <v>345</v>
      </c>
      <c r="E204" s="3">
        <v>10387</v>
      </c>
      <c r="F204" s="3"/>
      <c r="G204" s="3" t="s">
        <v>30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5">
        <v>19050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5">
        <v>80000</v>
      </c>
      <c r="X204" s="3">
        <v>0</v>
      </c>
      <c r="Y204" s="3">
        <v>0</v>
      </c>
      <c r="Z204" s="3">
        <v>0</v>
      </c>
      <c r="AA204" s="5">
        <v>6250</v>
      </c>
      <c r="AB204" s="6">
        <v>501900</v>
      </c>
      <c r="AD204" s="2" t="str">
        <f>VLOOKUP(E204,'[1]Detailed Transfer Report (12)'!$K:$Y,14,FALSE)</f>
        <v>Sardar Tanveer Ilyas</v>
      </c>
      <c r="AE204" s="16"/>
    </row>
    <row r="205" spans="1:31" x14ac:dyDescent="0.25">
      <c r="A205" s="3">
        <v>34</v>
      </c>
      <c r="B205" s="4">
        <v>41669</v>
      </c>
      <c r="C205" s="3" t="s">
        <v>346</v>
      </c>
      <c r="D205" s="3" t="s">
        <v>347</v>
      </c>
      <c r="E205" s="3">
        <v>1108</v>
      </c>
      <c r="F205" s="3"/>
      <c r="G205" s="3" t="s">
        <v>41</v>
      </c>
      <c r="H205" s="3">
        <v>0</v>
      </c>
      <c r="I205" s="3">
        <v>0</v>
      </c>
      <c r="J205" s="5">
        <v>25800</v>
      </c>
      <c r="K205" s="3">
        <v>0</v>
      </c>
      <c r="L205" s="3">
        <v>0</v>
      </c>
      <c r="M205" s="5">
        <v>25500</v>
      </c>
      <c r="N205" s="5">
        <v>76500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5">
        <v>40000</v>
      </c>
      <c r="X205" s="3">
        <v>0</v>
      </c>
      <c r="Y205" s="3">
        <v>0</v>
      </c>
      <c r="Z205" s="3">
        <v>0</v>
      </c>
      <c r="AA205" s="5">
        <v>25500</v>
      </c>
      <c r="AB205" s="6">
        <v>193300</v>
      </c>
      <c r="AD205" s="2" t="str">
        <f>VLOOKUP(E205,'[1]Detailed Transfer Report (12)'!$K:$Y,14,FALSE)</f>
        <v>Sardar Tanveer Ilyas</v>
      </c>
      <c r="AE205" s="16"/>
    </row>
    <row r="206" spans="1:31" x14ac:dyDescent="0.25">
      <c r="A206" s="7">
        <v>35</v>
      </c>
      <c r="B206" s="4">
        <v>41754</v>
      </c>
      <c r="C206" s="3" t="s">
        <v>348</v>
      </c>
      <c r="D206" s="3" t="s">
        <v>349</v>
      </c>
      <c r="E206" s="3">
        <v>10443</v>
      </c>
      <c r="F206" s="3"/>
      <c r="G206" s="3" t="s">
        <v>30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5">
        <v>26500</v>
      </c>
      <c r="N206" s="5">
        <v>40050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5">
        <v>2000</v>
      </c>
      <c r="W206" s="3">
        <v>0</v>
      </c>
      <c r="X206" s="3">
        <v>0</v>
      </c>
      <c r="Y206" s="3">
        <v>0</v>
      </c>
      <c r="Z206" s="3">
        <v>0</v>
      </c>
      <c r="AA206" s="5">
        <v>13250</v>
      </c>
      <c r="AB206" s="6">
        <v>81800</v>
      </c>
      <c r="AD206" s="2" t="str">
        <f>VLOOKUP(E206,'[1]Detailed Transfer Report (12)'!$K:$Y,14,FALSE)</f>
        <v>Sardar Rashid Ilyas Khan</v>
      </c>
      <c r="AE206" s="16"/>
    </row>
    <row r="207" spans="1:31" x14ac:dyDescent="0.25">
      <c r="A207" s="9">
        <v>35</v>
      </c>
      <c r="B207" s="4">
        <v>41669</v>
      </c>
      <c r="C207" s="3" t="s">
        <v>350</v>
      </c>
      <c r="D207" s="3" t="s">
        <v>351</v>
      </c>
      <c r="E207" s="3">
        <v>10273</v>
      </c>
      <c r="F207" s="3"/>
      <c r="G207" s="3" t="s">
        <v>30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5">
        <v>195000</v>
      </c>
      <c r="N207" s="5">
        <v>292800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5">
        <v>11000</v>
      </c>
      <c r="W207" s="3">
        <v>0</v>
      </c>
      <c r="X207" s="3">
        <v>0</v>
      </c>
      <c r="Y207" s="3">
        <v>0</v>
      </c>
      <c r="Z207" s="3">
        <v>0</v>
      </c>
      <c r="AA207" s="5">
        <v>97500</v>
      </c>
      <c r="AB207" s="6">
        <v>678100</v>
      </c>
      <c r="AD207" s="2" t="str">
        <f>VLOOKUP(E207,'[1]Detailed Transfer Report (12)'!$K:$Y,14,FALSE)</f>
        <v>Sardar Rashid Ilyas Khan</v>
      </c>
      <c r="AE207" s="16"/>
    </row>
    <row r="208" spans="1:31" x14ac:dyDescent="0.25">
      <c r="A208" s="9">
        <v>35</v>
      </c>
      <c r="B208" s="4">
        <v>41753</v>
      </c>
      <c r="C208" s="3" t="s">
        <v>352</v>
      </c>
      <c r="D208" s="3" t="s">
        <v>353</v>
      </c>
      <c r="E208" s="3">
        <v>964</v>
      </c>
      <c r="F208" s="3"/>
      <c r="G208" s="3" t="s">
        <v>30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5">
        <v>7800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5">
        <v>160000</v>
      </c>
      <c r="X208" s="3">
        <v>0</v>
      </c>
      <c r="Y208" s="3">
        <v>0</v>
      </c>
      <c r="Z208" s="3">
        <v>0</v>
      </c>
      <c r="AA208" s="5">
        <v>2500</v>
      </c>
      <c r="AB208" s="6">
        <v>848400</v>
      </c>
      <c r="AD208" s="2" t="str">
        <f>VLOOKUP(E208,'[1]Detailed Transfer Report (12)'!$K:$Y,14,FALSE)</f>
        <v>Sardar Rashid Ilyas Khan</v>
      </c>
      <c r="AE208" s="16"/>
    </row>
    <row r="209" spans="1:31" x14ac:dyDescent="0.25">
      <c r="A209" s="10">
        <v>35</v>
      </c>
      <c r="B209" s="4">
        <v>41754</v>
      </c>
      <c r="C209" s="3" t="s">
        <v>354</v>
      </c>
      <c r="D209" s="3" t="s">
        <v>355</v>
      </c>
      <c r="E209" s="3">
        <v>994</v>
      </c>
      <c r="F209" s="3"/>
      <c r="G209" s="3" t="s">
        <v>30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5">
        <v>1200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300</v>
      </c>
      <c r="AB209" s="6">
        <v>849900</v>
      </c>
      <c r="AD209" s="2" t="str">
        <f>VLOOKUP(E209,'[1]Detailed Transfer Report (12)'!$K:$Y,14,FALSE)</f>
        <v>Sardar Rashid Ilyas Khan</v>
      </c>
      <c r="AE209" s="16"/>
    </row>
    <row r="210" spans="1:31" x14ac:dyDescent="0.25">
      <c r="A210" s="3">
        <v>36</v>
      </c>
      <c r="B210" s="4">
        <v>41712</v>
      </c>
      <c r="C210" s="3" t="s">
        <v>356</v>
      </c>
      <c r="D210" s="3" t="s">
        <v>357</v>
      </c>
      <c r="E210" s="3">
        <v>10349</v>
      </c>
      <c r="F210" s="3"/>
      <c r="G210" s="3" t="s">
        <v>30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5">
        <v>187000</v>
      </c>
      <c r="N210" s="5">
        <v>280800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5">
        <v>8000</v>
      </c>
      <c r="W210" s="5">
        <v>96000</v>
      </c>
      <c r="X210" s="3">
        <v>0</v>
      </c>
      <c r="Y210" s="3">
        <v>0</v>
      </c>
      <c r="Z210" s="3">
        <v>0</v>
      </c>
      <c r="AA210" s="5">
        <v>93500</v>
      </c>
      <c r="AB210" s="6">
        <v>665300</v>
      </c>
      <c r="AD210" s="2" t="str">
        <f>VLOOKUP(E210,'[1]Detailed Transfer Report (12)'!$K:$Y,14,FALSE)</f>
        <v>Sardar Tanveer Ilyas</v>
      </c>
      <c r="AE210" s="16"/>
    </row>
    <row r="211" spans="1:31" x14ac:dyDescent="0.25">
      <c r="A211" s="3">
        <v>37</v>
      </c>
      <c r="B211" s="4">
        <v>41698</v>
      </c>
      <c r="C211" s="3" t="s">
        <v>358</v>
      </c>
      <c r="D211" s="3" t="s">
        <v>359</v>
      </c>
      <c r="E211" s="3">
        <v>10318</v>
      </c>
      <c r="F211" s="3"/>
      <c r="G211" s="3" t="s">
        <v>30</v>
      </c>
      <c r="H211" s="3">
        <v>0</v>
      </c>
      <c r="I211" s="3">
        <v>0</v>
      </c>
      <c r="J211" s="3">
        <v>0</v>
      </c>
      <c r="K211" s="3">
        <v>0</v>
      </c>
      <c r="L211" s="5">
        <v>184139</v>
      </c>
      <c r="M211" s="5">
        <v>74000</v>
      </c>
      <c r="N211" s="5">
        <v>111300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5">
        <v>5000</v>
      </c>
      <c r="W211" s="5">
        <v>44000</v>
      </c>
      <c r="X211" s="3">
        <v>0</v>
      </c>
      <c r="Y211" s="3">
        <v>0</v>
      </c>
      <c r="Z211" s="3">
        <v>0</v>
      </c>
      <c r="AA211" s="5">
        <v>37000</v>
      </c>
      <c r="AB211" s="6">
        <v>455439</v>
      </c>
      <c r="AD211" s="2" t="str">
        <f>VLOOKUP(E211,'[1]Detailed Transfer Report (12)'!$K:$Y,14,FALSE)</f>
        <v>Sardar Tanveer Ilyas</v>
      </c>
      <c r="AE211" s="16"/>
    </row>
    <row r="212" spans="1:31" x14ac:dyDescent="0.25">
      <c r="A212" s="3">
        <v>38</v>
      </c>
      <c r="B212" s="4">
        <v>41755</v>
      </c>
      <c r="C212" s="3" t="s">
        <v>256</v>
      </c>
      <c r="D212" s="3" t="s">
        <v>360</v>
      </c>
      <c r="E212" s="3">
        <v>10350</v>
      </c>
      <c r="F212" s="3"/>
      <c r="G212" s="3" t="s">
        <v>30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5">
        <v>72000</v>
      </c>
      <c r="N212" s="5">
        <v>108300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5">
        <v>4500</v>
      </c>
      <c r="W212" s="5">
        <v>40000</v>
      </c>
      <c r="X212" s="3">
        <v>0</v>
      </c>
      <c r="Y212" s="3">
        <v>0</v>
      </c>
      <c r="Z212" s="3">
        <v>0</v>
      </c>
      <c r="AA212" s="5">
        <v>36000</v>
      </c>
      <c r="AB212" s="6">
        <v>260800</v>
      </c>
      <c r="AD212" s="2" t="str">
        <f>VLOOKUP(E212,'[1]Detailed Transfer Report (12)'!$K:$Y,14,FALSE)</f>
        <v>Sardar Tanveer Ilyas</v>
      </c>
      <c r="AE212" s="16"/>
    </row>
    <row r="213" spans="1:31" x14ac:dyDescent="0.25">
      <c r="A213" s="3">
        <v>39</v>
      </c>
      <c r="B213" s="4">
        <v>41733</v>
      </c>
      <c r="C213" s="3" t="s">
        <v>361</v>
      </c>
      <c r="D213" s="3" t="s">
        <v>362</v>
      </c>
      <c r="E213" s="3">
        <v>10405</v>
      </c>
      <c r="F213" s="3"/>
      <c r="G213" s="3" t="s">
        <v>30</v>
      </c>
      <c r="H213" s="3">
        <v>0</v>
      </c>
      <c r="I213" s="3">
        <v>0</v>
      </c>
      <c r="J213" s="3">
        <v>0</v>
      </c>
      <c r="K213" s="3">
        <v>0</v>
      </c>
      <c r="L213" s="5">
        <v>108000</v>
      </c>
      <c r="M213" s="5">
        <v>43200</v>
      </c>
      <c r="N213" s="5">
        <v>65100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5">
        <v>2500</v>
      </c>
      <c r="W213" s="5">
        <v>24000</v>
      </c>
      <c r="X213" s="3">
        <v>0</v>
      </c>
      <c r="Y213" s="3">
        <v>0</v>
      </c>
      <c r="Z213" s="3">
        <v>0</v>
      </c>
      <c r="AA213" s="5">
        <v>21600</v>
      </c>
      <c r="AB213" s="6">
        <v>264400</v>
      </c>
      <c r="AD213" s="2" t="str">
        <f>VLOOKUP(E213,'[1]Detailed Transfer Report (12)'!$K:$Y,14,FALSE)</f>
        <v>Sardar Tanveer Ilyas</v>
      </c>
      <c r="AE213" s="16"/>
    </row>
    <row r="214" spans="1:31" x14ac:dyDescent="0.25">
      <c r="A214" s="7">
        <v>40</v>
      </c>
      <c r="B214" s="4">
        <v>41733</v>
      </c>
      <c r="C214" s="3" t="s">
        <v>363</v>
      </c>
      <c r="D214" s="3" t="s">
        <v>364</v>
      </c>
      <c r="E214" s="3">
        <v>10101</v>
      </c>
      <c r="F214" s="3"/>
      <c r="G214" s="3" t="s">
        <v>30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5">
        <v>56000</v>
      </c>
      <c r="N214" s="5">
        <v>84300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5">
        <v>2500</v>
      </c>
      <c r="W214" s="3">
        <v>0</v>
      </c>
      <c r="X214" s="3">
        <v>0</v>
      </c>
      <c r="Y214" s="3">
        <v>0</v>
      </c>
      <c r="Z214" s="3">
        <v>0</v>
      </c>
      <c r="AA214" s="5">
        <v>28000</v>
      </c>
      <c r="AB214" s="6">
        <v>170800</v>
      </c>
      <c r="AD214" s="2" t="str">
        <f>VLOOKUP(E214,'[1]Detailed Transfer Report (12)'!$K:$Y,14,FALSE)</f>
        <v>Sardar Tanveer Ilyas</v>
      </c>
      <c r="AE214" s="16"/>
    </row>
    <row r="215" spans="1:31" x14ac:dyDescent="0.25">
      <c r="A215" s="9">
        <v>40</v>
      </c>
      <c r="B215" s="4">
        <v>41754</v>
      </c>
      <c r="C215" s="3" t="s">
        <v>141</v>
      </c>
      <c r="D215" s="3" t="s">
        <v>365</v>
      </c>
      <c r="E215" s="3">
        <v>10406</v>
      </c>
      <c r="F215" s="3"/>
      <c r="G215" s="3" t="s">
        <v>30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5">
        <v>48000</v>
      </c>
      <c r="N215" s="5">
        <v>72300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5">
        <v>24000</v>
      </c>
      <c r="AB215" s="6">
        <v>315100</v>
      </c>
      <c r="AD215" s="2" t="str">
        <f>VLOOKUP(E215,'[1]Detailed Transfer Report (12)'!$K:$Y,14,FALSE)</f>
        <v>Sardar Tanveer Ilyas</v>
      </c>
      <c r="AE215" s="16"/>
    </row>
    <row r="216" spans="1:31" x14ac:dyDescent="0.25">
      <c r="A216" s="9">
        <v>40</v>
      </c>
      <c r="B216" s="4">
        <v>41754</v>
      </c>
      <c r="C216" s="3" t="s">
        <v>366</v>
      </c>
      <c r="D216" s="3" t="s">
        <v>367</v>
      </c>
      <c r="E216" s="3">
        <v>10408</v>
      </c>
      <c r="F216" s="3"/>
      <c r="G216" s="3" t="s">
        <v>30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5">
        <v>2100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600</v>
      </c>
      <c r="AB216" s="6">
        <v>317800</v>
      </c>
      <c r="AD216" s="2" t="str">
        <f>VLOOKUP(E216,'[1]Detailed Transfer Report (12)'!$K:$Y,14,FALSE)</f>
        <v>Sardar Tanveer Ilyas</v>
      </c>
      <c r="AE216" s="16"/>
    </row>
    <row r="217" spans="1:31" x14ac:dyDescent="0.25">
      <c r="A217" s="10">
        <v>40</v>
      </c>
      <c r="B217" s="4">
        <v>41841</v>
      </c>
      <c r="C217" s="3" t="s">
        <v>153</v>
      </c>
      <c r="D217" s="3" t="s">
        <v>368</v>
      </c>
      <c r="E217" s="3">
        <v>10642</v>
      </c>
      <c r="F217" s="3"/>
      <c r="G217" s="3" t="s">
        <v>30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5">
        <v>12300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5">
        <v>3000</v>
      </c>
      <c r="W217" s="5">
        <v>4500</v>
      </c>
      <c r="X217" s="3">
        <v>0</v>
      </c>
      <c r="Y217" s="3">
        <v>0</v>
      </c>
      <c r="Z217" s="3">
        <v>0</v>
      </c>
      <c r="AA217" s="5">
        <v>4000</v>
      </c>
      <c r="AB217" s="6">
        <v>341600</v>
      </c>
      <c r="AD217" s="2" t="str">
        <f>VLOOKUP(E217,'[1]Detailed Transfer Report (12)'!$K:$Y,14,FALSE)</f>
        <v>Sardar Tanveer Ilyas</v>
      </c>
      <c r="AE217" s="16"/>
    </row>
    <row r="218" spans="1:31" x14ac:dyDescent="0.25">
      <c r="A218" s="7">
        <v>41</v>
      </c>
      <c r="B218" s="4">
        <v>41800</v>
      </c>
      <c r="C218" s="3" t="s">
        <v>31</v>
      </c>
      <c r="D218" s="3" t="s">
        <v>369</v>
      </c>
      <c r="E218" s="3">
        <v>10469</v>
      </c>
      <c r="F218" s="3"/>
      <c r="G218" s="3" t="s">
        <v>30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5">
        <v>22000</v>
      </c>
      <c r="N218" s="5">
        <v>33300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5">
        <v>11000</v>
      </c>
      <c r="AB218" s="6">
        <v>66300</v>
      </c>
      <c r="AD218" s="2" t="str">
        <f>VLOOKUP(E218,'[1]Detailed Transfer Report (12)'!$K:$Y,14,FALSE)</f>
        <v>Sardar Tanveer Ilyas</v>
      </c>
      <c r="AE218" s="16"/>
    </row>
    <row r="219" spans="1:31" x14ac:dyDescent="0.25">
      <c r="A219" s="9">
        <v>41</v>
      </c>
      <c r="B219" s="4">
        <v>41804</v>
      </c>
      <c r="C219" s="3" t="s">
        <v>370</v>
      </c>
      <c r="D219" s="3" t="s">
        <v>371</v>
      </c>
      <c r="E219" s="3">
        <v>10546</v>
      </c>
      <c r="F219" s="3"/>
      <c r="G219" s="3" t="s">
        <v>30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5">
        <v>27300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5">
        <v>17000</v>
      </c>
      <c r="X219" s="3">
        <v>0</v>
      </c>
      <c r="Y219" s="3">
        <v>0</v>
      </c>
      <c r="Z219" s="3">
        <v>0</v>
      </c>
      <c r="AA219" s="5">
        <v>8200</v>
      </c>
      <c r="AB219" s="6">
        <v>118800</v>
      </c>
      <c r="AD219" s="2" t="str">
        <f>VLOOKUP(E219,'[1]Detailed Transfer Report (12)'!$K:$Y,14,FALSE)</f>
        <v>Sardar Tanveer Ilyas</v>
      </c>
      <c r="AE219" s="16"/>
    </row>
    <row r="220" spans="1:31" x14ac:dyDescent="0.25">
      <c r="A220" s="10">
        <v>41</v>
      </c>
      <c r="B220" s="4">
        <v>41895</v>
      </c>
      <c r="C220" s="3" t="s">
        <v>372</v>
      </c>
      <c r="D220" s="3" t="s">
        <v>373</v>
      </c>
      <c r="E220" s="3">
        <v>10609</v>
      </c>
      <c r="F220" s="3"/>
      <c r="G220" s="3" t="s">
        <v>30</v>
      </c>
      <c r="H220" s="3">
        <v>0</v>
      </c>
      <c r="I220" s="3">
        <v>0</v>
      </c>
      <c r="J220" s="3">
        <v>0</v>
      </c>
      <c r="K220" s="3">
        <v>0</v>
      </c>
      <c r="L220" s="5">
        <v>278000</v>
      </c>
      <c r="M220" s="5">
        <v>57000</v>
      </c>
      <c r="N220" s="5">
        <v>86500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5">
        <v>79500</v>
      </c>
      <c r="W220" s="5">
        <v>35500</v>
      </c>
      <c r="X220" s="3">
        <v>0</v>
      </c>
      <c r="Y220" s="3">
        <v>0</v>
      </c>
      <c r="Z220" s="3">
        <v>0</v>
      </c>
      <c r="AA220" s="5">
        <v>28500</v>
      </c>
      <c r="AB220" s="6">
        <v>683800</v>
      </c>
      <c r="AD220" s="2" t="str">
        <f>VLOOKUP(E220,'[1]Detailed Transfer Report (12)'!$K:$Y,14,FALSE)</f>
        <v>Sardar Tanveer Ilyas</v>
      </c>
      <c r="AE220" s="16"/>
    </row>
    <row r="221" spans="1:31" x14ac:dyDescent="0.25">
      <c r="A221" s="3">
        <v>44</v>
      </c>
      <c r="B221" s="4">
        <v>41767</v>
      </c>
      <c r="C221" s="3" t="s">
        <v>72</v>
      </c>
      <c r="D221" s="3" t="s">
        <v>374</v>
      </c>
      <c r="E221" s="3">
        <v>10480</v>
      </c>
      <c r="F221" s="3"/>
      <c r="G221" s="3" t="s">
        <v>30</v>
      </c>
      <c r="H221" s="3">
        <v>0</v>
      </c>
      <c r="I221" s="3">
        <v>0</v>
      </c>
      <c r="J221" s="3">
        <v>0</v>
      </c>
      <c r="K221" s="3">
        <v>0</v>
      </c>
      <c r="L221" s="5">
        <v>290000</v>
      </c>
      <c r="M221" s="5">
        <v>160000</v>
      </c>
      <c r="N221" s="5">
        <v>240300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5">
        <v>80000</v>
      </c>
      <c r="AB221" s="6">
        <v>770300</v>
      </c>
      <c r="AD221" s="2" t="str">
        <f>VLOOKUP(E221,'[1]Detailed Transfer Report (12)'!$K:$Y,14,FALSE)</f>
        <v>Sardar Tanveer Ilyas</v>
      </c>
      <c r="AE221" s="16"/>
    </row>
    <row r="222" spans="1:31" x14ac:dyDescent="0.25">
      <c r="A222" s="7">
        <v>45</v>
      </c>
      <c r="B222" s="4">
        <v>41767</v>
      </c>
      <c r="C222" s="3" t="s">
        <v>375</v>
      </c>
      <c r="D222" s="3" t="s">
        <v>376</v>
      </c>
      <c r="E222" s="3">
        <v>10481</v>
      </c>
      <c r="F222" s="3"/>
      <c r="G222" s="3" t="s">
        <v>30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5">
        <v>4500</v>
      </c>
      <c r="N222" s="5">
        <v>14400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5">
        <v>4700</v>
      </c>
      <c r="AB222" s="6">
        <v>23600</v>
      </c>
      <c r="AD222" s="2" t="str">
        <f>VLOOKUP(E222,'[1]Detailed Transfer Report (12)'!$K:$Y,14,FALSE)</f>
        <v>Sardar Tanveer Ilyas</v>
      </c>
      <c r="AE222" s="16"/>
    </row>
    <row r="223" spans="1:31" x14ac:dyDescent="0.25">
      <c r="A223" s="9">
        <v>45</v>
      </c>
      <c r="B223" s="4">
        <v>41800</v>
      </c>
      <c r="C223" s="3" t="s">
        <v>377</v>
      </c>
      <c r="D223" s="3" t="s">
        <v>378</v>
      </c>
      <c r="E223" s="3">
        <v>10569</v>
      </c>
      <c r="F223" s="3"/>
      <c r="G223" s="3" t="s">
        <v>30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5">
        <v>4500</v>
      </c>
      <c r="N223" s="5">
        <v>12300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5">
        <v>4000</v>
      </c>
      <c r="AB223" s="6">
        <v>44400</v>
      </c>
      <c r="AD223" s="2" t="str">
        <f>VLOOKUP(E223,'[1]Detailed Transfer Report (12)'!$K:$Y,14,FALSE)</f>
        <v>Sardar Tanveer Ilyas</v>
      </c>
      <c r="AE223" s="16"/>
    </row>
    <row r="224" spans="1:31" x14ac:dyDescent="0.25">
      <c r="A224" s="9">
        <v>45</v>
      </c>
      <c r="B224" s="4">
        <v>41800</v>
      </c>
      <c r="C224" s="3" t="s">
        <v>379</v>
      </c>
      <c r="D224" s="3" t="s">
        <v>380</v>
      </c>
      <c r="E224" s="3">
        <v>10584</v>
      </c>
      <c r="F224" s="3"/>
      <c r="G224" s="3" t="s">
        <v>30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5">
        <v>18300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5">
        <v>6000</v>
      </c>
      <c r="AB224" s="6">
        <v>68700</v>
      </c>
      <c r="AD224" s="2" t="str">
        <f>VLOOKUP(E224,'[1]Detailed Transfer Report (12)'!$K:$Y,14,FALSE)</f>
        <v>Sardar Tanveer Ilyas</v>
      </c>
      <c r="AE224" s="16"/>
    </row>
    <row r="225" spans="1:31" x14ac:dyDescent="0.25">
      <c r="A225" s="9">
        <v>45</v>
      </c>
      <c r="B225" s="4">
        <v>41804</v>
      </c>
      <c r="C225" s="3" t="s">
        <v>381</v>
      </c>
      <c r="D225" s="3" t="s">
        <v>382</v>
      </c>
      <c r="E225" s="3">
        <v>10586</v>
      </c>
      <c r="F225" s="3"/>
      <c r="G225" s="3" t="s">
        <v>30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5">
        <v>60000</v>
      </c>
      <c r="N225" s="5">
        <v>90300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5">
        <v>4000</v>
      </c>
      <c r="W225" s="5">
        <v>38000</v>
      </c>
      <c r="X225" s="3">
        <v>0</v>
      </c>
      <c r="Y225" s="3">
        <v>0</v>
      </c>
      <c r="Z225" s="3">
        <v>0</v>
      </c>
      <c r="AA225" s="5">
        <v>30000</v>
      </c>
      <c r="AB225" s="6">
        <v>291000</v>
      </c>
      <c r="AD225" s="2" t="str">
        <f>VLOOKUP(E225,'[1]Detailed Transfer Report (12)'!$K:$Y,14,FALSE)</f>
        <v>Sardar Tanveer Ilyas</v>
      </c>
      <c r="AE225" s="16"/>
    </row>
    <row r="226" spans="1:31" x14ac:dyDescent="0.25">
      <c r="A226" s="10">
        <v>45</v>
      </c>
      <c r="B226" s="4">
        <v>41817</v>
      </c>
      <c r="C226" s="3" t="s">
        <v>383</v>
      </c>
      <c r="D226" s="3" t="s">
        <v>384</v>
      </c>
      <c r="E226" s="3">
        <v>10587</v>
      </c>
      <c r="F226" s="3"/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5">
        <v>36000</v>
      </c>
      <c r="N226" s="5">
        <v>54300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5">
        <v>2000</v>
      </c>
      <c r="W226" s="3">
        <v>0</v>
      </c>
      <c r="X226" s="3">
        <v>0</v>
      </c>
      <c r="Y226" s="3">
        <v>0</v>
      </c>
      <c r="Z226" s="3">
        <v>0</v>
      </c>
      <c r="AA226" s="5">
        <v>18000</v>
      </c>
      <c r="AB226" s="6">
        <v>401300</v>
      </c>
      <c r="AD226" s="2" t="str">
        <f>VLOOKUP(E226,'[1]Detailed Transfer Report (12)'!$K:$Y,14,FALSE)</f>
        <v>Sardar Tanveer Ilyas</v>
      </c>
      <c r="AE226" s="16"/>
    </row>
    <row r="227" spans="1:31" x14ac:dyDescent="0.25">
      <c r="A227" s="3">
        <v>46</v>
      </c>
      <c r="B227" s="4">
        <v>41754</v>
      </c>
      <c r="C227" s="3" t="s">
        <v>385</v>
      </c>
      <c r="D227" s="3" t="s">
        <v>386</v>
      </c>
      <c r="E227" s="3">
        <v>10442</v>
      </c>
      <c r="F227" s="3"/>
      <c r="G227" s="3" t="s">
        <v>30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5">
        <v>146000</v>
      </c>
      <c r="N227" s="5">
        <v>219300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5">
        <v>8000</v>
      </c>
      <c r="W227" s="3">
        <v>0</v>
      </c>
      <c r="X227" s="3">
        <v>0</v>
      </c>
      <c r="Y227" s="3">
        <v>0</v>
      </c>
      <c r="Z227" s="3">
        <v>0</v>
      </c>
      <c r="AA227" s="5">
        <v>73000</v>
      </c>
      <c r="AB227" s="6">
        <v>446300</v>
      </c>
      <c r="AD227" s="2" t="str">
        <f>VLOOKUP(E227,'[1]Detailed Transfer Report (12)'!$K:$Y,14,FALSE)</f>
        <v>Sardar Tanveer Ilyas</v>
      </c>
      <c r="AE227" s="16"/>
    </row>
    <row r="228" spans="1:31" x14ac:dyDescent="0.25">
      <c r="A228" s="7">
        <v>47</v>
      </c>
      <c r="B228" s="4">
        <v>41754</v>
      </c>
      <c r="C228" s="3" t="s">
        <v>139</v>
      </c>
      <c r="D228" s="3" t="s">
        <v>387</v>
      </c>
      <c r="E228" s="3">
        <v>10422</v>
      </c>
      <c r="F228" s="3"/>
      <c r="G228" s="3" t="s">
        <v>30</v>
      </c>
      <c r="H228" s="3">
        <v>0</v>
      </c>
      <c r="I228" s="3">
        <v>0</v>
      </c>
      <c r="J228" s="3">
        <v>0</v>
      </c>
      <c r="K228" s="3">
        <v>0</v>
      </c>
      <c r="L228" s="5">
        <v>24000</v>
      </c>
      <c r="M228" s="3">
        <v>0</v>
      </c>
      <c r="N228" s="5">
        <v>20700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5">
        <v>6800</v>
      </c>
      <c r="AB228" s="6">
        <v>51500</v>
      </c>
      <c r="AD228" s="2" t="str">
        <f>VLOOKUP(E228,'[1]Detailed Transfer Report (12)'!$K:$Y,14,FALSE)</f>
        <v>Sardar Tanveer Ilyas</v>
      </c>
      <c r="AE228" s="16"/>
    </row>
    <row r="229" spans="1:31" x14ac:dyDescent="0.25">
      <c r="A229" s="10">
        <v>47</v>
      </c>
      <c r="B229" s="4">
        <v>41754</v>
      </c>
      <c r="C229" s="3" t="s">
        <v>46</v>
      </c>
      <c r="D229" s="3" t="s">
        <v>388</v>
      </c>
      <c r="E229" s="3">
        <v>10446</v>
      </c>
      <c r="F229" s="3"/>
      <c r="G229" s="3" t="s">
        <v>30</v>
      </c>
      <c r="H229" s="3">
        <v>0</v>
      </c>
      <c r="I229" s="3">
        <v>0</v>
      </c>
      <c r="J229" s="3">
        <v>0</v>
      </c>
      <c r="K229" s="3">
        <v>0</v>
      </c>
      <c r="L229" s="5">
        <v>114000</v>
      </c>
      <c r="M229" s="5">
        <v>32000</v>
      </c>
      <c r="N229" s="5">
        <v>48300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5">
        <v>2000</v>
      </c>
      <c r="W229" s="3">
        <v>0</v>
      </c>
      <c r="X229" s="3">
        <v>0</v>
      </c>
      <c r="Y229" s="3">
        <v>0</v>
      </c>
      <c r="Z229" s="3">
        <v>0</v>
      </c>
      <c r="AA229" s="5">
        <v>16000</v>
      </c>
      <c r="AB229" s="6">
        <v>263800</v>
      </c>
      <c r="AD229" s="2" t="str">
        <f>VLOOKUP(E229,'[1]Detailed Transfer Report (12)'!$K:$Y,14,FALSE)</f>
        <v>Sardar Tanveer Ilyas</v>
      </c>
      <c r="AE229" s="16"/>
    </row>
    <row r="230" spans="1:31" x14ac:dyDescent="0.25">
      <c r="A230" s="3">
        <v>48</v>
      </c>
      <c r="B230" s="4">
        <v>41975</v>
      </c>
      <c r="C230" s="3" t="s">
        <v>171</v>
      </c>
      <c r="D230" s="3" t="s">
        <v>389</v>
      </c>
      <c r="E230" s="3">
        <v>10877</v>
      </c>
      <c r="F230" s="3"/>
      <c r="G230" s="3" t="s">
        <v>30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5">
        <v>120000</v>
      </c>
      <c r="N230" s="5">
        <v>181000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5">
        <v>5000</v>
      </c>
      <c r="W230" s="5">
        <v>93500</v>
      </c>
      <c r="X230" s="3">
        <v>0</v>
      </c>
      <c r="Y230" s="3">
        <v>0</v>
      </c>
      <c r="Z230" s="3">
        <v>0</v>
      </c>
      <c r="AA230" s="5">
        <v>60000</v>
      </c>
      <c r="AB230" s="6">
        <v>459500</v>
      </c>
      <c r="AD230" s="2" t="str">
        <f>VLOOKUP(E230,'[1]Detailed Transfer Report (12)'!$K:$Y,14,FALSE)</f>
        <v>Sardar Tanveer Ilyas</v>
      </c>
      <c r="AE230" s="16"/>
    </row>
    <row r="231" spans="1:31" x14ac:dyDescent="0.25">
      <c r="A231" s="3">
        <v>49</v>
      </c>
      <c r="B231" s="4">
        <v>41781</v>
      </c>
      <c r="C231" s="3" t="s">
        <v>390</v>
      </c>
      <c r="D231" s="3" t="s">
        <v>391</v>
      </c>
      <c r="E231" s="3">
        <v>10486</v>
      </c>
      <c r="F231" s="3"/>
      <c r="G231" s="3" t="s">
        <v>30</v>
      </c>
      <c r="H231" s="3">
        <v>0</v>
      </c>
      <c r="I231" s="3">
        <v>0</v>
      </c>
      <c r="J231" s="3">
        <v>0</v>
      </c>
      <c r="K231" s="3">
        <v>0</v>
      </c>
      <c r="L231" s="5">
        <v>761178</v>
      </c>
      <c r="M231" s="5">
        <v>350000</v>
      </c>
      <c r="N231" s="5">
        <v>525300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5">
        <v>15000</v>
      </c>
      <c r="W231" s="3">
        <v>0</v>
      </c>
      <c r="X231" s="3">
        <v>0</v>
      </c>
      <c r="Y231" s="3">
        <v>0</v>
      </c>
      <c r="Z231" s="3">
        <v>0</v>
      </c>
      <c r="AA231" s="5">
        <v>175000</v>
      </c>
      <c r="AB231" s="6">
        <v>1826478</v>
      </c>
      <c r="AD231" s="2" t="str">
        <f>VLOOKUP(E231,'[1]Detailed Transfer Report (12)'!$K:$Y,14,FALSE)</f>
        <v>Sardar Tanveer Ilyas</v>
      </c>
      <c r="AE231" s="16"/>
    </row>
    <row r="232" spans="1:31" x14ac:dyDescent="0.25">
      <c r="A232" s="3">
        <v>50</v>
      </c>
      <c r="B232" s="4">
        <v>41789</v>
      </c>
      <c r="C232" s="3" t="s">
        <v>344</v>
      </c>
      <c r="D232" s="3" t="s">
        <v>392</v>
      </c>
      <c r="E232" s="3">
        <v>10510</v>
      </c>
      <c r="F232" s="3"/>
      <c r="G232" s="3" t="s">
        <v>30</v>
      </c>
      <c r="H232" s="3">
        <v>0</v>
      </c>
      <c r="I232" s="3">
        <v>0</v>
      </c>
      <c r="J232" s="3">
        <v>0</v>
      </c>
      <c r="K232" s="3">
        <v>0</v>
      </c>
      <c r="L232" s="5">
        <v>8000</v>
      </c>
      <c r="M232" s="5">
        <v>20000</v>
      </c>
      <c r="N232" s="5">
        <v>30300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5">
        <v>10000</v>
      </c>
      <c r="AB232" s="6">
        <v>68300</v>
      </c>
      <c r="AD232" s="2" t="str">
        <f>VLOOKUP(E232,'[1]Detailed Transfer Report (12)'!$K:$Y,14,FALSE)</f>
        <v>Sardar Tanveer Ilyas</v>
      </c>
      <c r="AE232" s="16"/>
    </row>
    <row r="233" spans="1:31" x14ac:dyDescent="0.25">
      <c r="A233" s="3">
        <v>51</v>
      </c>
      <c r="B233" s="4">
        <v>41834</v>
      </c>
      <c r="C233" s="3" t="s">
        <v>393</v>
      </c>
      <c r="D233" s="3" t="s">
        <v>394</v>
      </c>
      <c r="E233" s="3">
        <v>10570</v>
      </c>
      <c r="F233" s="3"/>
      <c r="G233" s="3" t="s">
        <v>30</v>
      </c>
      <c r="H233" s="3">
        <v>0</v>
      </c>
      <c r="I233" s="3">
        <v>0</v>
      </c>
      <c r="J233" s="3">
        <v>0</v>
      </c>
      <c r="K233" s="3">
        <v>0</v>
      </c>
      <c r="L233" s="5">
        <v>55000</v>
      </c>
      <c r="M233" s="5">
        <v>22000</v>
      </c>
      <c r="N233" s="5">
        <v>33300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5">
        <v>17000</v>
      </c>
      <c r="X233" s="3">
        <v>0</v>
      </c>
      <c r="Y233" s="3">
        <v>0</v>
      </c>
      <c r="Z233" s="3">
        <v>0</v>
      </c>
      <c r="AA233" s="5">
        <v>11000</v>
      </c>
      <c r="AB233" s="6">
        <v>138300</v>
      </c>
      <c r="AD233" s="2" t="str">
        <f>VLOOKUP(E233,'[1]Detailed Transfer Report (12)'!$K:$Y,14,FALSE)</f>
        <v>Sardar Tanveer Ilyas</v>
      </c>
      <c r="AE233" s="16"/>
    </row>
    <row r="234" spans="1:31" x14ac:dyDescent="0.25">
      <c r="A234" s="7">
        <v>52</v>
      </c>
      <c r="B234" s="4">
        <v>41807</v>
      </c>
      <c r="C234" s="3" t="s">
        <v>309</v>
      </c>
      <c r="D234" s="3" t="s">
        <v>395</v>
      </c>
      <c r="E234" s="3">
        <v>10571</v>
      </c>
      <c r="F234" s="3"/>
      <c r="G234" s="3" t="s">
        <v>30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5">
        <v>6300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5">
        <v>13000</v>
      </c>
      <c r="X234" s="3">
        <v>0</v>
      </c>
      <c r="Y234" s="3">
        <v>0</v>
      </c>
      <c r="Z234" s="3">
        <v>0</v>
      </c>
      <c r="AA234" s="5">
        <v>2000</v>
      </c>
      <c r="AB234" s="6">
        <v>21300</v>
      </c>
      <c r="AD234" s="2" t="str">
        <f>VLOOKUP(E234,'[1]Detailed Transfer Report (12)'!$K:$Y,14,FALSE)</f>
        <v>Sardar Tanveer Ilyas</v>
      </c>
      <c r="AE234" s="16"/>
    </row>
    <row r="235" spans="1:31" x14ac:dyDescent="0.25">
      <c r="A235" s="10">
        <v>52</v>
      </c>
      <c r="B235" s="4">
        <v>41807</v>
      </c>
      <c r="C235" s="3" t="s">
        <v>139</v>
      </c>
      <c r="D235" s="3" t="s">
        <v>396</v>
      </c>
      <c r="E235" s="3">
        <v>10575</v>
      </c>
      <c r="F235" s="3"/>
      <c r="G235" s="3" t="s">
        <v>30</v>
      </c>
      <c r="H235" s="3">
        <v>0</v>
      </c>
      <c r="I235" s="3">
        <v>0</v>
      </c>
      <c r="J235" s="3">
        <v>0</v>
      </c>
      <c r="K235" s="3">
        <v>0</v>
      </c>
      <c r="L235" s="5">
        <v>42450</v>
      </c>
      <c r="M235" s="3">
        <v>0</v>
      </c>
      <c r="N235" s="5">
        <v>21300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5">
        <v>7000</v>
      </c>
      <c r="AB235" s="6">
        <v>92050</v>
      </c>
      <c r="AD235" s="2" t="str">
        <f>VLOOKUP(E235,'[1]Detailed Transfer Report (12)'!$K:$Y,14,FALSE)</f>
        <v>Sardar Tanveer Ilyas</v>
      </c>
      <c r="AE235" s="16"/>
    </row>
    <row r="236" spans="1:31" x14ac:dyDescent="0.25">
      <c r="A236" s="3">
        <v>53</v>
      </c>
      <c r="B236" s="4">
        <v>41807</v>
      </c>
      <c r="C236" s="3" t="s">
        <v>44</v>
      </c>
      <c r="D236" s="3" t="s">
        <v>397</v>
      </c>
      <c r="E236" s="3">
        <v>10568</v>
      </c>
      <c r="F236" s="3"/>
      <c r="G236" s="3" t="s">
        <v>30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5">
        <v>18300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5">
        <v>8500</v>
      </c>
      <c r="X236" s="3">
        <v>0</v>
      </c>
      <c r="Y236" s="3">
        <v>0</v>
      </c>
      <c r="Z236" s="3">
        <v>0</v>
      </c>
      <c r="AA236" s="5">
        <v>6000</v>
      </c>
      <c r="AB236" s="6">
        <v>32800</v>
      </c>
      <c r="AD236" s="2" t="str">
        <f>VLOOKUP(E236,'[1]Detailed Transfer Report (12)'!$K:$Y,14,FALSE)</f>
        <v>Sardar Tanveer Ilyas</v>
      </c>
      <c r="AE236" s="16"/>
    </row>
    <row r="237" spans="1:31" x14ac:dyDescent="0.25">
      <c r="A237" s="3">
        <v>54</v>
      </c>
      <c r="B237" s="4">
        <v>41804</v>
      </c>
      <c r="C237" s="3" t="s">
        <v>323</v>
      </c>
      <c r="D237" s="3" t="s">
        <v>398</v>
      </c>
      <c r="E237" s="3">
        <v>10585</v>
      </c>
      <c r="F237" s="3"/>
      <c r="G237" s="3" t="s">
        <v>30</v>
      </c>
      <c r="H237" s="3">
        <v>0</v>
      </c>
      <c r="I237" s="3">
        <v>0</v>
      </c>
      <c r="J237" s="3">
        <v>0</v>
      </c>
      <c r="K237" s="3">
        <v>0</v>
      </c>
      <c r="L237" s="5">
        <v>100000</v>
      </c>
      <c r="M237" s="5">
        <v>40000</v>
      </c>
      <c r="N237" s="5">
        <v>60300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5">
        <v>4000</v>
      </c>
      <c r="W237" s="5">
        <v>34000</v>
      </c>
      <c r="X237" s="3">
        <v>0</v>
      </c>
      <c r="Y237" s="3">
        <v>0</v>
      </c>
      <c r="Z237" s="3">
        <v>0</v>
      </c>
      <c r="AA237" s="5">
        <v>20000</v>
      </c>
      <c r="AB237" s="6">
        <v>258300</v>
      </c>
      <c r="AD237" s="2" t="str">
        <f>VLOOKUP(E237,'[1]Detailed Transfer Report (12)'!$K:$Y,14,FALSE)</f>
        <v>Sardar Tanveer Ilyas</v>
      </c>
      <c r="AE237" s="16"/>
    </row>
    <row r="238" spans="1:31" x14ac:dyDescent="0.25">
      <c r="A238" s="7">
        <v>55</v>
      </c>
      <c r="B238" s="4">
        <v>41817</v>
      </c>
      <c r="C238" s="3" t="s">
        <v>143</v>
      </c>
      <c r="D238" s="3" t="s">
        <v>399</v>
      </c>
      <c r="E238" s="3">
        <v>10598</v>
      </c>
      <c r="F238" s="3"/>
      <c r="G238" s="3" t="s">
        <v>30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5">
        <v>27300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5">
        <v>1000</v>
      </c>
      <c r="W238" s="5">
        <v>8500</v>
      </c>
      <c r="X238" s="3">
        <v>0</v>
      </c>
      <c r="Y238" s="3">
        <v>0</v>
      </c>
      <c r="Z238" s="3">
        <v>0</v>
      </c>
      <c r="AA238" s="5">
        <v>9000</v>
      </c>
      <c r="AB238" s="6">
        <v>45800</v>
      </c>
      <c r="AD238" s="2" t="str">
        <f>VLOOKUP(E238,'[1]Detailed Transfer Report (12)'!$K:$Y,14,FALSE)</f>
        <v>Sardar Tanveer Ilyas</v>
      </c>
      <c r="AE238" s="16"/>
    </row>
    <row r="239" spans="1:31" x14ac:dyDescent="0.25">
      <c r="A239" s="10">
        <v>55</v>
      </c>
      <c r="B239" s="4">
        <v>41804</v>
      </c>
      <c r="C239" s="3" t="s">
        <v>333</v>
      </c>
      <c r="D239" s="3" t="s">
        <v>400</v>
      </c>
      <c r="E239" s="3">
        <v>10597</v>
      </c>
      <c r="F239" s="3"/>
      <c r="G239" s="3" t="s">
        <v>30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5">
        <v>162000</v>
      </c>
      <c r="N239" s="5">
        <v>243300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5">
        <v>7000</v>
      </c>
      <c r="W239" s="5">
        <v>76500</v>
      </c>
      <c r="X239" s="3">
        <v>0</v>
      </c>
      <c r="Y239" s="3">
        <v>0</v>
      </c>
      <c r="Z239" s="3">
        <v>0</v>
      </c>
      <c r="AA239" s="5">
        <v>81000</v>
      </c>
      <c r="AB239" s="6">
        <v>615600</v>
      </c>
      <c r="AD239" s="2" t="str">
        <f>VLOOKUP(E239,'[1]Detailed Transfer Report (12)'!$K:$Y,14,FALSE)</f>
        <v>Sardar Tanveer Ilyas</v>
      </c>
      <c r="AE239" s="16"/>
    </row>
    <row r="240" spans="1:31" x14ac:dyDescent="0.25">
      <c r="A240" s="3">
        <v>56</v>
      </c>
      <c r="B240" s="4">
        <v>41807</v>
      </c>
      <c r="C240" s="3" t="s">
        <v>401</v>
      </c>
      <c r="D240" s="3" t="s">
        <v>402</v>
      </c>
      <c r="E240" s="3">
        <v>10596</v>
      </c>
      <c r="F240" s="3"/>
      <c r="G240" s="3" t="s">
        <v>30</v>
      </c>
      <c r="H240" s="3">
        <v>0</v>
      </c>
      <c r="I240" s="3">
        <v>0</v>
      </c>
      <c r="J240" s="3">
        <v>0</v>
      </c>
      <c r="K240" s="3">
        <v>0</v>
      </c>
      <c r="L240" s="5">
        <v>412850</v>
      </c>
      <c r="M240" s="5">
        <v>166000</v>
      </c>
      <c r="N240" s="5">
        <v>249300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5">
        <v>106000</v>
      </c>
      <c r="W240" s="3">
        <v>0</v>
      </c>
      <c r="X240" s="3">
        <v>0</v>
      </c>
      <c r="Y240" s="3">
        <v>0</v>
      </c>
      <c r="Z240" s="3">
        <v>0</v>
      </c>
      <c r="AA240" s="5">
        <v>83000</v>
      </c>
      <c r="AB240" s="6">
        <v>1017150</v>
      </c>
      <c r="AD240" s="2" t="str">
        <f>VLOOKUP(E240,'[1]Detailed Transfer Report (12)'!$K:$Y,14,FALSE)</f>
        <v>Sardar Tanveer Ilyas</v>
      </c>
      <c r="AE240" s="16"/>
    </row>
    <row r="241" spans="1:31" x14ac:dyDescent="0.25">
      <c r="A241" s="3">
        <v>57</v>
      </c>
      <c r="B241" s="4">
        <v>41820</v>
      </c>
      <c r="C241" s="3" t="s">
        <v>46</v>
      </c>
      <c r="D241" s="3" t="s">
        <v>403</v>
      </c>
      <c r="E241" s="3">
        <v>1125</v>
      </c>
      <c r="F241" s="3"/>
      <c r="G241" s="3" t="s">
        <v>41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5">
        <v>63600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5">
        <v>17000</v>
      </c>
      <c r="X241" s="3">
        <v>0</v>
      </c>
      <c r="Y241" s="3">
        <v>0</v>
      </c>
      <c r="Z241" s="3">
        <v>0</v>
      </c>
      <c r="AA241" s="5">
        <v>21200</v>
      </c>
      <c r="AB241" s="6">
        <v>101800</v>
      </c>
      <c r="AD241" s="2" t="str">
        <f>VLOOKUP(E241,'[1]Detailed Transfer Report (12)'!$K:$Y,14,FALSE)</f>
        <v>Sardar Tanveer Ilyas</v>
      </c>
      <c r="AE241" s="16"/>
    </row>
    <row r="242" spans="1:31" x14ac:dyDescent="0.25">
      <c r="A242" s="3">
        <v>58</v>
      </c>
      <c r="B242" s="4">
        <v>41895</v>
      </c>
      <c r="C242" s="3" t="s">
        <v>141</v>
      </c>
      <c r="D242" s="3" t="s">
        <v>404</v>
      </c>
      <c r="E242" s="3">
        <v>10714</v>
      </c>
      <c r="F242" s="3"/>
      <c r="G242" s="3" t="s">
        <v>30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5">
        <v>48000</v>
      </c>
      <c r="N242" s="5">
        <v>73000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5">
        <v>27800</v>
      </c>
      <c r="X242" s="3">
        <v>0</v>
      </c>
      <c r="Y242" s="3">
        <v>0</v>
      </c>
      <c r="Z242" s="3">
        <v>0</v>
      </c>
      <c r="AA242" s="5">
        <v>24000</v>
      </c>
      <c r="AB242" s="6">
        <v>172800</v>
      </c>
      <c r="AD242" s="2" t="str">
        <f>VLOOKUP(E242,'[1]Detailed Transfer Report (12)'!$K:$Y,14,FALSE)</f>
        <v>Sardar Tanveer Ilyas</v>
      </c>
      <c r="AE242" s="16"/>
    </row>
    <row r="243" spans="1:31" x14ac:dyDescent="0.25">
      <c r="A243" s="7">
        <v>59</v>
      </c>
      <c r="B243" s="4">
        <v>41820</v>
      </c>
      <c r="C243" s="3" t="s">
        <v>405</v>
      </c>
      <c r="D243" s="3" t="s">
        <v>406</v>
      </c>
      <c r="E243" s="3">
        <v>10629</v>
      </c>
      <c r="F243" s="3"/>
      <c r="G243" s="3" t="s">
        <v>30</v>
      </c>
      <c r="H243" s="3">
        <v>0</v>
      </c>
      <c r="I243" s="3">
        <v>0</v>
      </c>
      <c r="J243" s="3">
        <v>0</v>
      </c>
      <c r="K243" s="3">
        <v>0</v>
      </c>
      <c r="L243" s="5">
        <v>996650</v>
      </c>
      <c r="M243" s="5">
        <v>102000</v>
      </c>
      <c r="N243" s="5">
        <v>154000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5">
        <v>10000</v>
      </c>
      <c r="W243" s="5">
        <v>212500</v>
      </c>
      <c r="X243" s="3">
        <v>0</v>
      </c>
      <c r="Y243" s="3">
        <v>0</v>
      </c>
      <c r="Z243" s="3">
        <v>0</v>
      </c>
      <c r="AA243" s="5">
        <v>51000</v>
      </c>
      <c r="AB243" s="6">
        <v>1526150</v>
      </c>
      <c r="AD243" s="2" t="str">
        <f>VLOOKUP(E243,'[1]Detailed Transfer Report (12)'!$K:$Y,14,FALSE)</f>
        <v>Sardar Tanveer Ilyas</v>
      </c>
      <c r="AE243" s="16"/>
    </row>
    <row r="244" spans="1:31" x14ac:dyDescent="0.25">
      <c r="A244" s="10">
        <v>59</v>
      </c>
      <c r="B244" s="4">
        <v>41816</v>
      </c>
      <c r="C244" s="3" t="s">
        <v>407</v>
      </c>
      <c r="D244" s="3" t="s">
        <v>408</v>
      </c>
      <c r="E244" s="3">
        <v>10628</v>
      </c>
      <c r="F244" s="3"/>
      <c r="G244" s="3" t="s">
        <v>30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5">
        <v>298000</v>
      </c>
      <c r="N244" s="5">
        <v>448000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5">
        <v>149000</v>
      </c>
      <c r="AB244" s="6">
        <v>2421150</v>
      </c>
      <c r="AD244" s="2" t="str">
        <f>VLOOKUP(E244,'[1]Detailed Transfer Report (12)'!$K:$Y,14,FALSE)</f>
        <v>Sardar Tanveer Ilyas</v>
      </c>
      <c r="AE244" s="16"/>
    </row>
    <row r="245" spans="1:31" x14ac:dyDescent="0.25">
      <c r="A245" s="3">
        <v>60</v>
      </c>
      <c r="B245" s="4">
        <v>41842</v>
      </c>
      <c r="C245" s="3" t="s">
        <v>409</v>
      </c>
      <c r="D245" s="3" t="s">
        <v>410</v>
      </c>
      <c r="E245" s="3">
        <v>10657</v>
      </c>
      <c r="F245" s="3"/>
      <c r="G245" s="3" t="s">
        <v>30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5">
        <v>130000</v>
      </c>
      <c r="N245" s="5">
        <v>195300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5">
        <v>5140</v>
      </c>
      <c r="W245" s="5">
        <v>68000</v>
      </c>
      <c r="X245" s="3">
        <v>0</v>
      </c>
      <c r="Y245" s="3">
        <v>0</v>
      </c>
      <c r="Z245" s="3">
        <v>0</v>
      </c>
      <c r="AA245" s="5">
        <v>65000</v>
      </c>
      <c r="AB245" s="6">
        <v>463440</v>
      </c>
      <c r="AD245" s="2" t="str">
        <f>VLOOKUP(E245,'[1]Detailed Transfer Report (12)'!$K:$Y,14,FALSE)</f>
        <v>Sardar Tanveer Ilyas</v>
      </c>
      <c r="AE245" s="16"/>
    </row>
    <row r="246" spans="1:31" x14ac:dyDescent="0.25">
      <c r="A246" s="7">
        <v>61</v>
      </c>
      <c r="B246" s="4">
        <v>41842</v>
      </c>
      <c r="C246" s="3" t="s">
        <v>344</v>
      </c>
      <c r="D246" s="3" t="s">
        <v>411</v>
      </c>
      <c r="E246" s="3">
        <v>10644</v>
      </c>
      <c r="F246" s="3"/>
      <c r="G246" s="3" t="s">
        <v>30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5">
        <v>19800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5">
        <v>6500</v>
      </c>
      <c r="AB246" s="6">
        <v>26300</v>
      </c>
      <c r="AD246" s="2" t="str">
        <f>VLOOKUP(E246,'[1]Detailed Transfer Report (12)'!$K:$Y,14,FALSE)</f>
        <v>Sardar Tanveer Ilyas</v>
      </c>
      <c r="AE246" s="16"/>
    </row>
    <row r="247" spans="1:31" x14ac:dyDescent="0.25">
      <c r="A247" s="10">
        <v>61</v>
      </c>
      <c r="B247" s="4">
        <v>41842</v>
      </c>
      <c r="C247" s="3" t="s">
        <v>153</v>
      </c>
      <c r="D247" s="3" t="s">
        <v>412</v>
      </c>
      <c r="E247" s="3">
        <v>10643</v>
      </c>
      <c r="F247" s="3"/>
      <c r="G247" s="3" t="s">
        <v>30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5">
        <v>12300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5">
        <v>4000</v>
      </c>
      <c r="AB247" s="6">
        <v>42600</v>
      </c>
      <c r="AD247" s="2" t="str">
        <f>VLOOKUP(E247,'[1]Detailed Transfer Report (12)'!$K:$Y,14,FALSE)</f>
        <v>Sardar Tanveer Ilyas</v>
      </c>
      <c r="AE247" s="16"/>
    </row>
    <row r="248" spans="1:31" x14ac:dyDescent="0.25">
      <c r="A248" s="7">
        <v>62</v>
      </c>
      <c r="B248" s="4">
        <v>41901</v>
      </c>
      <c r="C248" s="3" t="s">
        <v>413</v>
      </c>
      <c r="D248" s="3" t="s">
        <v>414</v>
      </c>
      <c r="E248" s="3">
        <v>1135</v>
      </c>
      <c r="F248" s="3"/>
      <c r="G248" s="3" t="s">
        <v>41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5">
        <v>94000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5">
        <v>10000</v>
      </c>
      <c r="W248" s="3">
        <v>0</v>
      </c>
      <c r="X248" s="3">
        <v>0</v>
      </c>
      <c r="Y248" s="3">
        <v>0</v>
      </c>
      <c r="Z248" s="3">
        <v>0</v>
      </c>
      <c r="AA248" s="5">
        <v>31000</v>
      </c>
      <c r="AB248" s="6">
        <v>135000</v>
      </c>
      <c r="AD248" s="2" t="str">
        <f>VLOOKUP(E248,'[1]Detailed Transfer Report (12)'!$K:$Y,14,FALSE)</f>
        <v>Sardar Tanveer Ilyas</v>
      </c>
      <c r="AE248" s="16"/>
    </row>
    <row r="249" spans="1:31" x14ac:dyDescent="0.25">
      <c r="A249" s="9">
        <v>62</v>
      </c>
      <c r="B249" s="4">
        <v>41901</v>
      </c>
      <c r="C249" s="3" t="s">
        <v>415</v>
      </c>
      <c r="D249" s="3" t="s">
        <v>416</v>
      </c>
      <c r="E249" s="3">
        <v>1133</v>
      </c>
      <c r="F249" s="3"/>
      <c r="G249" s="3" t="s">
        <v>41</v>
      </c>
      <c r="H249" s="3">
        <v>0</v>
      </c>
      <c r="I249" s="3">
        <v>0</v>
      </c>
      <c r="J249" s="3">
        <v>0</v>
      </c>
      <c r="K249" s="3">
        <v>0</v>
      </c>
      <c r="L249" s="5">
        <v>603750</v>
      </c>
      <c r="M249" s="3">
        <v>0</v>
      </c>
      <c r="N249" s="5">
        <v>212500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5">
        <v>70500</v>
      </c>
      <c r="AB249" s="6">
        <v>1021750</v>
      </c>
      <c r="AD249" s="2" t="str">
        <f>VLOOKUP(E249,'[1]Detailed Transfer Report (12)'!$K:$Y,14,FALSE)</f>
        <v>Sardar Tanveer Ilyas</v>
      </c>
      <c r="AE249" s="16"/>
    </row>
    <row r="250" spans="1:31" x14ac:dyDescent="0.25">
      <c r="A250" s="10">
        <v>62</v>
      </c>
      <c r="B250" s="4">
        <v>41901</v>
      </c>
      <c r="C250" s="3" t="s">
        <v>417</v>
      </c>
      <c r="D250" s="3" t="s">
        <v>418</v>
      </c>
      <c r="E250" s="3">
        <v>1134</v>
      </c>
      <c r="F250" s="3"/>
      <c r="G250" s="3" t="s">
        <v>41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5">
        <v>59500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5">
        <v>212500</v>
      </c>
      <c r="X250" s="3">
        <v>0</v>
      </c>
      <c r="Y250" s="3">
        <v>0</v>
      </c>
      <c r="Z250" s="3">
        <v>0</v>
      </c>
      <c r="AA250" s="5">
        <v>19500</v>
      </c>
      <c r="AB250" s="6">
        <v>1313250</v>
      </c>
      <c r="AD250" s="2" t="str">
        <f>VLOOKUP(E250,'[1]Detailed Transfer Report (12)'!$K:$Y,14,FALSE)</f>
        <v>Sardar Tanveer Ilyas</v>
      </c>
      <c r="AE250" s="16"/>
    </row>
    <row r="251" spans="1:31" x14ac:dyDescent="0.25">
      <c r="A251" s="3">
        <v>63</v>
      </c>
      <c r="B251" s="4">
        <v>41957</v>
      </c>
      <c r="C251" s="3" t="s">
        <v>419</v>
      </c>
      <c r="D251" s="3" t="s">
        <v>420</v>
      </c>
      <c r="E251" s="3">
        <v>10845</v>
      </c>
      <c r="F251" s="3"/>
      <c r="G251" s="3" t="s">
        <v>30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5">
        <v>410000</v>
      </c>
      <c r="N251" s="5">
        <v>616000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5">
        <v>289000</v>
      </c>
      <c r="X251" s="3">
        <v>0</v>
      </c>
      <c r="Y251" s="3">
        <v>0</v>
      </c>
      <c r="Z251" s="3">
        <v>0</v>
      </c>
      <c r="AA251" s="5">
        <v>205000</v>
      </c>
      <c r="AB251" s="6">
        <v>1520000</v>
      </c>
      <c r="AD251" s="2" t="str">
        <f>VLOOKUP(E251,'[1]Detailed Transfer Report (12)'!$K:$Y,14,FALSE)</f>
        <v>Sardar Tanveer Ilyas</v>
      </c>
      <c r="AE251" s="16"/>
    </row>
    <row r="252" spans="1:31" x14ac:dyDescent="0.25">
      <c r="A252" s="3">
        <v>65</v>
      </c>
      <c r="B252" s="4">
        <v>41912</v>
      </c>
      <c r="C252" s="3" t="s">
        <v>44</v>
      </c>
      <c r="D252" s="3" t="s">
        <v>421</v>
      </c>
      <c r="E252" s="3">
        <v>10784</v>
      </c>
      <c r="F252" s="3"/>
      <c r="G252" s="3" t="s">
        <v>30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5">
        <v>25000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5">
        <v>1000</v>
      </c>
      <c r="W252" s="3">
        <v>0</v>
      </c>
      <c r="X252" s="3">
        <v>0</v>
      </c>
      <c r="Y252" s="3">
        <v>0</v>
      </c>
      <c r="Z252" s="3">
        <v>0</v>
      </c>
      <c r="AA252" s="5">
        <v>8000</v>
      </c>
      <c r="AB252" s="6">
        <v>34000</v>
      </c>
      <c r="AD252" s="2" t="str">
        <f>VLOOKUP(E252,'[1]Detailed Transfer Report (12)'!$K:$Y,14,FALSE)</f>
        <v>Sardar Tanveer Ilyas</v>
      </c>
      <c r="AE252" s="16"/>
    </row>
    <row r="253" spans="1:31" x14ac:dyDescent="0.25">
      <c r="A253" s="3">
        <v>66</v>
      </c>
      <c r="B253" s="4">
        <v>41912</v>
      </c>
      <c r="C253" s="3" t="s">
        <v>422</v>
      </c>
      <c r="D253" s="3" t="s">
        <v>423</v>
      </c>
      <c r="E253" s="3">
        <v>10775</v>
      </c>
      <c r="F253" s="3"/>
      <c r="G253" s="3" t="s">
        <v>30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5">
        <v>16000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5">
        <v>8000</v>
      </c>
      <c r="W253" s="5">
        <v>17000</v>
      </c>
      <c r="X253" s="3">
        <v>0</v>
      </c>
      <c r="Y253" s="3">
        <v>0</v>
      </c>
      <c r="Z253" s="3">
        <v>0</v>
      </c>
      <c r="AA253" s="5">
        <v>5000</v>
      </c>
      <c r="AB253" s="6">
        <v>46000</v>
      </c>
      <c r="AD253" s="2" t="str">
        <f>VLOOKUP(E253,'[1]Detailed Transfer Report (12)'!$K:$Y,14,FALSE)</f>
        <v>Sardar Tanveer Ilyas</v>
      </c>
      <c r="AE253" s="16"/>
    </row>
    <row r="254" spans="1:31" x14ac:dyDescent="0.25">
      <c r="A254" s="7">
        <v>67</v>
      </c>
      <c r="B254" s="4">
        <v>41957</v>
      </c>
      <c r="C254" s="3" t="s">
        <v>424</v>
      </c>
      <c r="D254" s="3" t="s">
        <v>425</v>
      </c>
      <c r="E254" s="3">
        <v>10805</v>
      </c>
      <c r="F254" s="3"/>
      <c r="G254" s="3" t="s">
        <v>30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5">
        <v>37000</v>
      </c>
      <c r="N254" s="5">
        <v>56500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5">
        <v>4000</v>
      </c>
      <c r="W254" s="5">
        <v>16500</v>
      </c>
      <c r="X254" s="3">
        <v>0</v>
      </c>
      <c r="Y254" s="3">
        <v>0</v>
      </c>
      <c r="Z254" s="3">
        <v>0</v>
      </c>
      <c r="AA254" s="5">
        <v>18500</v>
      </c>
      <c r="AB254" s="6">
        <v>132500</v>
      </c>
      <c r="AD254" s="2" t="str">
        <f>VLOOKUP(E254,'[1]Detailed Transfer Report (12)'!$K:$Y,14,FALSE)</f>
        <v>Sardar Tanveer Ilyas</v>
      </c>
      <c r="AE254" s="16"/>
    </row>
    <row r="255" spans="1:31" x14ac:dyDescent="0.25">
      <c r="A255" s="9">
        <v>67</v>
      </c>
      <c r="B255" s="4">
        <v>41957</v>
      </c>
      <c r="C255" s="3" t="s">
        <v>302</v>
      </c>
      <c r="D255" s="3" t="s">
        <v>426</v>
      </c>
      <c r="E255" s="3">
        <v>10806</v>
      </c>
      <c r="F255" s="3"/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5">
        <v>25000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5">
        <v>8500</v>
      </c>
      <c r="X255" s="3">
        <v>0</v>
      </c>
      <c r="Y255" s="3">
        <v>0</v>
      </c>
      <c r="Z255" s="3">
        <v>0</v>
      </c>
      <c r="AA255" s="5">
        <v>8000</v>
      </c>
      <c r="AB255" s="6">
        <v>174000</v>
      </c>
      <c r="AD255" s="2" t="str">
        <f>VLOOKUP(E255,'[1]Detailed Transfer Report (12)'!$K:$Y,14,FALSE)</f>
        <v>Sardar Tanveer Ilyas</v>
      </c>
      <c r="AE255" s="16"/>
    </row>
    <row r="256" spans="1:31" x14ac:dyDescent="0.25">
      <c r="A256" s="10">
        <v>67</v>
      </c>
      <c r="B256" s="4">
        <v>41957</v>
      </c>
      <c r="C256" s="3" t="s">
        <v>427</v>
      </c>
      <c r="D256" s="3" t="s">
        <v>428</v>
      </c>
      <c r="E256" s="3">
        <v>10807</v>
      </c>
      <c r="F256" s="3"/>
      <c r="G256" s="3" t="s">
        <v>30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5">
        <v>35000</v>
      </c>
      <c r="N256" s="5">
        <v>53500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5">
        <v>12500</v>
      </c>
      <c r="X256" s="3">
        <v>0</v>
      </c>
      <c r="Y256" s="3">
        <v>0</v>
      </c>
      <c r="Z256" s="3">
        <v>0</v>
      </c>
      <c r="AA256" s="5">
        <v>17500</v>
      </c>
      <c r="AB256" s="6">
        <v>292500</v>
      </c>
      <c r="AD256" s="2" t="str">
        <f>VLOOKUP(E256,'[1]Detailed Transfer Report (12)'!$K:$Y,14,FALSE)</f>
        <v>Sardar Tanveer Ilyas</v>
      </c>
      <c r="AE256" s="16"/>
    </row>
    <row r="257" spans="1:31" x14ac:dyDescent="0.25">
      <c r="A257" s="3">
        <v>68</v>
      </c>
      <c r="B257" s="4">
        <v>41930</v>
      </c>
      <c r="C257" s="3" t="s">
        <v>312</v>
      </c>
      <c r="D257" s="3" t="s">
        <v>429</v>
      </c>
      <c r="E257" s="3">
        <v>10801</v>
      </c>
      <c r="F257" s="3"/>
      <c r="G257" s="3" t="s">
        <v>30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5">
        <v>16000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5">
        <v>1000</v>
      </c>
      <c r="W257" s="3">
        <v>0</v>
      </c>
      <c r="X257" s="3">
        <v>0</v>
      </c>
      <c r="Y257" s="3">
        <v>0</v>
      </c>
      <c r="Z257" s="5">
        <v>1500</v>
      </c>
      <c r="AA257" s="5">
        <v>5000</v>
      </c>
      <c r="AB257" s="6">
        <v>23500</v>
      </c>
      <c r="AD257" s="2" t="str">
        <f>VLOOKUP(E257,'[1]Detailed Transfer Report (12)'!$K:$Y,14,FALSE)</f>
        <v>Sardar Tanveer Ilyas</v>
      </c>
      <c r="AE257" s="16"/>
    </row>
    <row r="258" spans="1:31" x14ac:dyDescent="0.25">
      <c r="A258" s="3">
        <v>70</v>
      </c>
      <c r="B258" s="4">
        <v>41957</v>
      </c>
      <c r="C258" s="3" t="s">
        <v>430</v>
      </c>
      <c r="D258" s="3" t="s">
        <v>431</v>
      </c>
      <c r="E258" s="3">
        <v>10829</v>
      </c>
      <c r="F258" s="3"/>
      <c r="G258" s="3" t="s">
        <v>30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5">
        <v>35000</v>
      </c>
      <c r="N258" s="5">
        <v>53500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5">
        <v>17000</v>
      </c>
      <c r="X258" s="3">
        <v>0</v>
      </c>
      <c r="Y258" s="3">
        <v>0</v>
      </c>
      <c r="Z258" s="3">
        <v>0</v>
      </c>
      <c r="AA258" s="5">
        <v>17500</v>
      </c>
      <c r="AB258" s="6">
        <v>123000</v>
      </c>
      <c r="AD258" s="2" t="str">
        <f>VLOOKUP(E258,'[1]Detailed Transfer Report (12)'!$K:$Y,14,FALSE)</f>
        <v>Sardar Tanveer Ilyas</v>
      </c>
      <c r="AE258" s="16"/>
    </row>
    <row r="259" spans="1:31" x14ac:dyDescent="0.25">
      <c r="A259" s="3">
        <v>71</v>
      </c>
      <c r="B259" s="4">
        <v>41957</v>
      </c>
      <c r="C259" s="3" t="s">
        <v>432</v>
      </c>
      <c r="D259" s="3" t="s">
        <v>433</v>
      </c>
      <c r="E259" s="3">
        <v>10828</v>
      </c>
      <c r="F259" s="3"/>
      <c r="G259" s="3" t="s">
        <v>30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5">
        <v>26500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5">
        <v>17000</v>
      </c>
      <c r="X259" s="3">
        <v>0</v>
      </c>
      <c r="Y259" s="3">
        <v>0</v>
      </c>
      <c r="Z259" s="3">
        <v>0</v>
      </c>
      <c r="AA259" s="5">
        <v>8500</v>
      </c>
      <c r="AB259" s="6">
        <v>52000</v>
      </c>
      <c r="AD259" s="2" t="str">
        <f>VLOOKUP(E259,'[1]Detailed Transfer Report (12)'!$K:$Y,14,FALSE)</f>
        <v>Sardar Tanveer Ilyas</v>
      </c>
      <c r="AE259" s="16"/>
    </row>
    <row r="260" spans="1:31" x14ac:dyDescent="0.25">
      <c r="A260" s="3">
        <v>72</v>
      </c>
      <c r="B260" s="4">
        <v>41957</v>
      </c>
      <c r="C260" s="3" t="s">
        <v>434</v>
      </c>
      <c r="D260" s="3" t="s">
        <v>435</v>
      </c>
      <c r="E260" s="3">
        <v>10848</v>
      </c>
      <c r="F260" s="3"/>
      <c r="G260" s="3" t="s">
        <v>30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5">
        <v>23000</v>
      </c>
      <c r="N260" s="5">
        <v>35500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5">
        <v>12500</v>
      </c>
      <c r="X260" s="3">
        <v>0</v>
      </c>
      <c r="Y260" s="3">
        <v>0</v>
      </c>
      <c r="Z260" s="3">
        <v>0</v>
      </c>
      <c r="AA260" s="5">
        <v>11500</v>
      </c>
      <c r="AB260" s="6">
        <v>82500</v>
      </c>
      <c r="AD260" s="2" t="str">
        <f>VLOOKUP(E260,'[1]Detailed Transfer Report (12)'!$K:$Y,14,FALSE)</f>
        <v>Sardar Tanveer Ilyas</v>
      </c>
      <c r="AE260" s="16"/>
    </row>
    <row r="261" spans="1:31" x14ac:dyDescent="0.25">
      <c r="A261" s="3">
        <v>73</v>
      </c>
      <c r="B261" s="4">
        <v>41957</v>
      </c>
      <c r="C261" s="3" t="s">
        <v>171</v>
      </c>
      <c r="D261" s="3" t="s">
        <v>436</v>
      </c>
      <c r="E261" s="3">
        <v>10846</v>
      </c>
      <c r="F261" s="3"/>
      <c r="G261" s="3" t="s">
        <v>30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5">
        <v>112000</v>
      </c>
      <c r="N261" s="5">
        <v>169000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5">
        <v>59500</v>
      </c>
      <c r="X261" s="3">
        <v>0</v>
      </c>
      <c r="Y261" s="3">
        <v>0</v>
      </c>
      <c r="Z261" s="3">
        <v>0</v>
      </c>
      <c r="AA261" s="5">
        <v>56000</v>
      </c>
      <c r="AB261" s="6">
        <v>396500</v>
      </c>
      <c r="AD261" s="2" t="str">
        <f>VLOOKUP(E261,'[1]Detailed Transfer Report (12)'!$K:$Y,14,FALSE)</f>
        <v>Sardar Tanveer Ilyas</v>
      </c>
      <c r="AE261" s="16"/>
    </row>
    <row r="262" spans="1:31" x14ac:dyDescent="0.25">
      <c r="A262" s="7">
        <v>75</v>
      </c>
      <c r="B262" s="4">
        <v>41989</v>
      </c>
      <c r="C262" s="3" t="s">
        <v>273</v>
      </c>
      <c r="D262" s="3" t="s">
        <v>437</v>
      </c>
      <c r="E262" s="3">
        <v>1142</v>
      </c>
      <c r="F262" s="3"/>
      <c r="G262" s="3" t="s">
        <v>41</v>
      </c>
      <c r="H262" s="3">
        <v>0</v>
      </c>
      <c r="I262" s="3">
        <v>0</v>
      </c>
      <c r="J262" s="3">
        <v>0</v>
      </c>
      <c r="K262" s="3">
        <v>0</v>
      </c>
      <c r="L262" s="5">
        <v>30000</v>
      </c>
      <c r="M262" s="3">
        <v>0</v>
      </c>
      <c r="N262" s="5">
        <v>12800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5">
        <v>4100</v>
      </c>
      <c r="AB262" s="6">
        <v>46900</v>
      </c>
      <c r="AD262" s="2" t="str">
        <f>VLOOKUP(E262,'[1]Detailed Transfer Report (12)'!$K:$Y,14,FALSE)</f>
        <v>Sardar Tanveer Ilyas</v>
      </c>
      <c r="AE262" s="16"/>
    </row>
    <row r="263" spans="1:31" x14ac:dyDescent="0.25">
      <c r="A263" s="9">
        <v>75</v>
      </c>
      <c r="B263" s="4">
        <v>41972</v>
      </c>
      <c r="C263" s="3" t="s">
        <v>323</v>
      </c>
      <c r="D263" s="3" t="s">
        <v>438</v>
      </c>
      <c r="E263" s="3">
        <v>10866</v>
      </c>
      <c r="F263" s="3"/>
      <c r="G263" s="3" t="s">
        <v>30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5">
        <v>122000</v>
      </c>
      <c r="N263" s="5">
        <v>184000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5">
        <v>61000</v>
      </c>
      <c r="AB263" s="6">
        <v>413900</v>
      </c>
      <c r="AD263" s="2" t="str">
        <f>VLOOKUP(E263,'[1]Detailed Transfer Report (12)'!$K:$Y,14,FALSE)</f>
        <v>Sardar Tanveer Ilyas</v>
      </c>
      <c r="AE263" s="16"/>
    </row>
    <row r="264" spans="1:31" x14ac:dyDescent="0.25">
      <c r="A264" s="10">
        <v>75</v>
      </c>
      <c r="B264" s="4">
        <v>41972</v>
      </c>
      <c r="C264" s="3" t="s">
        <v>439</v>
      </c>
      <c r="D264" s="3" t="s">
        <v>440</v>
      </c>
      <c r="E264" s="3">
        <v>1141</v>
      </c>
      <c r="F264" s="3"/>
      <c r="G264" s="3" t="s">
        <v>41</v>
      </c>
      <c r="H264" s="3">
        <v>0</v>
      </c>
      <c r="I264" s="3">
        <v>0</v>
      </c>
      <c r="J264" s="3">
        <v>0</v>
      </c>
      <c r="K264" s="3">
        <v>0</v>
      </c>
      <c r="L264" s="5">
        <v>58500</v>
      </c>
      <c r="M264" s="3">
        <v>0</v>
      </c>
      <c r="N264" s="5">
        <v>25000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5">
        <v>25700</v>
      </c>
      <c r="X264" s="3">
        <v>0</v>
      </c>
      <c r="Y264" s="3">
        <v>0</v>
      </c>
      <c r="Z264" s="3">
        <v>0</v>
      </c>
      <c r="AA264" s="5">
        <v>8000</v>
      </c>
      <c r="AB264" s="6">
        <v>531100</v>
      </c>
      <c r="AD264" s="2" t="str">
        <f>VLOOKUP(E264,'[1]Detailed Transfer Report (12)'!$K:$Y,14,FALSE)</f>
        <v>Sardar Tanveer Ilyas</v>
      </c>
      <c r="AE264" s="16"/>
    </row>
    <row r="265" spans="1:31" x14ac:dyDescent="0.25">
      <c r="A265" s="3">
        <v>77</v>
      </c>
      <c r="B265" s="4">
        <v>41989</v>
      </c>
      <c r="C265" s="3" t="s">
        <v>441</v>
      </c>
      <c r="D265" s="3" t="s">
        <v>442</v>
      </c>
      <c r="E265" s="3">
        <v>10926</v>
      </c>
      <c r="F265" s="3"/>
      <c r="G265" s="3" t="s">
        <v>30</v>
      </c>
      <c r="H265" s="3">
        <v>0</v>
      </c>
      <c r="I265" s="3">
        <v>0</v>
      </c>
      <c r="J265" s="3">
        <v>0</v>
      </c>
      <c r="K265" s="3">
        <v>0</v>
      </c>
      <c r="L265" s="5">
        <v>100000</v>
      </c>
      <c r="M265" s="5">
        <v>48000</v>
      </c>
      <c r="N265" s="5">
        <v>73000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5">
        <v>1000</v>
      </c>
      <c r="W265" s="5">
        <v>38000</v>
      </c>
      <c r="X265" s="3">
        <v>0</v>
      </c>
      <c r="Y265" s="3">
        <v>0</v>
      </c>
      <c r="Z265" s="3">
        <v>0</v>
      </c>
      <c r="AA265" s="5">
        <v>24000</v>
      </c>
      <c r="AB265" s="6">
        <v>284000</v>
      </c>
      <c r="AD265" s="2" t="str">
        <f>VLOOKUP(E265,'[1]Detailed Transfer Report (12)'!$K:$Y,14,FALSE)</f>
        <v>Sardar Tanveer Ilyas</v>
      </c>
      <c r="AE265" s="16"/>
    </row>
    <row r="266" spans="1:31" x14ac:dyDescent="0.25">
      <c r="A266" s="3">
        <v>78</v>
      </c>
      <c r="B266" s="4">
        <v>41989</v>
      </c>
      <c r="C266" s="3" t="s">
        <v>443</v>
      </c>
      <c r="D266" s="3" t="s">
        <v>444</v>
      </c>
      <c r="E266" s="3">
        <v>10937</v>
      </c>
      <c r="F266" s="3"/>
      <c r="G266" s="3" t="s">
        <v>30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5">
        <v>172200</v>
      </c>
      <c r="N266" s="5">
        <v>259300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5">
        <v>89000</v>
      </c>
      <c r="X266" s="3">
        <v>0</v>
      </c>
      <c r="Y266" s="3">
        <v>0</v>
      </c>
      <c r="Z266" s="3">
        <v>0</v>
      </c>
      <c r="AA266" s="5">
        <v>86100</v>
      </c>
      <c r="AB266" s="6">
        <v>606600</v>
      </c>
      <c r="AD266" s="2" t="str">
        <f>VLOOKUP(E266,'[1]Detailed Transfer Report (12)'!$K:$Y,14,FALSE)</f>
        <v>Sardar Tanveer Ilyas</v>
      </c>
      <c r="AE266" s="16"/>
    </row>
    <row r="267" spans="1:31" x14ac:dyDescent="0.25">
      <c r="A267" s="3">
        <v>79</v>
      </c>
      <c r="B267" s="4">
        <v>42051</v>
      </c>
      <c r="C267" s="3" t="s">
        <v>445</v>
      </c>
      <c r="D267" s="3" t="s">
        <v>446</v>
      </c>
      <c r="E267" s="3">
        <v>11037</v>
      </c>
      <c r="F267" s="3"/>
      <c r="G267" s="3" t="s">
        <v>30</v>
      </c>
      <c r="H267" s="3">
        <v>0</v>
      </c>
      <c r="I267" s="3">
        <v>0</v>
      </c>
      <c r="J267" s="3">
        <v>0</v>
      </c>
      <c r="K267" s="3">
        <v>0</v>
      </c>
      <c r="L267" s="5">
        <v>735000</v>
      </c>
      <c r="M267" s="5">
        <v>280000</v>
      </c>
      <c r="N267" s="5">
        <v>421000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5">
        <v>11500</v>
      </c>
      <c r="W267" s="5">
        <v>176000</v>
      </c>
      <c r="X267" s="3">
        <v>0</v>
      </c>
      <c r="Y267" s="3">
        <v>0</v>
      </c>
      <c r="Z267" s="3">
        <v>0</v>
      </c>
      <c r="AA267" s="5">
        <v>140000</v>
      </c>
      <c r="AB267" s="6">
        <v>1763500</v>
      </c>
      <c r="AD267" s="2" t="str">
        <f>VLOOKUP(E267,'[1]Detailed Transfer Report (12)'!$K:$Y,14,FALSE)</f>
        <v>Sardar Tanveer Ilyas</v>
      </c>
      <c r="AE267" s="16"/>
    </row>
    <row r="268" spans="1:31" x14ac:dyDescent="0.25">
      <c r="A268" s="7">
        <v>80</v>
      </c>
      <c r="B268" s="4">
        <v>42028</v>
      </c>
      <c r="C268" s="3" t="s">
        <v>447</v>
      </c>
      <c r="D268" s="3" t="s">
        <v>448</v>
      </c>
      <c r="E268" s="3">
        <v>1159</v>
      </c>
      <c r="F268" s="3"/>
      <c r="G268" s="3" t="s">
        <v>41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5">
        <v>52600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5">
        <v>17200</v>
      </c>
      <c r="AB268" s="6">
        <v>69800</v>
      </c>
      <c r="AD268" s="2" t="str">
        <f>VLOOKUP(E268,'[1]Detailed Transfer Report (12)'!$K:$Y,14,FALSE)</f>
        <v>Sardar Tanveer Ilyas</v>
      </c>
      <c r="AE268" s="16"/>
    </row>
    <row r="269" spans="1:31" x14ac:dyDescent="0.25">
      <c r="A269" s="9">
        <v>80</v>
      </c>
      <c r="B269" s="4">
        <v>42028</v>
      </c>
      <c r="C269" s="3" t="s">
        <v>449</v>
      </c>
      <c r="D269" s="3" t="s">
        <v>450</v>
      </c>
      <c r="E269" s="3">
        <v>1161</v>
      </c>
      <c r="F269" s="3"/>
      <c r="G269" s="3" t="s">
        <v>41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5">
        <v>94000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5">
        <v>31000</v>
      </c>
      <c r="AB269" s="6">
        <v>194800</v>
      </c>
      <c r="AD269" s="2" t="str">
        <f>VLOOKUP(E269,'[1]Detailed Transfer Report (12)'!$K:$Y,14,FALSE)</f>
        <v>Sardar Tanveer Ilyas</v>
      </c>
      <c r="AE269" s="16"/>
    </row>
    <row r="270" spans="1:31" x14ac:dyDescent="0.25">
      <c r="A270" s="9">
        <v>80</v>
      </c>
      <c r="B270" s="4">
        <v>42028</v>
      </c>
      <c r="C270" s="3" t="s">
        <v>110</v>
      </c>
      <c r="D270" s="3" t="s">
        <v>451</v>
      </c>
      <c r="E270" s="3">
        <v>1162</v>
      </c>
      <c r="F270" s="3"/>
      <c r="G270" s="3" t="s">
        <v>41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5">
        <v>14000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5">
        <v>5000</v>
      </c>
      <c r="W270" s="5">
        <v>153000</v>
      </c>
      <c r="X270" s="3">
        <v>0</v>
      </c>
      <c r="Y270" s="3">
        <v>0</v>
      </c>
      <c r="Z270" s="3">
        <v>0</v>
      </c>
      <c r="AA270" s="5">
        <v>4500</v>
      </c>
      <c r="AB270" s="6">
        <v>371300</v>
      </c>
      <c r="AD270" s="2" t="str">
        <f>VLOOKUP(E270,'[1]Detailed Transfer Report (12)'!$K:$Y,14,FALSE)</f>
        <v>Sardar Tanveer Ilyas</v>
      </c>
      <c r="AE270" s="16"/>
    </row>
    <row r="271" spans="1:31" x14ac:dyDescent="0.25">
      <c r="A271" s="10">
        <v>80</v>
      </c>
      <c r="B271" s="4">
        <v>42028</v>
      </c>
      <c r="C271" s="3" t="s">
        <v>452</v>
      </c>
      <c r="D271" s="3" t="s">
        <v>453</v>
      </c>
      <c r="E271" s="3">
        <v>1158</v>
      </c>
      <c r="F271" s="3"/>
      <c r="G271" s="3" t="s">
        <v>41</v>
      </c>
      <c r="H271" s="3">
        <v>0</v>
      </c>
      <c r="I271" s="3">
        <v>0</v>
      </c>
      <c r="J271" s="5">
        <v>55600</v>
      </c>
      <c r="K271" s="3">
        <v>0</v>
      </c>
      <c r="L271" s="5">
        <v>450000</v>
      </c>
      <c r="M271" s="5">
        <v>111220</v>
      </c>
      <c r="N271" s="5">
        <v>167800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5">
        <v>55600</v>
      </c>
      <c r="AB271" s="6">
        <v>1211520</v>
      </c>
      <c r="AD271" s="2" t="str">
        <f>VLOOKUP(E271,'[1]Detailed Transfer Report (12)'!$K:$Y,14,FALSE)</f>
        <v>Sardar Tanveer Ilyas</v>
      </c>
      <c r="AE271" s="16"/>
    </row>
    <row r="272" spans="1:31" x14ac:dyDescent="0.25">
      <c r="A272" s="3">
        <v>81</v>
      </c>
      <c r="B272" s="4">
        <v>42025</v>
      </c>
      <c r="C272" s="3" t="s">
        <v>171</v>
      </c>
      <c r="D272" s="3" t="s">
        <v>454</v>
      </c>
      <c r="E272" s="3">
        <v>10938</v>
      </c>
      <c r="F272" s="3"/>
      <c r="G272" s="3" t="s">
        <v>30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5">
        <v>70000</v>
      </c>
      <c r="N272" s="5">
        <v>106000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5">
        <v>2000</v>
      </c>
      <c r="W272" s="5">
        <v>59500</v>
      </c>
      <c r="X272" s="3">
        <v>0</v>
      </c>
      <c r="Y272" s="3">
        <v>0</v>
      </c>
      <c r="Z272" s="3">
        <v>0</v>
      </c>
      <c r="AA272" s="5">
        <v>35000</v>
      </c>
      <c r="AB272" s="6">
        <v>272500</v>
      </c>
      <c r="AD272" s="2" t="str">
        <f>VLOOKUP(E272,'[1]Detailed Transfer Report (12)'!$K:$Y,14,FALSE)</f>
        <v>Sardar Tanveer Ilyas</v>
      </c>
      <c r="AE272" s="16"/>
    </row>
    <row r="273" spans="1:31" x14ac:dyDescent="0.25">
      <c r="A273" s="3">
        <v>83</v>
      </c>
      <c r="B273" s="4">
        <v>42031</v>
      </c>
      <c r="C273" s="3" t="s">
        <v>171</v>
      </c>
      <c r="D273" s="3" t="s">
        <v>455</v>
      </c>
      <c r="E273" s="3">
        <v>10997</v>
      </c>
      <c r="F273" s="3"/>
      <c r="G273" s="3" t="s">
        <v>30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5">
        <v>84000</v>
      </c>
      <c r="N273" s="5">
        <v>127000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5">
        <v>1000</v>
      </c>
      <c r="W273" s="5">
        <v>59500</v>
      </c>
      <c r="X273" s="3">
        <v>0</v>
      </c>
      <c r="Y273" s="3">
        <v>0</v>
      </c>
      <c r="Z273" s="3">
        <v>0</v>
      </c>
      <c r="AA273" s="5">
        <v>42000</v>
      </c>
      <c r="AB273" s="6">
        <v>313500</v>
      </c>
      <c r="AD273" s="2" t="str">
        <f>VLOOKUP(E273,'[1]Detailed Transfer Report (12)'!$K:$Y,14,FALSE)</f>
        <v>Sardar Tanveer Ilyas</v>
      </c>
      <c r="AE273" s="16"/>
    </row>
    <row r="274" spans="1:31" x14ac:dyDescent="0.25">
      <c r="A274" s="3">
        <v>84</v>
      </c>
      <c r="B274" s="4">
        <v>42031</v>
      </c>
      <c r="C274" s="3" t="s">
        <v>456</v>
      </c>
      <c r="D274" s="3" t="s">
        <v>457</v>
      </c>
      <c r="E274" s="3">
        <v>10982</v>
      </c>
      <c r="F274" s="3"/>
      <c r="G274" s="3" t="s">
        <v>30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5">
        <v>66000</v>
      </c>
      <c r="N274" s="5">
        <v>100000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5">
        <v>1000</v>
      </c>
      <c r="W274" s="5">
        <v>46500</v>
      </c>
      <c r="X274" s="3">
        <v>0</v>
      </c>
      <c r="Y274" s="3">
        <v>0</v>
      </c>
      <c r="Z274" s="3">
        <v>0</v>
      </c>
      <c r="AA274" s="5">
        <v>33000</v>
      </c>
      <c r="AB274" s="6">
        <v>246500</v>
      </c>
      <c r="AD274" s="2" t="str">
        <f>VLOOKUP(E274,'[1]Detailed Transfer Report (12)'!$K:$Y,14,FALSE)</f>
        <v>Sardar Tanveer Ilyas</v>
      </c>
      <c r="AE274" s="16"/>
    </row>
    <row r="275" spans="1:31" x14ac:dyDescent="0.25">
      <c r="A275" s="7">
        <v>85</v>
      </c>
      <c r="B275" s="4">
        <v>42038</v>
      </c>
      <c r="C275" s="3" t="s">
        <v>313</v>
      </c>
      <c r="D275" s="3" t="s">
        <v>458</v>
      </c>
      <c r="E275" s="3">
        <v>10955</v>
      </c>
      <c r="F275" s="3"/>
      <c r="G275" s="3" t="s">
        <v>30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5">
        <v>12500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5">
        <v>1500</v>
      </c>
      <c r="W275" s="3">
        <v>0</v>
      </c>
      <c r="X275" s="3">
        <v>0</v>
      </c>
      <c r="Y275" s="3">
        <v>0</v>
      </c>
      <c r="Z275" s="3">
        <v>0</v>
      </c>
      <c r="AA275" s="5">
        <v>4000</v>
      </c>
      <c r="AB275" s="6">
        <v>18000</v>
      </c>
      <c r="AD275" s="2" t="str">
        <f>VLOOKUP(E275,'[1]Detailed Transfer Report (12)'!$K:$Y,14,FALSE)</f>
        <v>Sardar Tanveer Ilyas</v>
      </c>
      <c r="AE275" s="16"/>
    </row>
    <row r="276" spans="1:31" x14ac:dyDescent="0.25">
      <c r="A276" s="9">
        <v>85</v>
      </c>
      <c r="B276" s="4">
        <v>42137</v>
      </c>
      <c r="C276" s="3" t="s">
        <v>44</v>
      </c>
      <c r="D276" s="3" t="s">
        <v>459</v>
      </c>
      <c r="E276" s="3">
        <v>10998</v>
      </c>
      <c r="F276" s="3"/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5">
        <v>19000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5">
        <v>9500</v>
      </c>
      <c r="X276" s="3">
        <v>0</v>
      </c>
      <c r="Y276" s="3">
        <v>0</v>
      </c>
      <c r="Z276" s="3">
        <v>0</v>
      </c>
      <c r="AA276" s="5">
        <v>6000</v>
      </c>
      <c r="AB276" s="6">
        <v>52500</v>
      </c>
      <c r="AD276" s="2" t="str">
        <f>VLOOKUP(E276,'[1]Detailed Transfer Report (12)'!$K:$Y,14,FALSE)</f>
        <v>Sardar Tanveer Ilyas</v>
      </c>
      <c r="AE276" s="16"/>
    </row>
    <row r="277" spans="1:31" x14ac:dyDescent="0.25">
      <c r="A277" s="9">
        <v>85</v>
      </c>
      <c r="B277" s="4">
        <v>42060</v>
      </c>
      <c r="C277" s="3" t="s">
        <v>130</v>
      </c>
      <c r="D277" s="3" t="s">
        <v>460</v>
      </c>
      <c r="E277" s="3">
        <v>11054</v>
      </c>
      <c r="F277" s="3"/>
      <c r="G277" s="3" t="s">
        <v>30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5">
        <v>22000</v>
      </c>
      <c r="N277" s="5">
        <v>34000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5">
        <v>17000</v>
      </c>
      <c r="X277" s="3">
        <v>0</v>
      </c>
      <c r="Y277" s="3">
        <v>0</v>
      </c>
      <c r="Z277" s="3">
        <v>0</v>
      </c>
      <c r="AA277" s="5">
        <v>11000</v>
      </c>
      <c r="AB277" s="6">
        <v>136500</v>
      </c>
      <c r="AD277" s="2" t="str">
        <f>VLOOKUP(E277,'[1]Detailed Transfer Report (12)'!$K:$Y,14,FALSE)</f>
        <v>Sardar Tanveer Ilyas</v>
      </c>
      <c r="AE277" s="16"/>
    </row>
    <row r="278" spans="1:31" x14ac:dyDescent="0.25">
      <c r="A278" s="10">
        <v>85</v>
      </c>
      <c r="B278" s="4">
        <v>42060</v>
      </c>
      <c r="C278" s="3" t="s">
        <v>141</v>
      </c>
      <c r="D278" s="3" t="s">
        <v>461</v>
      </c>
      <c r="E278" s="3">
        <v>11055</v>
      </c>
      <c r="F278" s="3"/>
      <c r="G278" s="3" t="s">
        <v>30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5">
        <v>36000</v>
      </c>
      <c r="N278" s="5">
        <v>55000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5">
        <v>1000</v>
      </c>
      <c r="W278" s="5">
        <v>25500</v>
      </c>
      <c r="X278" s="3">
        <v>0</v>
      </c>
      <c r="Y278" s="3">
        <v>0</v>
      </c>
      <c r="Z278" s="3">
        <v>0</v>
      </c>
      <c r="AA278" s="5">
        <v>18000</v>
      </c>
      <c r="AB278" s="6">
        <v>272000</v>
      </c>
      <c r="AD278" s="2" t="str">
        <f>VLOOKUP(E278,'[1]Detailed Transfer Report (12)'!$K:$Y,14,FALSE)</f>
        <v>Sardar Tanveer Ilyas</v>
      </c>
      <c r="AE278" s="16"/>
    </row>
    <row r="279" spans="1:31" x14ac:dyDescent="0.25">
      <c r="A279" s="7">
        <v>86</v>
      </c>
      <c r="B279" s="4">
        <v>42061</v>
      </c>
      <c r="C279" s="3" t="s">
        <v>462</v>
      </c>
      <c r="D279" s="3" t="s">
        <v>463</v>
      </c>
      <c r="E279" s="3">
        <v>11041</v>
      </c>
      <c r="F279" s="3"/>
      <c r="G279" s="3" t="s">
        <v>30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5">
        <v>110000</v>
      </c>
      <c r="N279" s="5">
        <v>166000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5">
        <v>1000</v>
      </c>
      <c r="W279" s="5">
        <v>51000</v>
      </c>
      <c r="X279" s="3">
        <v>0</v>
      </c>
      <c r="Y279" s="3">
        <v>0</v>
      </c>
      <c r="Z279" s="3">
        <v>0</v>
      </c>
      <c r="AA279" s="5">
        <v>55000</v>
      </c>
      <c r="AB279" s="6">
        <v>383000</v>
      </c>
      <c r="AD279" s="2" t="str">
        <f>VLOOKUP(E279,'[1]Detailed Transfer Report (12)'!$K:$Y,14,FALSE)</f>
        <v>Sardar Tanveer Ilyas</v>
      </c>
      <c r="AE279" s="16"/>
    </row>
    <row r="280" spans="1:31" x14ac:dyDescent="0.25">
      <c r="A280" s="10">
        <v>86</v>
      </c>
      <c r="B280" s="4">
        <v>42061</v>
      </c>
      <c r="C280" s="3" t="s">
        <v>300</v>
      </c>
      <c r="D280" s="3" t="s">
        <v>464</v>
      </c>
      <c r="E280" s="3">
        <v>11042</v>
      </c>
      <c r="F280" s="3"/>
      <c r="G280" s="3" t="s">
        <v>30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5">
        <v>22000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5">
        <v>7000</v>
      </c>
      <c r="AB280" s="6">
        <v>412000</v>
      </c>
      <c r="AD280" s="2" t="str">
        <f>VLOOKUP(E280,'[1]Detailed Transfer Report (12)'!$K:$Y,14,FALSE)</f>
        <v>Sardar Tanveer Ilyas</v>
      </c>
      <c r="AE280" s="16"/>
    </row>
    <row r="281" spans="1:31" x14ac:dyDescent="0.25">
      <c r="A281" s="3">
        <v>89</v>
      </c>
      <c r="B281" s="4">
        <v>42061</v>
      </c>
      <c r="C281" s="3" t="s">
        <v>46</v>
      </c>
      <c r="D281" s="3" t="s">
        <v>465</v>
      </c>
      <c r="E281" s="3">
        <v>11038</v>
      </c>
      <c r="F281" s="3"/>
      <c r="G281" s="3" t="s">
        <v>30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5">
        <v>34000</v>
      </c>
      <c r="N281" s="5">
        <v>52000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500</v>
      </c>
      <c r="W281" s="5">
        <v>16000</v>
      </c>
      <c r="X281" s="3">
        <v>0</v>
      </c>
      <c r="Y281" s="3">
        <v>0</v>
      </c>
      <c r="Z281" s="3">
        <v>0</v>
      </c>
      <c r="AA281" s="5">
        <v>17000</v>
      </c>
      <c r="AB281" s="6">
        <v>119500</v>
      </c>
      <c r="AD281" s="2" t="str">
        <f>VLOOKUP(E281,'[1]Detailed Transfer Report (12)'!$K:$Y,14,FALSE)</f>
        <v>Sardar Tanveer Ilyas</v>
      </c>
      <c r="AE281" s="16"/>
    </row>
    <row r="282" spans="1:31" x14ac:dyDescent="0.25">
      <c r="A282" s="3">
        <v>92</v>
      </c>
      <c r="B282" s="4">
        <v>42034</v>
      </c>
      <c r="C282" s="3" t="s">
        <v>336</v>
      </c>
      <c r="D282" s="3" t="s">
        <v>466</v>
      </c>
      <c r="E282" s="3">
        <v>11047</v>
      </c>
      <c r="F282" s="3"/>
      <c r="G282" s="3" t="s">
        <v>30</v>
      </c>
      <c r="H282" s="3">
        <v>0</v>
      </c>
      <c r="I282" s="3">
        <v>0</v>
      </c>
      <c r="J282" s="3">
        <v>0</v>
      </c>
      <c r="K282" s="3">
        <v>0</v>
      </c>
      <c r="L282" s="5">
        <v>270000</v>
      </c>
      <c r="M282" s="5">
        <v>108000</v>
      </c>
      <c r="N282" s="5">
        <v>163000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5">
        <v>76500</v>
      </c>
      <c r="X282" s="3">
        <v>0</v>
      </c>
      <c r="Y282" s="3">
        <v>0</v>
      </c>
      <c r="Z282" s="3">
        <v>0</v>
      </c>
      <c r="AA282" s="5">
        <v>54000</v>
      </c>
      <c r="AB282" s="6">
        <v>671500</v>
      </c>
      <c r="AD282" s="2" t="str">
        <f>VLOOKUP(E282,'[1]Detailed Transfer Report (12)'!$K:$Y,14,FALSE)</f>
        <v>Sardar Tanveer Ilyas</v>
      </c>
      <c r="AE282" s="16"/>
    </row>
    <row r="283" spans="1:31" x14ac:dyDescent="0.25">
      <c r="A283" s="3">
        <v>93</v>
      </c>
      <c r="B283" s="4">
        <v>42067</v>
      </c>
      <c r="C283" s="3" t="s">
        <v>467</v>
      </c>
      <c r="D283" s="3" t="s">
        <v>468</v>
      </c>
      <c r="E283" s="3">
        <v>11057</v>
      </c>
      <c r="F283" s="3"/>
      <c r="G283" s="3" t="s">
        <v>30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5">
        <v>20000</v>
      </c>
      <c r="N283" s="5">
        <v>31000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5">
        <v>1000</v>
      </c>
      <c r="W283" s="5">
        <v>17000</v>
      </c>
      <c r="X283" s="3">
        <v>0</v>
      </c>
      <c r="Y283" s="3">
        <v>0</v>
      </c>
      <c r="Z283" s="3">
        <v>0</v>
      </c>
      <c r="AA283" s="5">
        <v>10000</v>
      </c>
      <c r="AB283" s="6">
        <v>79000</v>
      </c>
      <c r="AD283" s="2" t="str">
        <f>VLOOKUP(E283,'[1]Detailed Transfer Report (12)'!$K:$Y,14,FALSE)</f>
        <v>Sardar Tanveer Ilyas</v>
      </c>
      <c r="AE283" s="16"/>
    </row>
    <row r="284" spans="1:31" x14ac:dyDescent="0.25">
      <c r="A284" s="3">
        <v>94</v>
      </c>
      <c r="B284" s="4">
        <v>42076</v>
      </c>
      <c r="C284" s="3" t="s">
        <v>44</v>
      </c>
      <c r="D284" s="3" t="s">
        <v>469</v>
      </c>
      <c r="E284" s="3">
        <v>11053</v>
      </c>
      <c r="F284" s="3"/>
      <c r="G284" s="3" t="s">
        <v>30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5">
        <v>26500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5">
        <v>8500</v>
      </c>
      <c r="X284" s="3">
        <v>0</v>
      </c>
      <c r="Y284" s="3">
        <v>0</v>
      </c>
      <c r="Z284" s="3">
        <v>0</v>
      </c>
      <c r="AA284" s="5">
        <v>8500</v>
      </c>
      <c r="AB284" s="6">
        <v>43500</v>
      </c>
      <c r="AD284" s="2" t="str">
        <f>VLOOKUP(E284,'[1]Detailed Transfer Report (12)'!$K:$Y,14,FALSE)</f>
        <v>Sardar Tanveer Ilyas</v>
      </c>
      <c r="AE284" s="16"/>
    </row>
    <row r="285" spans="1:31" x14ac:dyDescent="0.25">
      <c r="A285" s="7">
        <v>95</v>
      </c>
      <c r="B285" s="4">
        <v>42067</v>
      </c>
      <c r="C285" s="3" t="s">
        <v>153</v>
      </c>
      <c r="D285" s="3" t="s">
        <v>470</v>
      </c>
      <c r="E285" s="3">
        <v>11086</v>
      </c>
      <c r="F285" s="3"/>
      <c r="G285" s="3" t="s">
        <v>30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5">
        <v>7750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5">
        <v>1000</v>
      </c>
      <c r="W285" s="5">
        <v>4500</v>
      </c>
      <c r="X285" s="3">
        <v>0</v>
      </c>
      <c r="Y285" s="3">
        <v>0</v>
      </c>
      <c r="Z285" s="3">
        <v>0</v>
      </c>
      <c r="AA285" s="5">
        <v>2250</v>
      </c>
      <c r="AB285" s="6">
        <v>15500</v>
      </c>
      <c r="AD285" s="2" t="str">
        <f>VLOOKUP(E285,'[1]Detailed Transfer Report (12)'!$K:$Y,14,FALSE)</f>
        <v>Sardar Tanveer Ilyas</v>
      </c>
      <c r="AE285" s="16"/>
    </row>
    <row r="286" spans="1:31" x14ac:dyDescent="0.25">
      <c r="A286" s="9">
        <v>95</v>
      </c>
      <c r="B286" s="4">
        <v>42067</v>
      </c>
      <c r="C286" s="3" t="s">
        <v>471</v>
      </c>
      <c r="D286" s="3" t="s">
        <v>472</v>
      </c>
      <c r="E286" s="3">
        <v>11088</v>
      </c>
      <c r="F286" s="3"/>
      <c r="G286" s="3" t="s">
        <v>30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5">
        <v>35000</v>
      </c>
      <c r="N286" s="5">
        <v>53500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5">
        <v>21500</v>
      </c>
      <c r="X286" s="3">
        <v>0</v>
      </c>
      <c r="Y286" s="3">
        <v>0</v>
      </c>
      <c r="Z286" s="3">
        <v>0</v>
      </c>
      <c r="AA286" s="5">
        <v>17500</v>
      </c>
      <c r="AB286" s="6">
        <v>143000</v>
      </c>
      <c r="AD286" s="2" t="str">
        <f>VLOOKUP(E286,'[1]Detailed Transfer Report (12)'!$K:$Y,14,FALSE)</f>
        <v>Sardar Tanveer Ilyas</v>
      </c>
      <c r="AE286" s="16"/>
    </row>
    <row r="287" spans="1:31" x14ac:dyDescent="0.25">
      <c r="A287" s="10">
        <v>95</v>
      </c>
      <c r="B287" s="4">
        <v>42067</v>
      </c>
      <c r="C287" s="3" t="s">
        <v>473</v>
      </c>
      <c r="D287" s="3" t="s">
        <v>474</v>
      </c>
      <c r="E287" s="3">
        <v>11087</v>
      </c>
      <c r="F287" s="3"/>
      <c r="G287" s="3" t="s">
        <v>30</v>
      </c>
      <c r="H287" s="3">
        <v>0</v>
      </c>
      <c r="I287" s="3">
        <v>0</v>
      </c>
      <c r="J287" s="3">
        <v>0</v>
      </c>
      <c r="K287" s="3">
        <v>0</v>
      </c>
      <c r="L287" s="5">
        <v>3000000</v>
      </c>
      <c r="M287" s="5">
        <v>1206700</v>
      </c>
      <c r="N287" s="5">
        <v>1811050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5">
        <v>663000</v>
      </c>
      <c r="X287" s="3">
        <v>0</v>
      </c>
      <c r="Y287" s="5">
        <v>600000</v>
      </c>
      <c r="Z287" s="3">
        <v>0</v>
      </c>
      <c r="AA287" s="5">
        <v>603350</v>
      </c>
      <c r="AB287" s="6">
        <v>8027100</v>
      </c>
      <c r="AD287" s="2" t="str">
        <f>VLOOKUP(E287,'[1]Detailed Transfer Report (12)'!$K:$Y,14,FALSE)</f>
        <v>Sardar Tanveer Ilyas</v>
      </c>
      <c r="AE287" s="16"/>
    </row>
    <row r="288" spans="1:31" x14ac:dyDescent="0.25">
      <c r="A288" s="7">
        <v>96</v>
      </c>
      <c r="B288" s="4">
        <v>42076</v>
      </c>
      <c r="C288" s="3" t="s">
        <v>475</v>
      </c>
      <c r="D288" s="3" t="s">
        <v>476</v>
      </c>
      <c r="E288" s="3">
        <v>11106</v>
      </c>
      <c r="F288" s="3"/>
      <c r="G288" s="3" t="s">
        <v>30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5">
        <v>27000</v>
      </c>
      <c r="N288" s="5">
        <v>41500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5">
        <v>17000</v>
      </c>
      <c r="X288" s="3">
        <v>0</v>
      </c>
      <c r="Y288" s="3">
        <v>0</v>
      </c>
      <c r="Z288" s="3">
        <v>0</v>
      </c>
      <c r="AA288" s="5">
        <v>13500</v>
      </c>
      <c r="AB288" s="6">
        <v>99000</v>
      </c>
      <c r="AD288" s="2" t="str">
        <f>VLOOKUP(E288,'[1]Detailed Transfer Report (12)'!$K:$Y,14,FALSE)</f>
        <v>Sardar Tanveer Ilyas</v>
      </c>
      <c r="AE288" s="16"/>
    </row>
    <row r="289" spans="1:31" x14ac:dyDescent="0.25">
      <c r="A289" s="10">
        <v>96</v>
      </c>
      <c r="B289" s="4">
        <v>42076</v>
      </c>
      <c r="C289" s="3" t="s">
        <v>477</v>
      </c>
      <c r="D289" s="3" t="s">
        <v>478</v>
      </c>
      <c r="E289" s="3">
        <v>11107</v>
      </c>
      <c r="F289" s="3"/>
      <c r="G289" s="3" t="s">
        <v>30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5">
        <v>56000</v>
      </c>
      <c r="N289" s="5">
        <v>85000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5">
        <v>42500</v>
      </c>
      <c r="X289" s="3">
        <v>0</v>
      </c>
      <c r="Y289" s="3">
        <v>0</v>
      </c>
      <c r="Z289" s="3">
        <v>0</v>
      </c>
      <c r="AA289" s="5">
        <v>28000</v>
      </c>
      <c r="AB289" s="6">
        <v>310500</v>
      </c>
      <c r="AD289" s="2" t="str">
        <f>VLOOKUP(E289,'[1]Detailed Transfer Report (12)'!$K:$Y,14,FALSE)</f>
        <v>Sardar Tanveer Ilyas</v>
      </c>
      <c r="AE289" s="16"/>
    </row>
    <row r="290" spans="1:31" x14ac:dyDescent="0.25">
      <c r="A290" s="3">
        <v>97</v>
      </c>
      <c r="B290" s="4">
        <v>42076</v>
      </c>
      <c r="C290" s="3" t="s">
        <v>479</v>
      </c>
      <c r="D290" s="3" t="s">
        <v>480</v>
      </c>
      <c r="E290" s="3">
        <v>11116</v>
      </c>
      <c r="F290" s="3"/>
      <c r="G290" s="3" t="s">
        <v>30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5">
        <v>160000</v>
      </c>
      <c r="N290" s="5">
        <v>241000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5">
        <v>72500</v>
      </c>
      <c r="X290" s="3">
        <v>0</v>
      </c>
      <c r="Y290" s="3">
        <v>0</v>
      </c>
      <c r="Z290" s="3">
        <v>0</v>
      </c>
      <c r="AA290" s="5">
        <v>80000</v>
      </c>
      <c r="AB290" s="6">
        <v>553500</v>
      </c>
      <c r="AD290" s="2" t="str">
        <f>VLOOKUP(E290,'[1]Detailed Transfer Report (12)'!$K:$Y,14,FALSE)</f>
        <v>Sardar Tanveer Ilyas</v>
      </c>
      <c r="AE290" s="16"/>
    </row>
    <row r="291" spans="1:31" x14ac:dyDescent="0.25">
      <c r="A291" s="3">
        <v>98</v>
      </c>
      <c r="B291" s="4">
        <v>42076</v>
      </c>
      <c r="C291" s="3" t="s">
        <v>481</v>
      </c>
      <c r="D291" s="3" t="s">
        <v>482</v>
      </c>
      <c r="E291" s="3">
        <v>11108</v>
      </c>
      <c r="F291" s="3"/>
      <c r="G291" s="3" t="s">
        <v>30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5">
        <v>110000</v>
      </c>
      <c r="N291" s="5">
        <v>166000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5">
        <v>76500</v>
      </c>
      <c r="X291" s="3">
        <v>0</v>
      </c>
      <c r="Y291" s="3">
        <v>0</v>
      </c>
      <c r="Z291" s="3">
        <v>0</v>
      </c>
      <c r="AA291" s="5">
        <v>55000</v>
      </c>
      <c r="AB291" s="6">
        <v>407500</v>
      </c>
      <c r="AD291" s="2" t="str">
        <f>VLOOKUP(E291,'[1]Detailed Transfer Report (12)'!$K:$Y,14,FALSE)</f>
        <v>Sardar Tanveer Ilyas</v>
      </c>
      <c r="AE291" s="16"/>
    </row>
    <row r="292" spans="1:31" x14ac:dyDescent="0.25">
      <c r="A292" s="3">
        <v>99</v>
      </c>
      <c r="B292" s="4">
        <v>42076</v>
      </c>
      <c r="C292" s="3" t="s">
        <v>483</v>
      </c>
      <c r="D292" s="3" t="s">
        <v>484</v>
      </c>
      <c r="E292" s="3">
        <v>11112</v>
      </c>
      <c r="F292" s="3"/>
      <c r="G292" s="3" t="s">
        <v>30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5">
        <v>14860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5">
        <v>1000</v>
      </c>
      <c r="W292" s="5">
        <v>8500</v>
      </c>
      <c r="X292" s="3">
        <v>0</v>
      </c>
      <c r="Y292" s="3">
        <v>0</v>
      </c>
      <c r="Z292" s="3">
        <v>0</v>
      </c>
      <c r="AA292" s="5">
        <v>4620</v>
      </c>
      <c r="AB292" s="6">
        <v>28980</v>
      </c>
      <c r="AD292" s="2" t="str">
        <f>VLOOKUP(E292,'[1]Detailed Transfer Report (12)'!$K:$Y,14,FALSE)</f>
        <v>Sardar Tanveer Ilyas</v>
      </c>
      <c r="AE292" s="16"/>
    </row>
    <row r="293" spans="1:31" x14ac:dyDescent="0.25">
      <c r="A293" s="7">
        <v>100</v>
      </c>
      <c r="B293" s="4">
        <v>42048</v>
      </c>
      <c r="C293" s="3" t="s">
        <v>485</v>
      </c>
      <c r="D293" s="3" t="s">
        <v>486</v>
      </c>
      <c r="E293" s="3">
        <v>11072</v>
      </c>
      <c r="F293" s="3"/>
      <c r="G293" s="3" t="s">
        <v>30</v>
      </c>
      <c r="H293" s="3">
        <v>0</v>
      </c>
      <c r="I293" s="3">
        <v>0</v>
      </c>
      <c r="J293" s="3">
        <v>0</v>
      </c>
      <c r="K293" s="3">
        <v>0</v>
      </c>
      <c r="L293" s="5">
        <v>370780</v>
      </c>
      <c r="M293" s="5">
        <v>65000</v>
      </c>
      <c r="N293" s="5">
        <v>98500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5">
        <v>34100</v>
      </c>
      <c r="X293" s="3">
        <v>0</v>
      </c>
      <c r="Y293" s="3">
        <v>0</v>
      </c>
      <c r="Z293" s="3">
        <v>0</v>
      </c>
      <c r="AA293" s="5">
        <v>32500</v>
      </c>
      <c r="AB293" s="6">
        <v>600880</v>
      </c>
      <c r="AD293" s="2" t="str">
        <f>VLOOKUP(E293,'[1]Detailed Transfer Report (12)'!$K:$Y,14,FALSE)</f>
        <v>Sardar Tanveer Ilyas</v>
      </c>
      <c r="AE293" s="16"/>
    </row>
    <row r="294" spans="1:31" x14ac:dyDescent="0.25">
      <c r="A294" s="9">
        <v>100</v>
      </c>
      <c r="B294" s="4">
        <v>42048</v>
      </c>
      <c r="C294" s="3" t="s">
        <v>340</v>
      </c>
      <c r="D294" s="3" t="s">
        <v>487</v>
      </c>
      <c r="E294" s="3">
        <v>11073</v>
      </c>
      <c r="F294" s="3"/>
      <c r="G294" s="3" t="s">
        <v>30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5">
        <v>60400</v>
      </c>
      <c r="N294" s="5">
        <v>91600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5">
        <v>34100</v>
      </c>
      <c r="X294" s="3">
        <v>0</v>
      </c>
      <c r="Y294" s="3">
        <v>0</v>
      </c>
      <c r="Z294" s="3">
        <v>0</v>
      </c>
      <c r="AA294" s="5">
        <v>30200</v>
      </c>
      <c r="AB294" s="6">
        <v>817180</v>
      </c>
      <c r="AD294" s="2" t="str">
        <f>VLOOKUP(E294,'[1]Detailed Transfer Report (12)'!$K:$Y,14,FALSE)</f>
        <v>Sardar Tanveer Ilyas</v>
      </c>
      <c r="AE294" s="16"/>
    </row>
    <row r="295" spans="1:31" x14ac:dyDescent="0.25">
      <c r="A295" s="10">
        <v>100</v>
      </c>
      <c r="B295" s="4">
        <v>42048</v>
      </c>
      <c r="C295" s="3" t="s">
        <v>130</v>
      </c>
      <c r="D295" s="3" t="s">
        <v>488</v>
      </c>
      <c r="E295" s="3">
        <v>11064</v>
      </c>
      <c r="F295" s="3"/>
      <c r="G295" s="3" t="s">
        <v>30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5">
        <v>21600</v>
      </c>
      <c r="N295" s="5">
        <v>33400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5">
        <v>34000</v>
      </c>
      <c r="X295" s="3">
        <v>0</v>
      </c>
      <c r="Y295" s="3">
        <v>0</v>
      </c>
      <c r="Z295" s="3">
        <v>0</v>
      </c>
      <c r="AA295" s="5">
        <v>10800</v>
      </c>
      <c r="AB295" s="6">
        <v>916980</v>
      </c>
      <c r="AD295" s="2" t="str">
        <f>VLOOKUP(E295,'[1]Detailed Transfer Report (12)'!$K:$Y,14,FALSE)</f>
        <v>Sardar Tanveer Ilyas</v>
      </c>
      <c r="AE295" s="16"/>
    </row>
    <row r="296" spans="1:31" x14ac:dyDescent="0.25">
      <c r="A296" s="7">
        <v>101</v>
      </c>
      <c r="B296" s="4">
        <v>42093</v>
      </c>
      <c r="C296" s="3" t="s">
        <v>489</v>
      </c>
      <c r="D296" s="3" t="s">
        <v>490</v>
      </c>
      <c r="E296" s="3">
        <v>11058</v>
      </c>
      <c r="F296" s="3"/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5">
        <v>143280</v>
      </c>
      <c r="N296" s="5">
        <v>215920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5">
        <v>68000</v>
      </c>
      <c r="X296" s="3">
        <v>0</v>
      </c>
      <c r="Y296" s="3">
        <v>0</v>
      </c>
      <c r="Z296" s="3">
        <v>0</v>
      </c>
      <c r="AA296" s="5">
        <v>71640</v>
      </c>
      <c r="AB296" s="6">
        <v>498840</v>
      </c>
      <c r="AD296" s="2" t="str">
        <f>VLOOKUP(E296,'[1]Detailed Transfer Report (12)'!$K:$Y,14,FALSE)</f>
        <v>Sardar Tanveer Ilyas</v>
      </c>
      <c r="AE296" s="16"/>
    </row>
    <row r="297" spans="1:31" x14ac:dyDescent="0.25">
      <c r="A297" s="10">
        <v>101</v>
      </c>
      <c r="B297" s="4">
        <v>42093</v>
      </c>
      <c r="C297" s="3" t="s">
        <v>491</v>
      </c>
      <c r="D297" s="3" t="s">
        <v>492</v>
      </c>
      <c r="E297" s="3">
        <v>11059</v>
      </c>
      <c r="F297" s="3"/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5">
        <v>8200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5">
        <v>1000</v>
      </c>
      <c r="W297" s="5">
        <v>4500</v>
      </c>
      <c r="X297" s="3">
        <v>0</v>
      </c>
      <c r="Y297" s="3">
        <v>0</v>
      </c>
      <c r="Z297" s="3">
        <v>0</v>
      </c>
      <c r="AA297" s="5">
        <v>2400</v>
      </c>
      <c r="AB297" s="6">
        <v>514940</v>
      </c>
      <c r="AD297" s="2" t="str">
        <f>VLOOKUP(E297,'[1]Detailed Transfer Report (12)'!$K:$Y,14,FALSE)</f>
        <v>Sardar Tanveer Ilyas</v>
      </c>
      <c r="AE297" s="16"/>
    </row>
    <row r="298" spans="1:31" x14ac:dyDescent="0.25">
      <c r="A298" s="3">
        <v>102</v>
      </c>
      <c r="B298" s="4">
        <v>42075</v>
      </c>
      <c r="C298" s="3" t="s">
        <v>493</v>
      </c>
      <c r="D298" s="3" t="s">
        <v>494</v>
      </c>
      <c r="E298" s="3">
        <v>11122</v>
      </c>
      <c r="F298" s="3"/>
      <c r="G298" s="3" t="s">
        <v>30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5">
        <v>17650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5">
        <v>8500</v>
      </c>
      <c r="X298" s="3">
        <v>0</v>
      </c>
      <c r="Y298" s="3">
        <v>0</v>
      </c>
      <c r="Z298" s="3">
        <v>0</v>
      </c>
      <c r="AA298" s="5">
        <v>5550</v>
      </c>
      <c r="AB298" s="6">
        <v>31700</v>
      </c>
      <c r="AD298" s="2" t="str">
        <f>VLOOKUP(E298,'[1]Detailed Transfer Report (12)'!$K:$Y,14,FALSE)</f>
        <v>Sardar Tanveer Ilyas</v>
      </c>
      <c r="AE298" s="16"/>
    </row>
    <row r="299" spans="1:31" x14ac:dyDescent="0.25">
      <c r="A299" s="3">
        <v>103</v>
      </c>
      <c r="B299" s="4">
        <v>42075</v>
      </c>
      <c r="C299" s="3" t="s">
        <v>495</v>
      </c>
      <c r="D299" s="3" t="s">
        <v>496</v>
      </c>
      <c r="E299" s="3">
        <v>11193</v>
      </c>
      <c r="F299" s="3"/>
      <c r="G299" s="3" t="s">
        <v>30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5">
        <v>13000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5">
        <v>8500</v>
      </c>
      <c r="X299" s="3">
        <v>0</v>
      </c>
      <c r="Y299" s="3">
        <v>0</v>
      </c>
      <c r="Z299" s="3">
        <v>0</v>
      </c>
      <c r="AA299" s="5">
        <v>4000</v>
      </c>
      <c r="AB299" s="6">
        <v>25500</v>
      </c>
      <c r="AD299" s="2" t="str">
        <f>VLOOKUP(E299,'[1]Detailed Transfer Report (12)'!$K:$Y,14,FALSE)</f>
        <v>Sardar Tanveer Ilyas</v>
      </c>
      <c r="AE299" s="16"/>
    </row>
    <row r="300" spans="1:31" x14ac:dyDescent="0.25">
      <c r="A300" s="3">
        <v>104</v>
      </c>
      <c r="B300" s="4">
        <v>42110</v>
      </c>
      <c r="C300" s="3" t="s">
        <v>497</v>
      </c>
      <c r="D300" s="3" t="s">
        <v>498</v>
      </c>
      <c r="E300" s="3">
        <v>1184</v>
      </c>
      <c r="F300" s="3"/>
      <c r="G300" s="3" t="s">
        <v>41</v>
      </c>
      <c r="H300" s="3">
        <v>0</v>
      </c>
      <c r="I300" s="3">
        <v>0</v>
      </c>
      <c r="J300" s="3">
        <v>0</v>
      </c>
      <c r="K300" s="3">
        <v>0</v>
      </c>
      <c r="L300" s="5">
        <v>24000</v>
      </c>
      <c r="M300" s="3">
        <v>0</v>
      </c>
      <c r="N300" s="5">
        <v>28000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500</v>
      </c>
      <c r="W300" s="5">
        <v>12500</v>
      </c>
      <c r="X300" s="3">
        <v>0</v>
      </c>
      <c r="Y300" s="3">
        <v>0</v>
      </c>
      <c r="Z300" s="3">
        <v>0</v>
      </c>
      <c r="AA300" s="5">
        <v>9000</v>
      </c>
      <c r="AB300" s="6">
        <v>74000</v>
      </c>
      <c r="AD300" s="2" t="str">
        <f>VLOOKUP(E300,'[1]Detailed Transfer Report (12)'!$K:$Y,14,FALSE)</f>
        <v>Sardar Tanveer Ilyas</v>
      </c>
      <c r="AE300" s="16"/>
    </row>
    <row r="301" spans="1:31" x14ac:dyDescent="0.25">
      <c r="A301" s="7">
        <v>105</v>
      </c>
      <c r="B301" s="4">
        <v>42093</v>
      </c>
      <c r="C301" s="3" t="s">
        <v>304</v>
      </c>
      <c r="D301" s="3" t="s">
        <v>499</v>
      </c>
      <c r="E301" s="3">
        <v>11152</v>
      </c>
      <c r="F301" s="3"/>
      <c r="G301" s="3" t="s">
        <v>30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5">
        <v>34000</v>
      </c>
      <c r="N301" s="5">
        <v>52000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5">
        <v>3000</v>
      </c>
      <c r="W301" s="5">
        <v>17000</v>
      </c>
      <c r="X301" s="3">
        <v>0</v>
      </c>
      <c r="Y301" s="3">
        <v>0</v>
      </c>
      <c r="Z301" s="3">
        <v>0</v>
      </c>
      <c r="AA301" s="5">
        <v>17000</v>
      </c>
      <c r="AB301" s="6">
        <v>123000</v>
      </c>
      <c r="AD301" s="2" t="str">
        <f>VLOOKUP(E301,'[1]Detailed Transfer Report (12)'!$K:$Y,14,FALSE)</f>
        <v>Sardar Tanveer Ilyas</v>
      </c>
      <c r="AE301" s="16"/>
    </row>
    <row r="302" spans="1:31" x14ac:dyDescent="0.25">
      <c r="A302" s="10">
        <v>105</v>
      </c>
      <c r="B302" s="4">
        <v>42093</v>
      </c>
      <c r="C302" s="3" t="s">
        <v>495</v>
      </c>
      <c r="D302" s="3" t="s">
        <v>500</v>
      </c>
      <c r="E302" s="3">
        <v>11153</v>
      </c>
      <c r="F302" s="3"/>
      <c r="G302" s="3" t="s">
        <v>30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5">
        <v>18500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5">
        <v>4500</v>
      </c>
      <c r="X302" s="3">
        <v>0</v>
      </c>
      <c r="Y302" s="3">
        <v>0</v>
      </c>
      <c r="Z302" s="3">
        <v>0</v>
      </c>
      <c r="AA302" s="5">
        <v>6000</v>
      </c>
      <c r="AB302" s="6">
        <v>152000</v>
      </c>
      <c r="AD302" s="2" t="str">
        <f>VLOOKUP(E302,'[1]Detailed Transfer Report (12)'!$K:$Y,14,FALSE)</f>
        <v>Sardar Tanveer Ilyas</v>
      </c>
      <c r="AE302" s="16"/>
    </row>
    <row r="303" spans="1:31" x14ac:dyDescent="0.25">
      <c r="A303" s="3">
        <v>106</v>
      </c>
      <c r="B303" s="4">
        <v>42129</v>
      </c>
      <c r="C303" s="3" t="s">
        <v>44</v>
      </c>
      <c r="D303" s="3" t="s">
        <v>501</v>
      </c>
      <c r="E303" s="3">
        <v>11189</v>
      </c>
      <c r="F303" s="3"/>
      <c r="G303" s="3" t="s">
        <v>30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5">
        <v>19900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5">
        <v>8500</v>
      </c>
      <c r="X303" s="3">
        <v>0</v>
      </c>
      <c r="Y303" s="3">
        <v>0</v>
      </c>
      <c r="Z303" s="3">
        <v>0</v>
      </c>
      <c r="AA303" s="5">
        <v>6300</v>
      </c>
      <c r="AB303" s="6">
        <v>34700</v>
      </c>
      <c r="AD303" s="2" t="str">
        <f>VLOOKUP(E303,'[1]Detailed Transfer Report (12)'!$K:$Y,14,FALSE)</f>
        <v>Sardar Tanveer Ilyas</v>
      </c>
      <c r="AE303" s="16"/>
    </row>
    <row r="304" spans="1:31" x14ac:dyDescent="0.25">
      <c r="A304" s="7">
        <v>107</v>
      </c>
      <c r="B304" s="4">
        <v>42136</v>
      </c>
      <c r="C304" s="3" t="s">
        <v>502</v>
      </c>
      <c r="D304" s="3" t="s">
        <v>503</v>
      </c>
      <c r="E304" s="3">
        <v>11181</v>
      </c>
      <c r="F304" s="3"/>
      <c r="G304" s="3" t="s">
        <v>30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5">
        <v>33920</v>
      </c>
      <c r="N304" s="5">
        <v>51880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5">
        <v>25500</v>
      </c>
      <c r="X304" s="3">
        <v>0</v>
      </c>
      <c r="Y304" s="3">
        <v>0</v>
      </c>
      <c r="Z304" s="3">
        <v>0</v>
      </c>
      <c r="AA304" s="5">
        <v>16960</v>
      </c>
      <c r="AB304" s="6">
        <v>128260</v>
      </c>
      <c r="AD304" s="2" t="str">
        <f>VLOOKUP(E304,'[1]Detailed Transfer Report (12)'!$K:$Y,14,FALSE)</f>
        <v>Sardar Tanveer Ilyas</v>
      </c>
      <c r="AE304" s="16"/>
    </row>
    <row r="305" spans="1:31" x14ac:dyDescent="0.25">
      <c r="A305" s="9">
        <v>107</v>
      </c>
      <c r="B305" s="4">
        <v>42136</v>
      </c>
      <c r="C305" s="3" t="s">
        <v>504</v>
      </c>
      <c r="D305" s="3" t="s">
        <v>505</v>
      </c>
      <c r="E305" s="3">
        <v>11182</v>
      </c>
      <c r="F305" s="3"/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5">
        <v>11300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5">
        <v>4500</v>
      </c>
      <c r="X305" s="3">
        <v>0</v>
      </c>
      <c r="Y305" s="3">
        <v>0</v>
      </c>
      <c r="Z305" s="3">
        <v>0</v>
      </c>
      <c r="AA305" s="5">
        <v>3600</v>
      </c>
      <c r="AB305" s="6">
        <v>147660</v>
      </c>
      <c r="AD305" s="2" t="str">
        <f>VLOOKUP(E305,'[1]Detailed Transfer Report (12)'!$K:$Y,14,FALSE)</f>
        <v>Sardar Tanveer Ilyas</v>
      </c>
      <c r="AE305" s="16"/>
    </row>
    <row r="306" spans="1:31" x14ac:dyDescent="0.25">
      <c r="A306" s="9">
        <v>107</v>
      </c>
      <c r="B306" s="4">
        <v>42136</v>
      </c>
      <c r="C306" s="3" t="s">
        <v>153</v>
      </c>
      <c r="D306" s="3" t="s">
        <v>506</v>
      </c>
      <c r="E306" s="3">
        <v>11183</v>
      </c>
      <c r="F306" s="3"/>
      <c r="G306" s="3" t="s">
        <v>30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5">
        <v>5390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5">
        <v>4500</v>
      </c>
      <c r="X306" s="3">
        <v>0</v>
      </c>
      <c r="Y306" s="3">
        <v>0</v>
      </c>
      <c r="Z306" s="3">
        <v>0</v>
      </c>
      <c r="AA306" s="5">
        <v>1630</v>
      </c>
      <c r="AB306" s="6">
        <v>159180</v>
      </c>
      <c r="AD306" s="2" t="str">
        <f>VLOOKUP(E306,'[1]Detailed Transfer Report (12)'!$K:$Y,14,FALSE)</f>
        <v>Sardar Tanveer Ilyas</v>
      </c>
      <c r="AE306" s="16"/>
    </row>
    <row r="307" spans="1:31" x14ac:dyDescent="0.25">
      <c r="A307" s="9">
        <v>107</v>
      </c>
      <c r="B307" s="4">
        <v>42136</v>
      </c>
      <c r="C307" s="3" t="s">
        <v>507</v>
      </c>
      <c r="D307" s="3" t="s">
        <v>508</v>
      </c>
      <c r="E307" s="3">
        <v>11193</v>
      </c>
      <c r="F307" s="3"/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5">
        <v>3250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5">
        <v>1000</v>
      </c>
      <c r="W307" s="5">
        <v>4500</v>
      </c>
      <c r="X307" s="3">
        <v>0</v>
      </c>
      <c r="Y307" s="3">
        <v>0</v>
      </c>
      <c r="Z307" s="3">
        <v>0</v>
      </c>
      <c r="AA307" s="3">
        <v>750</v>
      </c>
      <c r="AB307" s="6">
        <v>168680</v>
      </c>
      <c r="AD307" s="2" t="str">
        <f>VLOOKUP(E307,'[1]Detailed Transfer Report (12)'!$K:$Y,14,FALSE)</f>
        <v>Sardar Tanveer Ilyas</v>
      </c>
      <c r="AE307" s="16"/>
    </row>
    <row r="308" spans="1:31" x14ac:dyDescent="0.25">
      <c r="A308" s="10">
        <v>107</v>
      </c>
      <c r="B308" s="4">
        <v>42136</v>
      </c>
      <c r="C308" s="3" t="s">
        <v>153</v>
      </c>
      <c r="D308" s="3" t="s">
        <v>509</v>
      </c>
      <c r="E308" s="3">
        <v>11184</v>
      </c>
      <c r="F308" s="3"/>
      <c r="G308" s="3" t="s">
        <v>30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5">
        <v>5890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5">
        <v>4500</v>
      </c>
      <c r="X308" s="3">
        <v>0</v>
      </c>
      <c r="Y308" s="3">
        <v>0</v>
      </c>
      <c r="Z308" s="3">
        <v>0</v>
      </c>
      <c r="AA308" s="5">
        <v>1630</v>
      </c>
      <c r="AB308" s="6">
        <v>180700</v>
      </c>
      <c r="AD308" s="2" t="str">
        <f>VLOOKUP(E308,'[1]Detailed Transfer Report (12)'!$K:$Y,14,FALSE)</f>
        <v>Sardar Tanveer Ilyas</v>
      </c>
      <c r="AE308" s="16"/>
    </row>
    <row r="309" spans="1:31" x14ac:dyDescent="0.25">
      <c r="A309" s="3">
        <v>108</v>
      </c>
      <c r="B309" s="4">
        <v>42168</v>
      </c>
      <c r="C309" s="3" t="s">
        <v>510</v>
      </c>
      <c r="D309" s="3" t="s">
        <v>511</v>
      </c>
      <c r="E309" s="3">
        <v>11271</v>
      </c>
      <c r="F309" s="3"/>
      <c r="G309" s="3" t="s">
        <v>30</v>
      </c>
      <c r="H309" s="3">
        <v>0</v>
      </c>
      <c r="I309" s="3">
        <v>0</v>
      </c>
      <c r="J309" s="3">
        <v>0</v>
      </c>
      <c r="K309" s="3">
        <v>0</v>
      </c>
      <c r="L309" s="5">
        <v>1250000</v>
      </c>
      <c r="M309" s="5">
        <v>400000</v>
      </c>
      <c r="N309" s="5">
        <v>601000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5">
        <v>217000</v>
      </c>
      <c r="X309" s="3">
        <v>0</v>
      </c>
      <c r="Y309" s="3">
        <v>0</v>
      </c>
      <c r="Z309" s="3">
        <v>0</v>
      </c>
      <c r="AA309" s="5">
        <v>200000</v>
      </c>
      <c r="AB309" s="6">
        <v>2668000</v>
      </c>
      <c r="AD309" s="2" t="str">
        <f>VLOOKUP(E309,'[1]Detailed Transfer Report (12)'!$K:$Y,14,FALSE)</f>
        <v>Sardar Tanveer Ilyas</v>
      </c>
      <c r="AE309" s="16"/>
    </row>
    <row r="310" spans="1:31" x14ac:dyDescent="0.25">
      <c r="A310" s="3">
        <v>109</v>
      </c>
      <c r="B310" s="4">
        <v>42137</v>
      </c>
      <c r="C310" s="3" t="s">
        <v>512</v>
      </c>
      <c r="D310" s="3" t="s">
        <v>513</v>
      </c>
      <c r="E310" s="3">
        <v>11250</v>
      </c>
      <c r="F310" s="3"/>
      <c r="G310" s="3" t="s">
        <v>30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5">
        <v>11000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5">
        <v>4500</v>
      </c>
      <c r="X310" s="3">
        <v>0</v>
      </c>
      <c r="Y310" s="3">
        <v>0</v>
      </c>
      <c r="Z310" s="3">
        <v>0</v>
      </c>
      <c r="AA310" s="5">
        <v>3500</v>
      </c>
      <c r="AB310" s="6">
        <v>19000</v>
      </c>
      <c r="AD310" s="2" t="str">
        <f>VLOOKUP(E310,'[1]Detailed Transfer Report (12)'!$K:$Y,14,FALSE)</f>
        <v>Sardar Tanveer Ilyas</v>
      </c>
      <c r="AE310" s="16"/>
    </row>
    <row r="311" spans="1:31" x14ac:dyDescent="0.25">
      <c r="A311" s="3">
        <v>110</v>
      </c>
      <c r="B311" s="4">
        <v>42136</v>
      </c>
      <c r="C311" s="3" t="s">
        <v>514</v>
      </c>
      <c r="D311" s="3" t="s">
        <v>515</v>
      </c>
      <c r="E311" s="3">
        <v>11280</v>
      </c>
      <c r="F311" s="3"/>
      <c r="G311" s="3" t="s">
        <v>30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5">
        <v>42000</v>
      </c>
      <c r="N311" s="5">
        <v>64000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5">
        <v>21500</v>
      </c>
      <c r="X311" s="3">
        <v>0</v>
      </c>
      <c r="Y311" s="3">
        <v>0</v>
      </c>
      <c r="Z311" s="3">
        <v>0</v>
      </c>
      <c r="AA311" s="5">
        <v>21000</v>
      </c>
      <c r="AB311" s="6">
        <v>148500</v>
      </c>
      <c r="AD311" s="2" t="str">
        <f>VLOOKUP(E311,'[1]Detailed Transfer Report (12)'!$K:$Y,14,FALSE)</f>
        <v>Sardar Tanveer Ilyas</v>
      </c>
      <c r="AE311" s="16"/>
    </row>
    <row r="312" spans="1:31" x14ac:dyDescent="0.25">
      <c r="A312" s="3">
        <v>111</v>
      </c>
      <c r="B312" s="4">
        <v>44329</v>
      </c>
      <c r="C312" s="3" t="s">
        <v>516</v>
      </c>
      <c r="D312" s="3" t="s">
        <v>517</v>
      </c>
      <c r="E312" s="3">
        <v>11267</v>
      </c>
      <c r="F312" s="3"/>
      <c r="G312" s="3" t="s">
        <v>30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5">
        <v>40000</v>
      </c>
      <c r="N312" s="5">
        <v>61000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5">
        <v>13000</v>
      </c>
      <c r="X312" s="3">
        <v>0</v>
      </c>
      <c r="Y312" s="3">
        <v>0</v>
      </c>
      <c r="Z312" s="3">
        <v>0</v>
      </c>
      <c r="AA312" s="5">
        <v>20000</v>
      </c>
      <c r="AB312" s="6">
        <v>134000</v>
      </c>
      <c r="AD312" s="2" t="str">
        <f>VLOOKUP(E312,'[1]Detailed Transfer Report (12)'!$K:$Y,14,FALSE)</f>
        <v>Sardar Tanveer Ilyas</v>
      </c>
      <c r="AE312" s="16"/>
    </row>
    <row r="313" spans="1:31" x14ac:dyDescent="0.25">
      <c r="A313" s="3">
        <v>112</v>
      </c>
      <c r="B313" s="4">
        <v>42136</v>
      </c>
      <c r="C313" s="3" t="s">
        <v>137</v>
      </c>
      <c r="D313" s="3" t="s">
        <v>518</v>
      </c>
      <c r="E313" s="3">
        <v>11262</v>
      </c>
      <c r="F313" s="3"/>
      <c r="G313" s="3" t="s">
        <v>30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5">
        <v>26500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5">
        <v>4500</v>
      </c>
      <c r="X313" s="3">
        <v>0</v>
      </c>
      <c r="Y313" s="3">
        <v>0</v>
      </c>
      <c r="Z313" s="3">
        <v>0</v>
      </c>
      <c r="AA313" s="5">
        <v>8500</v>
      </c>
      <c r="AB313" s="6">
        <v>39500</v>
      </c>
      <c r="AD313" s="2" t="str">
        <f>VLOOKUP(E313,'[1]Detailed Transfer Report (12)'!$K:$Y,14,FALSE)</f>
        <v>Sardar Tanveer Ilyas</v>
      </c>
      <c r="AE313" s="16"/>
    </row>
    <row r="314" spans="1:31" x14ac:dyDescent="0.25">
      <c r="A314" s="3">
        <v>113</v>
      </c>
      <c r="B314" s="4">
        <v>42137</v>
      </c>
      <c r="C314" s="3" t="s">
        <v>46</v>
      </c>
      <c r="D314" s="3" t="s">
        <v>519</v>
      </c>
      <c r="E314" s="3">
        <v>11261</v>
      </c>
      <c r="F314" s="3"/>
      <c r="G314" s="3" t="s">
        <v>30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5">
        <v>68000</v>
      </c>
      <c r="N314" s="5">
        <v>103000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5">
        <v>17000</v>
      </c>
      <c r="X314" s="3">
        <v>0</v>
      </c>
      <c r="Y314" s="3">
        <v>0</v>
      </c>
      <c r="Z314" s="3">
        <v>0</v>
      </c>
      <c r="AA314" s="5">
        <v>34000</v>
      </c>
      <c r="AB314" s="6">
        <v>222000</v>
      </c>
      <c r="AD314" s="2" t="str">
        <f>VLOOKUP(E314,'[1]Detailed Transfer Report (12)'!$K:$Y,14,FALSE)</f>
        <v>Sardar Tanveer Ilyas</v>
      </c>
      <c r="AE314" s="16"/>
    </row>
    <row r="315" spans="1:31" x14ac:dyDescent="0.25">
      <c r="A315" s="3">
        <v>114</v>
      </c>
      <c r="B315" s="4">
        <v>42093</v>
      </c>
      <c r="C315" s="3" t="s">
        <v>308</v>
      </c>
      <c r="D315" s="3" t="s">
        <v>520</v>
      </c>
      <c r="E315" s="3">
        <v>11177</v>
      </c>
      <c r="F315" s="3"/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5">
        <v>7250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5">
        <v>8500</v>
      </c>
      <c r="X315" s="3">
        <v>0</v>
      </c>
      <c r="Y315" s="3">
        <v>0</v>
      </c>
      <c r="Z315" s="3">
        <v>0</v>
      </c>
      <c r="AA315" s="5">
        <v>2250</v>
      </c>
      <c r="AB315" s="6">
        <v>18000</v>
      </c>
      <c r="AD315" s="2" t="str">
        <f>VLOOKUP(E315,'[1]Detailed Transfer Report (12)'!$K:$Y,14,FALSE)</f>
        <v>Sardar Tanveer Ilyas</v>
      </c>
      <c r="AE315" s="16"/>
    </row>
    <row r="316" spans="1:31" x14ac:dyDescent="0.25">
      <c r="A316" s="3">
        <v>116</v>
      </c>
      <c r="B316" s="4">
        <v>42132</v>
      </c>
      <c r="C316" s="3" t="s">
        <v>521</v>
      </c>
      <c r="D316" s="3" t="s">
        <v>522</v>
      </c>
      <c r="E316" s="3">
        <v>11269</v>
      </c>
      <c r="F316" s="3"/>
      <c r="G316" s="3" t="s">
        <v>30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5">
        <v>52000</v>
      </c>
      <c r="N316" s="5">
        <v>79000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5">
        <v>8500</v>
      </c>
      <c r="X316" s="3">
        <v>0</v>
      </c>
      <c r="Y316" s="3">
        <v>0</v>
      </c>
      <c r="Z316" s="3">
        <v>0</v>
      </c>
      <c r="AA316" s="5">
        <v>26000</v>
      </c>
      <c r="AB316" s="6">
        <v>165500</v>
      </c>
      <c r="AD316" s="2" t="str">
        <f>VLOOKUP(E316,'[1]Detailed Transfer Report (12)'!$K:$Y,14,FALSE)</f>
        <v>Sardar Tanveer Ilyas</v>
      </c>
      <c r="AE316" s="16"/>
    </row>
    <row r="317" spans="1:31" x14ac:dyDescent="0.25">
      <c r="A317" s="7">
        <v>117</v>
      </c>
      <c r="B317" s="4">
        <v>43563</v>
      </c>
      <c r="C317" s="3" t="s">
        <v>323</v>
      </c>
      <c r="D317" s="3" t="s">
        <v>523</v>
      </c>
      <c r="E317" s="3">
        <v>1194</v>
      </c>
      <c r="F317" s="3"/>
      <c r="G317" s="3" t="s">
        <v>41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5">
        <v>48000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5">
        <v>34000</v>
      </c>
      <c r="X317" s="3">
        <v>0</v>
      </c>
      <c r="Y317" s="3">
        <v>0</v>
      </c>
      <c r="Z317" s="3">
        <v>0</v>
      </c>
      <c r="AA317" s="5">
        <v>16000</v>
      </c>
      <c r="AB317" s="6">
        <v>98000</v>
      </c>
      <c r="AD317" s="2" t="str">
        <f>VLOOKUP(E317,'[1]Detailed Transfer Report (12)'!$K:$Y,14,FALSE)</f>
        <v>Sardar Tanveer Ilyas</v>
      </c>
      <c r="AE317" s="16"/>
    </row>
    <row r="318" spans="1:31" x14ac:dyDescent="0.25">
      <c r="A318" s="9">
        <v>117</v>
      </c>
      <c r="B318" s="4">
        <v>43563</v>
      </c>
      <c r="C318" s="3" t="s">
        <v>524</v>
      </c>
      <c r="D318" s="3" t="s">
        <v>525</v>
      </c>
      <c r="E318" s="3">
        <v>1192</v>
      </c>
      <c r="F318" s="3"/>
      <c r="G318" s="3" t="s">
        <v>41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5">
        <v>845400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5">
        <v>1500</v>
      </c>
      <c r="W318" s="5">
        <v>340250</v>
      </c>
      <c r="X318" s="3">
        <v>0</v>
      </c>
      <c r="Y318" s="3">
        <v>0</v>
      </c>
      <c r="Z318" s="3">
        <v>0</v>
      </c>
      <c r="AA318" s="5">
        <v>245280</v>
      </c>
      <c r="AB318" s="6">
        <v>1530430</v>
      </c>
      <c r="AD318" s="2" t="str">
        <f>VLOOKUP(E318,'[1]Detailed Transfer Report (12)'!$K:$Y,14,FALSE)</f>
        <v>Sardar Tanveer Ilyas</v>
      </c>
      <c r="AE318" s="16"/>
    </row>
    <row r="319" spans="1:31" x14ac:dyDescent="0.25">
      <c r="A319" s="10">
        <v>117</v>
      </c>
      <c r="B319" s="4">
        <v>43563</v>
      </c>
      <c r="C319" s="3" t="s">
        <v>526</v>
      </c>
      <c r="D319" s="3" t="s">
        <v>527</v>
      </c>
      <c r="E319" s="3">
        <v>1193</v>
      </c>
      <c r="F319" s="3"/>
      <c r="G319" s="3" t="s">
        <v>41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5">
        <v>36000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5">
        <v>21500</v>
      </c>
      <c r="X319" s="3">
        <v>0</v>
      </c>
      <c r="Y319" s="3">
        <v>0</v>
      </c>
      <c r="Z319" s="3">
        <v>0</v>
      </c>
      <c r="AA319" s="5">
        <v>12000</v>
      </c>
      <c r="AB319" s="6">
        <v>1599930</v>
      </c>
      <c r="AD319" s="2" t="str">
        <f>VLOOKUP(E319,'[1]Detailed Transfer Report (12)'!$K:$Y,14,FALSE)</f>
        <v>Sardar Tanveer Ilyas</v>
      </c>
      <c r="AE319" s="16"/>
    </row>
    <row r="320" spans="1:31" x14ac:dyDescent="0.25">
      <c r="A320" s="3">
        <v>118</v>
      </c>
      <c r="B320" s="4">
        <v>42177</v>
      </c>
      <c r="C320" s="3" t="s">
        <v>528</v>
      </c>
      <c r="D320" s="3" t="s">
        <v>529</v>
      </c>
      <c r="E320" s="3">
        <v>11364</v>
      </c>
      <c r="F320" s="3"/>
      <c r="G320" s="3" t="s">
        <v>30</v>
      </c>
      <c r="H320" s="3">
        <v>0</v>
      </c>
      <c r="I320" s="3">
        <v>0</v>
      </c>
      <c r="J320" s="3">
        <v>0</v>
      </c>
      <c r="K320" s="3">
        <v>0</v>
      </c>
      <c r="L320" s="5">
        <v>800000</v>
      </c>
      <c r="M320" s="5">
        <v>500000</v>
      </c>
      <c r="N320" s="5">
        <v>751000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5">
        <v>1000</v>
      </c>
      <c r="W320" s="5">
        <v>136000</v>
      </c>
      <c r="X320" s="3">
        <v>0</v>
      </c>
      <c r="Y320" s="3">
        <v>0</v>
      </c>
      <c r="Z320" s="3">
        <v>0</v>
      </c>
      <c r="AA320" s="5">
        <v>250000</v>
      </c>
      <c r="AB320" s="6">
        <v>2438000</v>
      </c>
      <c r="AD320" s="2" t="str">
        <f>VLOOKUP(E320,'[1]Detailed Transfer Report (12)'!$K:$Y,14,FALSE)</f>
        <v>Sardar Tanveer Ilyas</v>
      </c>
      <c r="AE320" s="16"/>
    </row>
    <row r="321" spans="1:31" x14ac:dyDescent="0.25">
      <c r="A321" s="3">
        <v>119</v>
      </c>
      <c r="B321" s="4">
        <v>42168</v>
      </c>
      <c r="C321" s="3" t="s">
        <v>313</v>
      </c>
      <c r="D321" s="3" t="s">
        <v>530</v>
      </c>
      <c r="E321" s="3">
        <v>11316</v>
      </c>
      <c r="F321" s="3"/>
      <c r="G321" s="3" t="s">
        <v>30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5">
        <v>19900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5">
        <v>200000</v>
      </c>
      <c r="W321" s="5">
        <v>8500</v>
      </c>
      <c r="X321" s="3">
        <v>0</v>
      </c>
      <c r="Y321" s="3">
        <v>0</v>
      </c>
      <c r="Z321" s="3">
        <v>500</v>
      </c>
      <c r="AA321" s="5">
        <v>6300</v>
      </c>
      <c r="AB321" s="6">
        <v>235200</v>
      </c>
      <c r="AD321" s="2" t="str">
        <f>VLOOKUP(E321,'[1]Detailed Transfer Report (12)'!$K:$Y,14,FALSE)</f>
        <v>Sardar Tanveer Ilyas</v>
      </c>
      <c r="AE321" s="16"/>
    </row>
    <row r="322" spans="1:31" x14ac:dyDescent="0.25">
      <c r="A322" s="3">
        <v>120</v>
      </c>
      <c r="B322" s="4">
        <v>42186</v>
      </c>
      <c r="C322" s="3" t="s">
        <v>531</v>
      </c>
      <c r="D322" s="3" t="s">
        <v>532</v>
      </c>
      <c r="E322" s="3">
        <v>11395</v>
      </c>
      <c r="F322" s="3"/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5">
        <v>43000</v>
      </c>
      <c r="N322" s="5">
        <v>65500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5">
        <v>25500</v>
      </c>
      <c r="X322" s="3">
        <v>0</v>
      </c>
      <c r="Y322" s="3">
        <v>0</v>
      </c>
      <c r="Z322" s="3">
        <v>0</v>
      </c>
      <c r="AA322" s="5">
        <v>21500</v>
      </c>
      <c r="AB322" s="6">
        <v>155500</v>
      </c>
      <c r="AD322" s="2" t="str">
        <f>VLOOKUP(E322,'[1]Detailed Transfer Report (12)'!$K:$Y,14,FALSE)</f>
        <v>Sardar Tanveer Ilyas</v>
      </c>
      <c r="AE322" s="16"/>
    </row>
    <row r="323" spans="1:31" x14ac:dyDescent="0.25">
      <c r="A323" s="3">
        <v>121</v>
      </c>
      <c r="B323" s="4">
        <v>42186</v>
      </c>
      <c r="C323" s="3" t="s">
        <v>278</v>
      </c>
      <c r="D323" s="3" t="s">
        <v>533</v>
      </c>
      <c r="E323" s="3">
        <v>11396</v>
      </c>
      <c r="F323" s="3"/>
      <c r="G323" s="3" t="s">
        <v>30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5">
        <v>37500</v>
      </c>
      <c r="N323" s="5">
        <v>57250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5">
        <v>21500</v>
      </c>
      <c r="X323" s="3">
        <v>0</v>
      </c>
      <c r="Y323" s="3">
        <v>0</v>
      </c>
      <c r="Z323" s="3">
        <v>0</v>
      </c>
      <c r="AA323" s="5">
        <v>18750</v>
      </c>
      <c r="AB323" s="6">
        <v>135000</v>
      </c>
      <c r="AD323" s="2" t="str">
        <f>VLOOKUP(E323,'[1]Detailed Transfer Report (12)'!$K:$Y,14,FALSE)</f>
        <v>Sardar Tanveer Ilyas</v>
      </c>
      <c r="AE323" s="16"/>
    </row>
    <row r="324" spans="1:31" x14ac:dyDescent="0.25">
      <c r="A324" s="3">
        <v>122</v>
      </c>
      <c r="B324" s="4">
        <v>42194</v>
      </c>
      <c r="C324" s="3" t="s">
        <v>534</v>
      </c>
      <c r="D324" s="3" t="s">
        <v>535</v>
      </c>
      <c r="E324" s="3">
        <v>11365</v>
      </c>
      <c r="F324" s="3"/>
      <c r="G324" s="3" t="s">
        <v>30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5">
        <v>7900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5">
        <v>4500</v>
      </c>
      <c r="X324" s="3">
        <v>0</v>
      </c>
      <c r="Y324" s="3">
        <v>0</v>
      </c>
      <c r="Z324" s="3">
        <v>0</v>
      </c>
      <c r="AA324" s="5">
        <v>2300</v>
      </c>
      <c r="AB324" s="6">
        <v>14700</v>
      </c>
      <c r="AD324" s="2" t="str">
        <f>VLOOKUP(E324,'[1]Detailed Transfer Report (12)'!$K:$Y,14,FALSE)</f>
        <v>Sardar Tanveer Ilyas</v>
      </c>
      <c r="AE324" s="16"/>
    </row>
    <row r="325" spans="1:31" x14ac:dyDescent="0.25">
      <c r="A325" s="3">
        <v>123</v>
      </c>
      <c r="B325" s="4">
        <v>42179</v>
      </c>
      <c r="C325" s="3" t="s">
        <v>536</v>
      </c>
      <c r="D325" s="3" t="s">
        <v>537</v>
      </c>
      <c r="E325" s="3">
        <v>11375</v>
      </c>
      <c r="F325" s="3"/>
      <c r="G325" s="3" t="s">
        <v>30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5">
        <v>5050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200</v>
      </c>
      <c r="W325" s="5">
        <v>4500</v>
      </c>
      <c r="X325" s="3">
        <v>0</v>
      </c>
      <c r="Y325" s="3">
        <v>0</v>
      </c>
      <c r="Z325" s="3">
        <v>0</v>
      </c>
      <c r="AA325" s="5">
        <v>1350</v>
      </c>
      <c r="AB325" s="6">
        <v>11100</v>
      </c>
      <c r="AD325" s="2" t="str">
        <f>VLOOKUP(E325,'[1]Detailed Transfer Report (12)'!$K:$Y,14,FALSE)</f>
        <v>Sardar Tanveer Ilyas</v>
      </c>
      <c r="AE325" s="16"/>
    </row>
    <row r="326" spans="1:31" x14ac:dyDescent="0.25">
      <c r="A326" s="3">
        <v>124</v>
      </c>
      <c r="B326" s="4">
        <v>42177</v>
      </c>
      <c r="C326" s="3" t="s">
        <v>377</v>
      </c>
      <c r="D326" s="3" t="s">
        <v>538</v>
      </c>
      <c r="E326" s="3">
        <v>11363</v>
      </c>
      <c r="F326" s="3"/>
      <c r="G326" s="3" t="s">
        <v>30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5">
        <v>9160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5">
        <v>4500</v>
      </c>
      <c r="X326" s="3">
        <v>0</v>
      </c>
      <c r="Y326" s="3">
        <v>0</v>
      </c>
      <c r="Z326" s="3">
        <v>0</v>
      </c>
      <c r="AA326" s="5">
        <v>2720</v>
      </c>
      <c r="AB326" s="6">
        <v>16380</v>
      </c>
      <c r="AD326" s="2" t="str">
        <f>VLOOKUP(E326,'[1]Detailed Transfer Report (12)'!$K:$Y,14,FALSE)</f>
        <v>Sardar Tanveer Ilyas</v>
      </c>
      <c r="AE326" s="16"/>
    </row>
    <row r="327" spans="1:31" x14ac:dyDescent="0.25">
      <c r="A327" s="3">
        <v>125</v>
      </c>
      <c r="B327" s="4">
        <v>42196</v>
      </c>
      <c r="C327" s="3" t="s">
        <v>539</v>
      </c>
      <c r="D327" s="3" t="s">
        <v>540</v>
      </c>
      <c r="E327" s="3">
        <v>11416</v>
      </c>
      <c r="F327" s="3"/>
      <c r="G327" s="3" t="s">
        <v>30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5">
        <v>11800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5">
        <v>4500</v>
      </c>
      <c r="X327" s="3">
        <v>0</v>
      </c>
      <c r="Y327" s="3">
        <v>0</v>
      </c>
      <c r="Z327" s="3">
        <v>0</v>
      </c>
      <c r="AA327" s="5">
        <v>3600</v>
      </c>
      <c r="AB327" s="6">
        <v>19900</v>
      </c>
      <c r="AD327" s="2" t="str">
        <f>VLOOKUP(E327,'[1]Detailed Transfer Report (12)'!$K:$Y,14,FALSE)</f>
        <v>Sardar Tanveer Ilyas</v>
      </c>
      <c r="AE327" s="16"/>
    </row>
    <row r="328" spans="1:31" x14ac:dyDescent="0.25">
      <c r="A328" s="3">
        <v>126</v>
      </c>
      <c r="B328" s="4">
        <v>42196</v>
      </c>
      <c r="C328" s="3" t="s">
        <v>375</v>
      </c>
      <c r="D328" s="3" t="s">
        <v>541</v>
      </c>
      <c r="E328" s="3">
        <v>11301</v>
      </c>
      <c r="F328" s="3"/>
      <c r="G328" s="3" t="s">
        <v>30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5">
        <v>10450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5">
        <v>4500</v>
      </c>
      <c r="X328" s="3">
        <v>0</v>
      </c>
      <c r="Y328" s="3">
        <v>0</v>
      </c>
      <c r="Z328" s="3">
        <v>0</v>
      </c>
      <c r="AA328" s="5">
        <v>3150</v>
      </c>
      <c r="AB328" s="6">
        <v>18100</v>
      </c>
      <c r="AD328" s="2" t="str">
        <f>VLOOKUP(E328,'[1]Detailed Transfer Report (12)'!$K:$Y,14,FALSE)</f>
        <v>Sardar Tanveer Ilyas</v>
      </c>
      <c r="AE328" s="16"/>
    </row>
    <row r="329" spans="1:31" x14ac:dyDescent="0.25">
      <c r="A329" s="7">
        <v>127</v>
      </c>
      <c r="B329" s="4">
        <v>42207</v>
      </c>
      <c r="C329" s="3" t="s">
        <v>536</v>
      </c>
      <c r="D329" s="3" t="s">
        <v>542</v>
      </c>
      <c r="E329" s="3">
        <v>11297</v>
      </c>
      <c r="F329" s="3"/>
      <c r="G329" s="3" t="s">
        <v>30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8">
        <v>0</v>
      </c>
      <c r="AE329" s="16"/>
    </row>
    <row r="330" spans="1:31" x14ac:dyDescent="0.25">
      <c r="A330" s="10">
        <v>127</v>
      </c>
      <c r="B330" s="4">
        <v>42207</v>
      </c>
      <c r="C330" s="3" t="s">
        <v>543</v>
      </c>
      <c r="D330" s="3" t="s">
        <v>544</v>
      </c>
      <c r="E330" s="3">
        <v>11361</v>
      </c>
      <c r="F330" s="3"/>
      <c r="G330" s="3" t="s">
        <v>30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5">
        <v>5800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5">
        <v>4500</v>
      </c>
      <c r="X330" s="3">
        <v>0</v>
      </c>
      <c r="Y330" s="3">
        <v>0</v>
      </c>
      <c r="Z330" s="3">
        <v>0</v>
      </c>
      <c r="AA330" s="5">
        <v>1600</v>
      </c>
      <c r="AB330" s="6">
        <v>11900</v>
      </c>
      <c r="AD330" s="2" t="str">
        <f>VLOOKUP(E330,'[1]Detailed Transfer Report (12)'!$K:$Y,14,FALSE)</f>
        <v>Sardar Tanveer Ilyas</v>
      </c>
      <c r="AE330" s="16"/>
    </row>
    <row r="331" spans="1:31" x14ac:dyDescent="0.25">
      <c r="A331" s="3">
        <v>128</v>
      </c>
      <c r="B331" s="4">
        <v>42227</v>
      </c>
      <c r="C331" s="3" t="s">
        <v>545</v>
      </c>
      <c r="D331" s="3" t="s">
        <v>546</v>
      </c>
      <c r="E331" s="3">
        <v>11480</v>
      </c>
      <c r="F331" s="3"/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5">
        <v>90500</v>
      </c>
      <c r="N331" s="5">
        <v>136750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5">
        <v>51000</v>
      </c>
      <c r="X331" s="3">
        <v>0</v>
      </c>
      <c r="Y331" s="3">
        <v>0</v>
      </c>
      <c r="Z331" s="3">
        <v>0</v>
      </c>
      <c r="AA331" s="5">
        <v>45250</v>
      </c>
      <c r="AB331" s="6">
        <v>323500</v>
      </c>
      <c r="AD331" s="2" t="str">
        <f>VLOOKUP(E331,'[1]Detailed Transfer Report (12)'!$K:$Y,14,FALSE)</f>
        <v>Sardar Tanveer Ilyas</v>
      </c>
      <c r="AE331" s="16"/>
    </row>
    <row r="332" spans="1:31" x14ac:dyDescent="0.25">
      <c r="A332" s="3">
        <v>129</v>
      </c>
      <c r="B332" s="4">
        <v>42237</v>
      </c>
      <c r="C332" s="3" t="s">
        <v>44</v>
      </c>
      <c r="D332" s="3" t="s">
        <v>547</v>
      </c>
      <c r="E332" s="3">
        <v>11508</v>
      </c>
      <c r="F332" s="3"/>
      <c r="G332" s="3" t="s">
        <v>30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5">
        <v>32000</v>
      </c>
      <c r="N332" s="5">
        <v>49000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5">
        <v>8500</v>
      </c>
      <c r="X332" s="3">
        <v>0</v>
      </c>
      <c r="Y332" s="3">
        <v>0</v>
      </c>
      <c r="Z332" s="3">
        <v>0</v>
      </c>
      <c r="AA332" s="5">
        <v>16000</v>
      </c>
      <c r="AB332" s="6">
        <v>105500</v>
      </c>
      <c r="AD332" s="2" t="str">
        <f>VLOOKUP(E332,'[1]Detailed Transfer Report (12)'!$K:$Y,14,FALSE)</f>
        <v>Sardar Tanveer Ilyas</v>
      </c>
      <c r="AE332" s="16"/>
    </row>
    <row r="333" spans="1:31" x14ac:dyDescent="0.25">
      <c r="A333" s="7">
        <v>130</v>
      </c>
      <c r="B333" s="4">
        <v>42213</v>
      </c>
      <c r="C333" s="3" t="s">
        <v>548</v>
      </c>
      <c r="D333" s="3" t="s">
        <v>549</v>
      </c>
      <c r="E333" s="3">
        <v>11431</v>
      </c>
      <c r="F333" s="3"/>
      <c r="G333" s="3" t="s">
        <v>30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5">
        <v>120800</v>
      </c>
      <c r="N333" s="5">
        <v>182200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5">
        <v>42500</v>
      </c>
      <c r="X333" s="3">
        <v>0</v>
      </c>
      <c r="Y333" s="3">
        <v>0</v>
      </c>
      <c r="Z333" s="3">
        <v>0</v>
      </c>
      <c r="AA333" s="5">
        <v>60400</v>
      </c>
      <c r="AB333" s="6">
        <v>405900</v>
      </c>
      <c r="AD333" s="2" t="str">
        <f>VLOOKUP(E333,'[1]Detailed Transfer Report (12)'!$K:$Y,14,FALSE)</f>
        <v>Sardar M Sagheer Khan</v>
      </c>
      <c r="AE333" s="16"/>
    </row>
    <row r="334" spans="1:31" x14ac:dyDescent="0.25">
      <c r="A334" s="9">
        <v>130</v>
      </c>
      <c r="B334" s="4">
        <v>42213</v>
      </c>
      <c r="C334" s="3" t="s">
        <v>31</v>
      </c>
      <c r="D334" s="3" t="s">
        <v>550</v>
      </c>
      <c r="E334" s="3">
        <v>11432</v>
      </c>
      <c r="F334" s="3"/>
      <c r="G334" s="3" t="s">
        <v>30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5">
        <v>31000</v>
      </c>
      <c r="N334" s="5">
        <v>47500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5">
        <v>13000</v>
      </c>
      <c r="X334" s="3">
        <v>0</v>
      </c>
      <c r="Y334" s="3">
        <v>0</v>
      </c>
      <c r="Z334" s="3">
        <v>0</v>
      </c>
      <c r="AA334" s="5">
        <v>15500</v>
      </c>
      <c r="AB334" s="6">
        <v>512900</v>
      </c>
      <c r="AD334" s="2" t="str">
        <f>VLOOKUP(E334,'[1]Detailed Transfer Report (12)'!$K:$Y,14,FALSE)</f>
        <v>Sardar M Sagheer Khan</v>
      </c>
      <c r="AE334" s="16"/>
    </row>
    <row r="335" spans="1:31" x14ac:dyDescent="0.25">
      <c r="A335" s="9">
        <v>130</v>
      </c>
      <c r="B335" s="4">
        <v>42213</v>
      </c>
      <c r="C335" s="3" t="s">
        <v>551</v>
      </c>
      <c r="D335" s="3" t="s">
        <v>552</v>
      </c>
      <c r="E335" s="3">
        <v>11433</v>
      </c>
      <c r="F335" s="3"/>
      <c r="G335" s="3" t="s">
        <v>30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5">
        <v>41400</v>
      </c>
      <c r="N335" s="5">
        <v>63100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5">
        <v>17000</v>
      </c>
      <c r="X335" s="3">
        <v>0</v>
      </c>
      <c r="Y335" s="3">
        <v>0</v>
      </c>
      <c r="Z335" s="3">
        <v>0</v>
      </c>
      <c r="AA335" s="5">
        <v>20700</v>
      </c>
      <c r="AB335" s="6">
        <v>655100</v>
      </c>
      <c r="AD335" s="2" t="str">
        <f>VLOOKUP(E335,'[1]Detailed Transfer Report (12)'!$K:$Y,14,FALSE)</f>
        <v>Sardar M Sagheer Khan</v>
      </c>
      <c r="AE335" s="16"/>
    </row>
    <row r="336" spans="1:31" x14ac:dyDescent="0.25">
      <c r="A336" s="9">
        <v>130</v>
      </c>
      <c r="B336" s="4">
        <v>42213</v>
      </c>
      <c r="C336" s="3" t="s">
        <v>553</v>
      </c>
      <c r="D336" s="3" t="s">
        <v>554</v>
      </c>
      <c r="E336" s="3">
        <v>11434</v>
      </c>
      <c r="F336" s="3"/>
      <c r="G336" s="3" t="s">
        <v>30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5">
        <v>20800</v>
      </c>
      <c r="N336" s="5">
        <v>32200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5">
        <v>8500</v>
      </c>
      <c r="X336" s="3">
        <v>0</v>
      </c>
      <c r="Y336" s="3">
        <v>0</v>
      </c>
      <c r="Z336" s="3">
        <v>0</v>
      </c>
      <c r="AA336" s="5">
        <v>10400</v>
      </c>
      <c r="AB336" s="6">
        <v>727000</v>
      </c>
      <c r="AD336" s="2" t="str">
        <f>VLOOKUP(E336,'[1]Detailed Transfer Report (12)'!$K:$Y,14,FALSE)</f>
        <v>Sardar M Sagheer Khan</v>
      </c>
      <c r="AE336" s="16"/>
    </row>
    <row r="337" spans="1:31" x14ac:dyDescent="0.25">
      <c r="A337" s="10">
        <v>130</v>
      </c>
      <c r="B337" s="4">
        <v>42213</v>
      </c>
      <c r="C337" s="3" t="s">
        <v>555</v>
      </c>
      <c r="D337" s="3" t="s">
        <v>556</v>
      </c>
      <c r="E337" s="3">
        <v>11435</v>
      </c>
      <c r="F337" s="3"/>
      <c r="G337" s="3" t="s">
        <v>30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5">
        <v>28600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5">
        <v>1000</v>
      </c>
      <c r="W337" s="5">
        <v>8500</v>
      </c>
      <c r="X337" s="3">
        <v>0</v>
      </c>
      <c r="Y337" s="3">
        <v>0</v>
      </c>
      <c r="Z337" s="3">
        <v>0</v>
      </c>
      <c r="AA337" s="5">
        <v>9200</v>
      </c>
      <c r="AB337" s="6">
        <v>774300</v>
      </c>
      <c r="AD337" s="2" t="str">
        <f>VLOOKUP(E337,'[1]Detailed Transfer Report (12)'!$K:$Y,14,FALSE)</f>
        <v>Sardar M Sagheer Khan</v>
      </c>
      <c r="AE337" s="16"/>
    </row>
    <row r="338" spans="1:31" x14ac:dyDescent="0.25">
      <c r="A338" s="3">
        <v>131</v>
      </c>
      <c r="B338" s="4">
        <v>42214</v>
      </c>
      <c r="C338" s="3" t="s">
        <v>53</v>
      </c>
      <c r="D338" s="3" t="s">
        <v>557</v>
      </c>
      <c r="E338" s="3">
        <v>11421</v>
      </c>
      <c r="F338" s="3"/>
      <c r="G338" s="3" t="s">
        <v>30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5">
        <v>79000</v>
      </c>
      <c r="N338" s="5">
        <v>119500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5">
        <v>47000</v>
      </c>
      <c r="X338" s="3">
        <v>0</v>
      </c>
      <c r="Y338" s="3">
        <v>0</v>
      </c>
      <c r="Z338" s="3">
        <v>0</v>
      </c>
      <c r="AA338" s="5">
        <v>39500</v>
      </c>
      <c r="AB338" s="6">
        <v>285000</v>
      </c>
      <c r="AD338" s="2" t="str">
        <f>VLOOKUP(E338,'[1]Detailed Transfer Report (12)'!$K:$Y,14,FALSE)</f>
        <v>Sardar Tanveer Ilyas</v>
      </c>
      <c r="AE338" s="16"/>
    </row>
    <row r="339" spans="1:31" x14ac:dyDescent="0.25">
      <c r="A339" s="3">
        <v>132</v>
      </c>
      <c r="B339" s="4">
        <v>42214</v>
      </c>
      <c r="C339" s="3" t="s">
        <v>558</v>
      </c>
      <c r="D339" s="3" t="s">
        <v>559</v>
      </c>
      <c r="E339" s="3">
        <v>11422</v>
      </c>
      <c r="F339" s="3"/>
      <c r="G339" s="3" t="s">
        <v>30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5">
        <v>17800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5">
        <v>4500</v>
      </c>
      <c r="X339" s="3">
        <v>0</v>
      </c>
      <c r="Y339" s="3">
        <v>0</v>
      </c>
      <c r="Z339" s="3">
        <v>0</v>
      </c>
      <c r="AA339" s="5">
        <v>5600</v>
      </c>
      <c r="AB339" s="6">
        <v>27900</v>
      </c>
      <c r="AD339" s="2" t="str">
        <f>VLOOKUP(E339,'[1]Detailed Transfer Report (12)'!$K:$Y,14,FALSE)</f>
        <v>Sardar Tanveer Ilyas</v>
      </c>
      <c r="AE339" s="16"/>
    </row>
    <row r="340" spans="1:31" x14ac:dyDescent="0.25">
      <c r="A340" s="3">
        <v>133</v>
      </c>
      <c r="B340" s="4">
        <v>42214</v>
      </c>
      <c r="C340" s="3" t="s">
        <v>118</v>
      </c>
      <c r="D340" s="3" t="s">
        <v>560</v>
      </c>
      <c r="E340" s="3">
        <v>11423</v>
      </c>
      <c r="F340" s="3"/>
      <c r="G340" s="3" t="s">
        <v>30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5">
        <v>83400</v>
      </c>
      <c r="N340" s="5">
        <v>126100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5">
        <v>51000</v>
      </c>
      <c r="X340" s="3">
        <v>0</v>
      </c>
      <c r="Y340" s="3">
        <v>0</v>
      </c>
      <c r="Z340" s="3">
        <v>0</v>
      </c>
      <c r="AA340" s="5">
        <v>41700</v>
      </c>
      <c r="AB340" s="6">
        <v>302200</v>
      </c>
      <c r="AD340" s="2" t="str">
        <f>VLOOKUP(E340,'[1]Detailed Transfer Report (12)'!$K:$Y,14,FALSE)</f>
        <v>Sardar Tanveer Ilyas</v>
      </c>
      <c r="AE340" s="16"/>
    </row>
    <row r="341" spans="1:31" x14ac:dyDescent="0.25">
      <c r="A341" s="3">
        <v>134</v>
      </c>
      <c r="B341" s="4">
        <v>42214</v>
      </c>
      <c r="C341" s="3" t="s">
        <v>561</v>
      </c>
      <c r="D341" s="3" t="s">
        <v>562</v>
      </c>
      <c r="E341" s="3">
        <v>11424</v>
      </c>
      <c r="F341" s="3"/>
      <c r="G341" s="3" t="s">
        <v>30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5">
        <v>22000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5">
        <v>8500</v>
      </c>
      <c r="X341" s="3">
        <v>0</v>
      </c>
      <c r="Y341" s="3">
        <v>0</v>
      </c>
      <c r="Z341" s="3">
        <v>0</v>
      </c>
      <c r="AA341" s="5">
        <v>7000</v>
      </c>
      <c r="AB341" s="6">
        <v>37500</v>
      </c>
      <c r="AD341" s="2" t="str">
        <f>VLOOKUP(E341,'[1]Detailed Transfer Report (12)'!$K:$Y,14,FALSE)</f>
        <v>Sardar Tanveer Ilyas</v>
      </c>
      <c r="AE341" s="16"/>
    </row>
    <row r="342" spans="1:31" x14ac:dyDescent="0.25">
      <c r="A342" s="3">
        <v>135</v>
      </c>
      <c r="B342" s="4">
        <v>42214</v>
      </c>
      <c r="C342" s="3" t="s">
        <v>563</v>
      </c>
      <c r="D342" s="3" t="s">
        <v>564</v>
      </c>
      <c r="E342" s="3">
        <v>11417</v>
      </c>
      <c r="F342" s="3"/>
      <c r="G342" s="3" t="s">
        <v>30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5">
        <v>50400</v>
      </c>
      <c r="N342" s="5">
        <v>76600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5">
        <v>30000</v>
      </c>
      <c r="X342" s="3">
        <v>0</v>
      </c>
      <c r="Y342" s="3">
        <v>0</v>
      </c>
      <c r="Z342" s="3">
        <v>0</v>
      </c>
      <c r="AA342" s="5">
        <v>25200</v>
      </c>
      <c r="AB342" s="6">
        <v>182200</v>
      </c>
      <c r="AD342" s="2" t="str">
        <f>VLOOKUP(E342,'[1]Detailed Transfer Report (12)'!$K:$Y,14,FALSE)</f>
        <v>Sardar Tanveer Ilyas</v>
      </c>
      <c r="AE342" s="16"/>
    </row>
    <row r="343" spans="1:31" x14ac:dyDescent="0.25">
      <c r="A343" s="3">
        <v>136</v>
      </c>
      <c r="B343" s="4">
        <v>42214</v>
      </c>
      <c r="C343" s="3" t="s">
        <v>565</v>
      </c>
      <c r="D343" s="3" t="s">
        <v>566</v>
      </c>
      <c r="E343" s="3">
        <v>11420</v>
      </c>
      <c r="F343" s="3"/>
      <c r="G343" s="3" t="s">
        <v>30</v>
      </c>
      <c r="H343" s="3">
        <v>0</v>
      </c>
      <c r="I343" s="3">
        <v>0</v>
      </c>
      <c r="J343" s="3">
        <v>0</v>
      </c>
      <c r="K343" s="3">
        <v>0</v>
      </c>
      <c r="L343" s="5">
        <v>262500</v>
      </c>
      <c r="M343" s="5">
        <v>84400</v>
      </c>
      <c r="N343" s="5">
        <v>127600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5">
        <v>47000</v>
      </c>
      <c r="X343" s="3">
        <v>0</v>
      </c>
      <c r="Y343" s="3">
        <v>0</v>
      </c>
      <c r="Z343" s="3">
        <v>0</v>
      </c>
      <c r="AA343" s="5">
        <v>42200</v>
      </c>
      <c r="AB343" s="6">
        <v>563700</v>
      </c>
      <c r="AD343" s="2" t="str">
        <f>VLOOKUP(E343,'[1]Detailed Transfer Report (12)'!$K:$Y,14,FALSE)</f>
        <v>Sardar Tanveer Ilyas</v>
      </c>
      <c r="AE343" s="16"/>
    </row>
    <row r="344" spans="1:31" x14ac:dyDescent="0.25">
      <c r="A344" s="3">
        <v>138</v>
      </c>
      <c r="B344" s="4">
        <v>42221</v>
      </c>
      <c r="C344" s="3" t="s">
        <v>567</v>
      </c>
      <c r="D344" s="3" t="s">
        <v>568</v>
      </c>
      <c r="E344" s="3">
        <v>11444</v>
      </c>
      <c r="F344" s="3"/>
      <c r="G344" s="3" t="s">
        <v>30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5">
        <v>122500</v>
      </c>
      <c r="N344" s="5">
        <v>184750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5">
        <v>72500</v>
      </c>
      <c r="X344" s="3">
        <v>0</v>
      </c>
      <c r="Y344" s="3">
        <v>0</v>
      </c>
      <c r="Z344" s="3">
        <v>0</v>
      </c>
      <c r="AA344" s="5">
        <v>61250</v>
      </c>
      <c r="AB344" s="6">
        <v>441000</v>
      </c>
      <c r="AD344" s="2" t="str">
        <f>VLOOKUP(E344,'[1]Detailed Transfer Report (12)'!$K:$Y,14,FALSE)</f>
        <v>Sardar Tanveer Ilyas</v>
      </c>
      <c r="AE344" s="16"/>
    </row>
    <row r="345" spans="1:31" x14ac:dyDescent="0.25">
      <c r="A345" s="7">
        <v>139</v>
      </c>
      <c r="B345" s="4">
        <v>42221</v>
      </c>
      <c r="C345" s="3" t="s">
        <v>569</v>
      </c>
      <c r="D345" s="3" t="s">
        <v>570</v>
      </c>
      <c r="E345" s="3">
        <v>11458</v>
      </c>
      <c r="F345" s="3"/>
      <c r="G345" s="3" t="s">
        <v>30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5">
        <v>31000</v>
      </c>
      <c r="N345" s="5">
        <v>47500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5">
        <v>1000</v>
      </c>
      <c r="W345" s="5">
        <v>17000</v>
      </c>
      <c r="X345" s="3">
        <v>0</v>
      </c>
      <c r="Y345" s="3">
        <v>0</v>
      </c>
      <c r="Z345" s="3">
        <v>0</v>
      </c>
      <c r="AA345" s="5">
        <v>15500</v>
      </c>
      <c r="AB345" s="6">
        <v>112000</v>
      </c>
      <c r="AD345" s="2" t="str">
        <f>VLOOKUP(E345,'[1]Detailed Transfer Report (12)'!$K:$Y,14,FALSE)</f>
        <v>Sardar Tanveer Ilyas</v>
      </c>
      <c r="AE345" s="16"/>
    </row>
    <row r="346" spans="1:31" x14ac:dyDescent="0.25">
      <c r="A346" s="10">
        <v>139</v>
      </c>
      <c r="B346" s="4">
        <v>42221</v>
      </c>
      <c r="C346" s="3" t="s">
        <v>571</v>
      </c>
      <c r="D346" s="3" t="s">
        <v>572</v>
      </c>
      <c r="E346" s="3">
        <v>11463</v>
      </c>
      <c r="F346" s="3"/>
      <c r="G346" s="3" t="s">
        <v>30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5">
        <v>51400</v>
      </c>
      <c r="N346" s="5">
        <v>78100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5">
        <v>30000</v>
      </c>
      <c r="X346" s="3">
        <v>0</v>
      </c>
      <c r="Y346" s="3">
        <v>0</v>
      </c>
      <c r="Z346" s="3">
        <v>0</v>
      </c>
      <c r="AA346" s="5">
        <v>25700</v>
      </c>
      <c r="AB346" s="6">
        <v>297200</v>
      </c>
      <c r="AD346" s="2" t="str">
        <f>VLOOKUP(E346,'[1]Detailed Transfer Report (12)'!$K:$Y,14,FALSE)</f>
        <v>Sardar Tanveer Ilyas</v>
      </c>
      <c r="AE346" s="16"/>
    </row>
    <row r="347" spans="1:31" x14ac:dyDescent="0.25">
      <c r="A347" s="3">
        <v>140</v>
      </c>
      <c r="B347" s="4">
        <v>42262</v>
      </c>
      <c r="C347" s="3" t="s">
        <v>573</v>
      </c>
      <c r="D347" s="3" t="s">
        <v>574</v>
      </c>
      <c r="E347" s="3">
        <v>11457</v>
      </c>
      <c r="F347" s="3"/>
      <c r="G347" s="3" t="s">
        <v>30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5">
        <v>140500</v>
      </c>
      <c r="N347" s="5">
        <v>211750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5">
        <v>150000</v>
      </c>
      <c r="W347" s="5">
        <v>85000</v>
      </c>
      <c r="X347" s="3">
        <v>0</v>
      </c>
      <c r="Y347" s="3">
        <v>0</v>
      </c>
      <c r="Z347" s="3">
        <v>0</v>
      </c>
      <c r="AA347" s="5">
        <v>70250</v>
      </c>
      <c r="AB347" s="6">
        <v>657500</v>
      </c>
      <c r="AD347" s="2" t="str">
        <f>VLOOKUP(E347,'[1]Detailed Transfer Report (12)'!$K:$Y,14,FALSE)</f>
        <v>Sardar Tanveer Ilyas</v>
      </c>
      <c r="AE347" s="16"/>
    </row>
    <row r="348" spans="1:31" x14ac:dyDescent="0.25">
      <c r="A348" s="3">
        <v>141</v>
      </c>
      <c r="B348" s="4">
        <v>42221</v>
      </c>
      <c r="C348" s="3" t="s">
        <v>575</v>
      </c>
      <c r="D348" s="3" t="s">
        <v>576</v>
      </c>
      <c r="E348" s="3">
        <v>11465</v>
      </c>
      <c r="F348" s="3"/>
      <c r="G348" s="3" t="s">
        <v>30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5">
        <v>131000</v>
      </c>
      <c r="N348" s="5">
        <v>197500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5">
        <v>51000</v>
      </c>
      <c r="X348" s="3">
        <v>0</v>
      </c>
      <c r="Y348" s="3">
        <v>0</v>
      </c>
      <c r="Z348" s="3">
        <v>0</v>
      </c>
      <c r="AA348" s="5">
        <v>65500</v>
      </c>
      <c r="AB348" s="6">
        <v>445000</v>
      </c>
      <c r="AD348" s="2" t="str">
        <f>VLOOKUP(E348,'[1]Detailed Transfer Report (12)'!$K:$Y,14,FALSE)</f>
        <v>Sardar Tanveer Ilyas</v>
      </c>
      <c r="AE348" s="16"/>
    </row>
    <row r="349" spans="1:31" x14ac:dyDescent="0.25">
      <c r="A349" s="7">
        <v>142</v>
      </c>
      <c r="B349" s="4">
        <v>42262</v>
      </c>
      <c r="C349" s="3" t="s">
        <v>577</v>
      </c>
      <c r="D349" s="3" t="s">
        <v>578</v>
      </c>
      <c r="E349" s="3">
        <v>11456</v>
      </c>
      <c r="F349" s="3"/>
      <c r="G349" s="3" t="s">
        <v>30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5">
        <v>408000</v>
      </c>
      <c r="N349" s="5">
        <v>613000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500</v>
      </c>
      <c r="W349" s="5">
        <v>174000</v>
      </c>
      <c r="X349" s="3">
        <v>0</v>
      </c>
      <c r="Y349" s="3">
        <v>0</v>
      </c>
      <c r="Z349" s="3">
        <v>0</v>
      </c>
      <c r="AA349" s="5">
        <v>204000</v>
      </c>
      <c r="AB349" s="6">
        <v>1399500</v>
      </c>
      <c r="AD349" s="2" t="str">
        <f>VLOOKUP(E349,'[1]Detailed Transfer Report (12)'!$K:$Y,14,FALSE)</f>
        <v>Sardar Tanveer Ilyas</v>
      </c>
      <c r="AE349" s="16"/>
    </row>
    <row r="350" spans="1:31" x14ac:dyDescent="0.25">
      <c r="A350" s="10">
        <v>142</v>
      </c>
      <c r="B350" s="4">
        <v>42262</v>
      </c>
      <c r="C350" s="3" t="s">
        <v>579</v>
      </c>
      <c r="D350" s="3" t="s">
        <v>580</v>
      </c>
      <c r="E350" s="3">
        <v>11455</v>
      </c>
      <c r="F350" s="3"/>
      <c r="G350" s="3" t="s">
        <v>30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5">
        <v>225300</v>
      </c>
      <c r="N350" s="5">
        <v>338950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500</v>
      </c>
      <c r="W350" s="5">
        <v>97500</v>
      </c>
      <c r="X350" s="3">
        <v>0</v>
      </c>
      <c r="Y350" s="3">
        <v>0</v>
      </c>
      <c r="Z350" s="3">
        <v>0</v>
      </c>
      <c r="AA350" s="5">
        <v>112650</v>
      </c>
      <c r="AB350" s="6">
        <v>2174400</v>
      </c>
      <c r="AD350" s="2" t="str">
        <f>VLOOKUP(E350,'[1]Detailed Transfer Report (12)'!$K:$Y,14,FALSE)</f>
        <v>Sardar Tanveer Ilyas</v>
      </c>
      <c r="AE350" s="16"/>
    </row>
    <row r="351" spans="1:31" x14ac:dyDescent="0.25">
      <c r="A351" s="7">
        <v>143</v>
      </c>
      <c r="B351" s="4">
        <v>42221</v>
      </c>
      <c r="C351" s="3" t="s">
        <v>581</v>
      </c>
      <c r="D351" s="3" t="s">
        <v>582</v>
      </c>
      <c r="E351" s="3">
        <v>11426</v>
      </c>
      <c r="F351" s="3"/>
      <c r="G351" s="3" t="s">
        <v>30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5">
        <v>19000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5">
        <v>1000</v>
      </c>
      <c r="W351" s="5">
        <v>8500</v>
      </c>
      <c r="X351" s="3">
        <v>0</v>
      </c>
      <c r="Y351" s="3">
        <v>0</v>
      </c>
      <c r="Z351" s="3">
        <v>0</v>
      </c>
      <c r="AA351" s="5">
        <v>6000</v>
      </c>
      <c r="AB351" s="6">
        <v>34500</v>
      </c>
      <c r="AD351" s="2" t="str">
        <f>VLOOKUP(E351,'[1]Detailed Transfer Report (12)'!$K:$Y,14,FALSE)</f>
        <v>Sardar Tanveer Ilyas</v>
      </c>
      <c r="AE351" s="16"/>
    </row>
    <row r="352" spans="1:31" x14ac:dyDescent="0.25">
      <c r="A352" s="10">
        <v>143</v>
      </c>
      <c r="B352" s="4">
        <v>42221</v>
      </c>
      <c r="C352" s="3" t="s">
        <v>139</v>
      </c>
      <c r="D352" s="3" t="s">
        <v>583</v>
      </c>
      <c r="E352" s="3">
        <v>11466</v>
      </c>
      <c r="F352" s="3"/>
      <c r="G352" s="3" t="s">
        <v>30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5">
        <v>26500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5">
        <v>8500</v>
      </c>
      <c r="X352" s="3">
        <v>0</v>
      </c>
      <c r="Y352" s="3">
        <v>0</v>
      </c>
      <c r="Z352" s="3">
        <v>0</v>
      </c>
      <c r="AA352" s="5">
        <v>8500</v>
      </c>
      <c r="AB352" s="6">
        <v>78000</v>
      </c>
      <c r="AD352" s="2" t="str">
        <f>VLOOKUP(E352,'[1]Detailed Transfer Report (12)'!$K:$Y,14,FALSE)</f>
        <v>Sardar Tanveer Ilyas</v>
      </c>
      <c r="AE352" s="16"/>
    </row>
    <row r="353" spans="1:31" x14ac:dyDescent="0.25">
      <c r="A353" s="3">
        <v>144</v>
      </c>
      <c r="B353" s="4">
        <v>42221</v>
      </c>
      <c r="C353" s="3" t="s">
        <v>584</v>
      </c>
      <c r="D353" s="3" t="s">
        <v>585</v>
      </c>
      <c r="E353" s="3">
        <v>743</v>
      </c>
      <c r="F353" s="3">
        <v>16096</v>
      </c>
      <c r="G353" s="3" t="s">
        <v>41</v>
      </c>
      <c r="H353" s="3">
        <v>0</v>
      </c>
      <c r="I353" s="3">
        <v>0</v>
      </c>
      <c r="J353" s="5">
        <v>20000</v>
      </c>
      <c r="K353" s="3">
        <v>0</v>
      </c>
      <c r="L353" s="3">
        <v>0</v>
      </c>
      <c r="M353" s="3">
        <v>0</v>
      </c>
      <c r="N353" s="5">
        <v>10000</v>
      </c>
      <c r="O353" s="3">
        <v>0</v>
      </c>
      <c r="P353" s="3">
        <v>0</v>
      </c>
      <c r="Q353" s="5">
        <v>11000</v>
      </c>
      <c r="R353" s="5">
        <v>40000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5">
        <v>1100</v>
      </c>
      <c r="Y353" s="3">
        <v>0</v>
      </c>
      <c r="Z353" s="5">
        <v>2000</v>
      </c>
      <c r="AA353" s="5">
        <v>16000</v>
      </c>
      <c r="AB353" s="6">
        <v>100100</v>
      </c>
      <c r="AC353" s="2" t="str">
        <f>VLOOKUP(E353,'[1]Detailed Transfer Report (12)'!$K:$Y,13,FALSE)</f>
        <v>Tuba Maryam</v>
      </c>
      <c r="AD353" s="2" t="str">
        <f>VLOOKUP(E353,'[1]Detailed Transfer Report (12)'!$K:$Y,14,FALSE)</f>
        <v>Sardar Tanveer Ilyas</v>
      </c>
      <c r="AE353" s="16">
        <f>VLOOKUP(E353,'[1]Detailed Transfer Report (12)'!$K:$Y,15,FALSE)</f>
        <v>45085</v>
      </c>
    </row>
    <row r="354" spans="1:31" x14ac:dyDescent="0.25">
      <c r="A354" s="3">
        <v>145</v>
      </c>
      <c r="B354" s="4">
        <v>42263</v>
      </c>
      <c r="C354" s="3" t="s">
        <v>586</v>
      </c>
      <c r="D354" s="3" t="s">
        <v>587</v>
      </c>
      <c r="E354" s="3">
        <v>1201</v>
      </c>
      <c r="F354" s="3"/>
      <c r="G354" s="3" t="s">
        <v>41</v>
      </c>
      <c r="H354" s="3">
        <v>0</v>
      </c>
      <c r="I354" s="3">
        <v>0</v>
      </c>
      <c r="J354" s="3">
        <v>0</v>
      </c>
      <c r="K354" s="3">
        <v>0</v>
      </c>
      <c r="L354" s="5">
        <v>390000</v>
      </c>
      <c r="M354" s="3">
        <v>0</v>
      </c>
      <c r="N354" s="5">
        <v>196000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5">
        <v>1000</v>
      </c>
      <c r="W354" s="5">
        <v>114500</v>
      </c>
      <c r="X354" s="3">
        <v>0</v>
      </c>
      <c r="Y354" s="3">
        <v>0</v>
      </c>
      <c r="Z354" s="3">
        <v>0</v>
      </c>
      <c r="AA354" s="5">
        <v>65000</v>
      </c>
      <c r="AB354" s="6">
        <v>766500</v>
      </c>
      <c r="AD354" s="2" t="str">
        <f>VLOOKUP(E354,'[1]Detailed Transfer Report (12)'!$K:$Y,14,FALSE)</f>
        <v>Sardar Tanveer Ilyas</v>
      </c>
      <c r="AE354" s="16"/>
    </row>
    <row r="355" spans="1:31" x14ac:dyDescent="0.25">
      <c r="A355" s="3">
        <v>146</v>
      </c>
      <c r="B355" s="4">
        <v>42263</v>
      </c>
      <c r="C355" s="3" t="s">
        <v>588</v>
      </c>
      <c r="D355" s="3" t="s">
        <v>589</v>
      </c>
      <c r="E355" s="3">
        <v>11514</v>
      </c>
      <c r="F355" s="3"/>
      <c r="G355" s="3" t="s">
        <v>30</v>
      </c>
      <c r="H355" s="3">
        <v>0</v>
      </c>
      <c r="I355" s="3">
        <v>0</v>
      </c>
      <c r="J355" s="3">
        <v>0</v>
      </c>
      <c r="K355" s="3">
        <v>0</v>
      </c>
      <c r="L355" s="5">
        <v>30000</v>
      </c>
      <c r="M355" s="3">
        <v>0</v>
      </c>
      <c r="N355" s="5">
        <v>28000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5">
        <v>1000</v>
      </c>
      <c r="W355" s="5">
        <v>13000</v>
      </c>
      <c r="X355" s="3">
        <v>0</v>
      </c>
      <c r="Y355" s="3">
        <v>0</v>
      </c>
      <c r="Z355" s="3">
        <v>0</v>
      </c>
      <c r="AA355" s="5">
        <v>9000</v>
      </c>
      <c r="AB355" s="6">
        <v>81000</v>
      </c>
      <c r="AD355" s="2" t="str">
        <f>VLOOKUP(E355,'[1]Detailed Transfer Report (12)'!$K:$Y,14,FALSE)</f>
        <v>Sardar Tanveer Ilyas</v>
      </c>
      <c r="AE355" s="16"/>
    </row>
    <row r="356" spans="1:31" x14ac:dyDescent="0.25">
      <c r="A356" s="7">
        <v>147</v>
      </c>
      <c r="B356" s="4">
        <v>42237</v>
      </c>
      <c r="C356" s="3" t="s">
        <v>590</v>
      </c>
      <c r="D356" s="3" t="s">
        <v>591</v>
      </c>
      <c r="E356" s="3">
        <v>11506</v>
      </c>
      <c r="F356" s="3"/>
      <c r="G356" s="3" t="s">
        <v>30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5">
        <v>11500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5">
        <v>4000</v>
      </c>
      <c r="X356" s="3">
        <v>0</v>
      </c>
      <c r="Y356" s="3">
        <v>0</v>
      </c>
      <c r="Z356" s="3">
        <v>0</v>
      </c>
      <c r="AA356" s="5">
        <v>3500</v>
      </c>
      <c r="AB356" s="6">
        <v>19000</v>
      </c>
      <c r="AD356" s="2" t="str">
        <f>VLOOKUP(E356,'[1]Detailed Transfer Report (12)'!$K:$Y,14,FALSE)</f>
        <v>Sardar Tanveer Ilyas</v>
      </c>
      <c r="AE356" s="16"/>
    </row>
    <row r="357" spans="1:31" x14ac:dyDescent="0.25">
      <c r="A357" s="10">
        <v>147</v>
      </c>
      <c r="B357" s="4">
        <v>42237</v>
      </c>
      <c r="C357" s="3" t="s">
        <v>555</v>
      </c>
      <c r="D357" s="3" t="s">
        <v>592</v>
      </c>
      <c r="E357" s="3">
        <v>11507</v>
      </c>
      <c r="F357" s="3"/>
      <c r="G357" s="3" t="s">
        <v>30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5">
        <v>25000</v>
      </c>
      <c r="N357" s="5">
        <v>38500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5">
        <v>8500</v>
      </c>
      <c r="X357" s="3">
        <v>0</v>
      </c>
      <c r="Y357" s="3">
        <v>0</v>
      </c>
      <c r="Z357" s="3">
        <v>0</v>
      </c>
      <c r="AA357" s="5">
        <v>12500</v>
      </c>
      <c r="AB357" s="6">
        <v>103500</v>
      </c>
      <c r="AD357" s="2" t="str">
        <f>VLOOKUP(E357,'[1]Detailed Transfer Report (12)'!$K:$Y,14,FALSE)</f>
        <v>Sardar Tanveer Ilyas</v>
      </c>
      <c r="AE357" s="16"/>
    </row>
    <row r="358" spans="1:31" x14ac:dyDescent="0.25">
      <c r="A358" s="3">
        <v>148</v>
      </c>
      <c r="B358" s="4">
        <v>42237</v>
      </c>
      <c r="C358" s="3" t="s">
        <v>141</v>
      </c>
      <c r="D358" s="3" t="s">
        <v>593</v>
      </c>
      <c r="E358" s="3">
        <v>11509</v>
      </c>
      <c r="F358" s="3"/>
      <c r="G358" s="3" t="s">
        <v>30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5">
        <v>72000</v>
      </c>
      <c r="N358" s="5">
        <v>109000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5">
        <v>25500</v>
      </c>
      <c r="X358" s="3">
        <v>0</v>
      </c>
      <c r="Y358" s="3">
        <v>0</v>
      </c>
      <c r="Z358" s="3">
        <v>0</v>
      </c>
      <c r="AA358" s="5">
        <v>36000</v>
      </c>
      <c r="AB358" s="6">
        <v>242500</v>
      </c>
      <c r="AD358" s="2" t="str">
        <f>VLOOKUP(E358,'[1]Detailed Transfer Report (12)'!$K:$Y,14,FALSE)</f>
        <v>Sardar Tanveer Ilyas</v>
      </c>
      <c r="AE358" s="16"/>
    </row>
    <row r="359" spans="1:31" x14ac:dyDescent="0.25">
      <c r="A359" s="3">
        <v>149</v>
      </c>
      <c r="B359" s="4">
        <v>42262</v>
      </c>
      <c r="C359" s="3" t="s">
        <v>594</v>
      </c>
      <c r="D359" s="3" t="s">
        <v>595</v>
      </c>
      <c r="E359" s="3">
        <v>11510</v>
      </c>
      <c r="F359" s="3"/>
      <c r="G359" s="3" t="s">
        <v>30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5">
        <v>151200</v>
      </c>
      <c r="N359" s="5">
        <v>227800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500</v>
      </c>
      <c r="W359" s="5">
        <v>68000</v>
      </c>
      <c r="X359" s="3">
        <v>0</v>
      </c>
      <c r="Y359" s="3">
        <v>0</v>
      </c>
      <c r="Z359" s="3">
        <v>0</v>
      </c>
      <c r="AA359" s="5">
        <v>75600</v>
      </c>
      <c r="AB359" s="6">
        <v>523100</v>
      </c>
      <c r="AD359" s="2" t="str">
        <f>VLOOKUP(E359,'[1]Detailed Transfer Report (12)'!$K:$Y,14,FALSE)</f>
        <v>Sardar Tanveer Ilyas</v>
      </c>
      <c r="AE359" s="16"/>
    </row>
    <row r="360" spans="1:31" x14ac:dyDescent="0.25">
      <c r="A360" s="7">
        <v>150</v>
      </c>
      <c r="B360" s="4">
        <v>42237</v>
      </c>
      <c r="C360" s="3" t="s">
        <v>244</v>
      </c>
      <c r="D360" s="3" t="s">
        <v>596</v>
      </c>
      <c r="E360" s="3">
        <v>11492</v>
      </c>
      <c r="F360" s="3"/>
      <c r="G360" s="3" t="s">
        <v>30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5">
        <v>46000</v>
      </c>
      <c r="N360" s="5">
        <v>70000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5">
        <v>1000</v>
      </c>
      <c r="W360" s="5">
        <v>17000</v>
      </c>
      <c r="X360" s="3">
        <v>0</v>
      </c>
      <c r="Y360" s="3">
        <v>0</v>
      </c>
      <c r="Z360" s="3">
        <v>0</v>
      </c>
      <c r="AA360" s="5">
        <v>23000</v>
      </c>
      <c r="AB360" s="6">
        <v>157000</v>
      </c>
      <c r="AD360" s="2" t="str">
        <f>VLOOKUP(E360,'[1]Detailed Transfer Report (12)'!$K:$Y,14,FALSE)</f>
        <v>Sardar Tanveer Ilyas</v>
      </c>
      <c r="AE360" s="16"/>
    </row>
    <row r="361" spans="1:31" x14ac:dyDescent="0.25">
      <c r="A361" s="10">
        <v>150</v>
      </c>
      <c r="B361" s="4">
        <v>42237</v>
      </c>
      <c r="C361" s="3" t="s">
        <v>597</v>
      </c>
      <c r="D361" s="3" t="s">
        <v>598</v>
      </c>
      <c r="E361" s="3">
        <v>11493</v>
      </c>
      <c r="F361" s="3"/>
      <c r="G361" s="3" t="s">
        <v>30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5">
        <v>30200</v>
      </c>
      <c r="N361" s="5">
        <v>46300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5">
        <v>12500</v>
      </c>
      <c r="X361" s="3">
        <v>0</v>
      </c>
      <c r="Y361" s="3">
        <v>0</v>
      </c>
      <c r="Z361" s="3">
        <v>0</v>
      </c>
      <c r="AA361" s="5">
        <v>15100</v>
      </c>
      <c r="AB361" s="6">
        <v>261100</v>
      </c>
      <c r="AD361" s="2" t="str">
        <f>VLOOKUP(E361,'[1]Detailed Transfer Report (12)'!$K:$Y,14,FALSE)</f>
        <v>Sardar Tanveer Ilyas</v>
      </c>
      <c r="AE361" s="16"/>
    </row>
    <row r="362" spans="1:31" x14ac:dyDescent="0.25">
      <c r="A362" s="7">
        <v>151</v>
      </c>
      <c r="B362" s="4">
        <v>42263</v>
      </c>
      <c r="C362" s="3" t="s">
        <v>46</v>
      </c>
      <c r="D362" s="3" t="s">
        <v>599</v>
      </c>
      <c r="E362" s="3">
        <v>11453</v>
      </c>
      <c r="F362" s="3"/>
      <c r="G362" s="3" t="s">
        <v>30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5">
        <v>52000</v>
      </c>
      <c r="N362" s="5">
        <v>79000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5">
        <v>17000</v>
      </c>
      <c r="X362" s="3">
        <v>0</v>
      </c>
      <c r="Y362" s="3">
        <v>0</v>
      </c>
      <c r="Z362" s="3">
        <v>0</v>
      </c>
      <c r="AA362" s="5">
        <v>26000</v>
      </c>
      <c r="AB362" s="6">
        <v>174000</v>
      </c>
      <c r="AD362" s="2" t="str">
        <f>VLOOKUP(E362,'[1]Detailed Transfer Report (12)'!$K:$Y,14,FALSE)</f>
        <v>Sardar Tanveer Ilyas</v>
      </c>
      <c r="AE362" s="16"/>
    </row>
    <row r="363" spans="1:31" x14ac:dyDescent="0.25">
      <c r="A363" s="9">
        <v>151</v>
      </c>
      <c r="B363" s="4">
        <v>42263</v>
      </c>
      <c r="C363" s="3" t="s">
        <v>600</v>
      </c>
      <c r="D363" s="3" t="s">
        <v>601</v>
      </c>
      <c r="E363" s="3">
        <v>11450</v>
      </c>
      <c r="F363" s="3"/>
      <c r="G363" s="3" t="s">
        <v>30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5">
        <v>286000</v>
      </c>
      <c r="N363" s="5">
        <v>430000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5">
        <v>93500</v>
      </c>
      <c r="X363" s="3">
        <v>0</v>
      </c>
      <c r="Y363" s="3">
        <v>0</v>
      </c>
      <c r="Z363" s="3">
        <v>0</v>
      </c>
      <c r="AA363" s="5">
        <v>143000</v>
      </c>
      <c r="AB363" s="6">
        <v>1126500</v>
      </c>
      <c r="AD363" s="2" t="str">
        <f>VLOOKUP(E363,'[1]Detailed Transfer Report (12)'!$K:$Y,14,FALSE)</f>
        <v>Sardar Tanveer Ilyas</v>
      </c>
      <c r="AE363" s="16"/>
    </row>
    <row r="364" spans="1:31" x14ac:dyDescent="0.25">
      <c r="A364" s="9">
        <v>151</v>
      </c>
      <c r="B364" s="4">
        <v>42263</v>
      </c>
      <c r="C364" s="3" t="s">
        <v>46</v>
      </c>
      <c r="D364" s="3" t="s">
        <v>602</v>
      </c>
      <c r="E364" s="3">
        <v>11452</v>
      </c>
      <c r="F364" s="3"/>
      <c r="G364" s="3" t="s">
        <v>30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5">
        <v>52000</v>
      </c>
      <c r="N364" s="5">
        <v>79000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5">
        <v>17000</v>
      </c>
      <c r="X364" s="3">
        <v>0</v>
      </c>
      <c r="Y364" s="3">
        <v>0</v>
      </c>
      <c r="Z364" s="3">
        <v>0</v>
      </c>
      <c r="AA364" s="5">
        <v>26000</v>
      </c>
      <c r="AB364" s="6">
        <v>1300500</v>
      </c>
      <c r="AD364" s="2" t="str">
        <f>VLOOKUP(E364,'[1]Detailed Transfer Report (12)'!$K:$Y,14,FALSE)</f>
        <v>Sardar Tanveer Ilyas</v>
      </c>
      <c r="AE364" s="16"/>
    </row>
    <row r="365" spans="1:31" x14ac:dyDescent="0.25">
      <c r="A365" s="9">
        <v>151</v>
      </c>
      <c r="B365" s="4">
        <v>42263</v>
      </c>
      <c r="C365" s="3" t="s">
        <v>278</v>
      </c>
      <c r="D365" s="3" t="s">
        <v>603</v>
      </c>
      <c r="E365" s="3">
        <v>11454</v>
      </c>
      <c r="F365" s="3"/>
      <c r="G365" s="3" t="s">
        <v>30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5">
        <v>65000</v>
      </c>
      <c r="N365" s="5">
        <v>98500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5">
        <v>21500</v>
      </c>
      <c r="X365" s="3">
        <v>0</v>
      </c>
      <c r="Y365" s="3">
        <v>0</v>
      </c>
      <c r="Z365" s="3">
        <v>0</v>
      </c>
      <c r="AA365" s="5">
        <v>32500</v>
      </c>
      <c r="AB365" s="6">
        <v>1518000</v>
      </c>
      <c r="AD365" s="2" t="str">
        <f>VLOOKUP(E365,'[1]Detailed Transfer Report (12)'!$K:$Y,14,FALSE)</f>
        <v>Sardar Tanveer Ilyas</v>
      </c>
      <c r="AE365" s="16"/>
    </row>
    <row r="366" spans="1:31" x14ac:dyDescent="0.25">
      <c r="A366" s="9">
        <v>151</v>
      </c>
      <c r="B366" s="4">
        <v>42263</v>
      </c>
      <c r="C366" s="3" t="s">
        <v>604</v>
      </c>
      <c r="D366" s="3" t="s">
        <v>605</v>
      </c>
      <c r="E366" s="3">
        <v>11469</v>
      </c>
      <c r="F366" s="3"/>
      <c r="G366" s="3" t="s">
        <v>30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5">
        <v>34000</v>
      </c>
      <c r="N366" s="5">
        <v>52000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5">
        <v>13000</v>
      </c>
      <c r="X366" s="3">
        <v>0</v>
      </c>
      <c r="Y366" s="3">
        <v>0</v>
      </c>
      <c r="Z366" s="3">
        <v>0</v>
      </c>
      <c r="AA366" s="5">
        <v>17000</v>
      </c>
      <c r="AB366" s="6">
        <v>1634000</v>
      </c>
      <c r="AD366" s="2" t="str">
        <f>VLOOKUP(E366,'[1]Detailed Transfer Report (12)'!$K:$Y,14,FALSE)</f>
        <v>Sardar Tanveer Ilyas</v>
      </c>
      <c r="AE366" s="16"/>
    </row>
    <row r="367" spans="1:31" x14ac:dyDescent="0.25">
      <c r="A367" s="9">
        <v>151</v>
      </c>
      <c r="B367" s="4">
        <v>42263</v>
      </c>
      <c r="C367" s="3" t="s">
        <v>114</v>
      </c>
      <c r="D367" s="3" t="s">
        <v>606</v>
      </c>
      <c r="E367" s="3">
        <v>11470</v>
      </c>
      <c r="F367" s="3"/>
      <c r="G367" s="3" t="s">
        <v>30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5">
        <v>8800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5">
        <v>4500</v>
      </c>
      <c r="X367" s="3">
        <v>0</v>
      </c>
      <c r="Y367" s="3">
        <v>0</v>
      </c>
      <c r="Z367" s="3">
        <v>0</v>
      </c>
      <c r="AA367" s="5">
        <v>2600</v>
      </c>
      <c r="AB367" s="6">
        <v>1649900</v>
      </c>
      <c r="AD367" s="2" t="str">
        <f>VLOOKUP(E367,'[1]Detailed Transfer Report (12)'!$K:$Y,14,FALSE)</f>
        <v>Sardar Tanveer Ilyas</v>
      </c>
      <c r="AE367" s="16"/>
    </row>
    <row r="368" spans="1:31" x14ac:dyDescent="0.25">
      <c r="A368" s="9">
        <v>151</v>
      </c>
      <c r="B368" s="4">
        <v>42263</v>
      </c>
      <c r="C368" s="3" t="s">
        <v>313</v>
      </c>
      <c r="D368" s="3" t="s">
        <v>607</v>
      </c>
      <c r="E368" s="3">
        <v>11471</v>
      </c>
      <c r="F368" s="3"/>
      <c r="G368" s="3" t="s">
        <v>30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5">
        <v>28300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5">
        <v>1000</v>
      </c>
      <c r="W368" s="5">
        <v>8500</v>
      </c>
      <c r="X368" s="3">
        <v>0</v>
      </c>
      <c r="Y368" s="3">
        <v>0</v>
      </c>
      <c r="Z368" s="3">
        <v>0</v>
      </c>
      <c r="AA368" s="5">
        <v>9100</v>
      </c>
      <c r="AB368" s="6">
        <v>1696800</v>
      </c>
      <c r="AD368" s="2" t="str">
        <f>VLOOKUP(E368,'[1]Detailed Transfer Report (12)'!$K:$Y,14,FALSE)</f>
        <v>Sardar Tanveer Ilyas</v>
      </c>
      <c r="AE368" s="16"/>
    </row>
    <row r="369" spans="1:31" x14ac:dyDescent="0.25">
      <c r="A369" s="9">
        <v>151</v>
      </c>
      <c r="B369" s="4">
        <v>42263</v>
      </c>
      <c r="C369" s="3" t="s">
        <v>205</v>
      </c>
      <c r="D369" s="3" t="s">
        <v>608</v>
      </c>
      <c r="E369" s="3">
        <v>11473</v>
      </c>
      <c r="F369" s="3"/>
      <c r="G369" s="3" t="s">
        <v>30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5">
        <v>13000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5">
        <v>4500</v>
      </c>
      <c r="X369" s="3">
        <v>0</v>
      </c>
      <c r="Y369" s="3">
        <v>0</v>
      </c>
      <c r="Z369" s="3">
        <v>0</v>
      </c>
      <c r="AA369" s="5">
        <v>4000</v>
      </c>
      <c r="AB369" s="6">
        <v>1718300</v>
      </c>
      <c r="AD369" s="2" t="str">
        <f>VLOOKUP(E369,'[1]Detailed Transfer Report (12)'!$K:$Y,14,FALSE)</f>
        <v>Sardar Tanveer Ilyas</v>
      </c>
      <c r="AE369" s="16"/>
    </row>
    <row r="370" spans="1:31" x14ac:dyDescent="0.25">
      <c r="A370" s="9">
        <v>151</v>
      </c>
      <c r="B370" s="4">
        <v>42263</v>
      </c>
      <c r="C370" s="3" t="s">
        <v>137</v>
      </c>
      <c r="D370" s="3" t="s">
        <v>609</v>
      </c>
      <c r="E370" s="3">
        <v>11474</v>
      </c>
      <c r="F370" s="3"/>
      <c r="G370" s="3" t="s">
        <v>30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5">
        <v>20500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5">
        <v>4500</v>
      </c>
      <c r="X370" s="3">
        <v>0</v>
      </c>
      <c r="Y370" s="3">
        <v>0</v>
      </c>
      <c r="Z370" s="3">
        <v>0</v>
      </c>
      <c r="AA370" s="5">
        <v>6500</v>
      </c>
      <c r="AB370" s="6">
        <v>1749800</v>
      </c>
      <c r="AD370" s="2" t="str">
        <f>VLOOKUP(E370,'[1]Detailed Transfer Report (12)'!$K:$Y,14,FALSE)</f>
        <v>Sardar Tanveer Ilyas</v>
      </c>
      <c r="AE370" s="16"/>
    </row>
    <row r="371" spans="1:31" x14ac:dyDescent="0.25">
      <c r="A371" s="9">
        <v>151</v>
      </c>
      <c r="B371" s="4">
        <v>42263</v>
      </c>
      <c r="C371" s="3" t="s">
        <v>46</v>
      </c>
      <c r="D371" s="3" t="s">
        <v>610</v>
      </c>
      <c r="E371" s="3">
        <v>11484</v>
      </c>
      <c r="F371" s="3"/>
      <c r="G371" s="3" t="s">
        <v>30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5">
        <v>52000</v>
      </c>
      <c r="N371" s="5">
        <v>79000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5">
        <v>17000</v>
      </c>
      <c r="X371" s="3">
        <v>0</v>
      </c>
      <c r="Y371" s="3">
        <v>0</v>
      </c>
      <c r="Z371" s="3">
        <v>0</v>
      </c>
      <c r="AA371" s="5">
        <v>26000</v>
      </c>
      <c r="AB371" s="6">
        <v>1923800</v>
      </c>
      <c r="AD371" s="2" t="str">
        <f>VLOOKUP(E371,'[1]Detailed Transfer Report (12)'!$K:$Y,14,FALSE)</f>
        <v>Sardar Tanveer Ilyas</v>
      </c>
      <c r="AE371" s="16"/>
    </row>
    <row r="372" spans="1:31" x14ac:dyDescent="0.25">
      <c r="A372" s="9">
        <v>151</v>
      </c>
      <c r="B372" s="4">
        <v>42263</v>
      </c>
      <c r="C372" s="3" t="s">
        <v>46</v>
      </c>
      <c r="D372" s="3" t="s">
        <v>611</v>
      </c>
      <c r="E372" s="3">
        <v>11485</v>
      </c>
      <c r="F372" s="3"/>
      <c r="G372" s="3" t="s">
        <v>30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5">
        <v>52000</v>
      </c>
      <c r="N372" s="5">
        <v>79000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5">
        <v>17000</v>
      </c>
      <c r="X372" s="3">
        <v>0</v>
      </c>
      <c r="Y372" s="3">
        <v>0</v>
      </c>
      <c r="Z372" s="3">
        <v>0</v>
      </c>
      <c r="AA372" s="5">
        <v>26000</v>
      </c>
      <c r="AB372" s="6">
        <v>2097800</v>
      </c>
      <c r="AD372" s="2" t="str">
        <f>VLOOKUP(E372,'[1]Detailed Transfer Report (12)'!$K:$Y,14,FALSE)</f>
        <v>Sardar Tanveer Ilyas</v>
      </c>
      <c r="AE372" s="16"/>
    </row>
    <row r="373" spans="1:31" x14ac:dyDescent="0.25">
      <c r="A373" s="9">
        <v>151</v>
      </c>
      <c r="B373" s="4">
        <v>42263</v>
      </c>
      <c r="C373" s="3" t="s">
        <v>46</v>
      </c>
      <c r="D373" s="3" t="s">
        <v>612</v>
      </c>
      <c r="E373" s="3">
        <v>11494</v>
      </c>
      <c r="F373" s="3"/>
      <c r="G373" s="3" t="s">
        <v>30</v>
      </c>
      <c r="H373" s="3">
        <v>0</v>
      </c>
      <c r="I373" s="3">
        <v>0</v>
      </c>
      <c r="J373" s="3">
        <v>0</v>
      </c>
      <c r="K373" s="3">
        <v>0</v>
      </c>
      <c r="L373" s="5">
        <v>2293974</v>
      </c>
      <c r="M373" s="5">
        <v>52000</v>
      </c>
      <c r="N373" s="5">
        <v>79000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5">
        <v>17000</v>
      </c>
      <c r="X373" s="3">
        <v>0</v>
      </c>
      <c r="Y373" s="3">
        <v>0</v>
      </c>
      <c r="Z373" s="3">
        <v>0</v>
      </c>
      <c r="AA373" s="5">
        <v>26000</v>
      </c>
      <c r="AB373" s="6">
        <v>4565774</v>
      </c>
      <c r="AD373" s="2" t="str">
        <f>VLOOKUP(E373,'[1]Detailed Transfer Report (12)'!$K:$Y,14,FALSE)</f>
        <v>Sardar Tanveer Ilyas</v>
      </c>
      <c r="AE373" s="16"/>
    </row>
    <row r="374" spans="1:31" x14ac:dyDescent="0.25">
      <c r="A374" s="10">
        <v>151</v>
      </c>
      <c r="B374" s="4">
        <v>42263</v>
      </c>
      <c r="C374" s="3" t="s">
        <v>46</v>
      </c>
      <c r="D374" s="3" t="s">
        <v>613</v>
      </c>
      <c r="E374" s="3">
        <v>11575</v>
      </c>
      <c r="F374" s="3"/>
      <c r="G374" s="3" t="s">
        <v>30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5">
        <v>52000</v>
      </c>
      <c r="N374" s="5">
        <v>79000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500</v>
      </c>
      <c r="W374" s="5">
        <v>17000</v>
      </c>
      <c r="X374" s="3">
        <v>0</v>
      </c>
      <c r="Y374" s="3">
        <v>0</v>
      </c>
      <c r="Z374" s="3">
        <v>0</v>
      </c>
      <c r="AA374" s="5">
        <v>26000</v>
      </c>
      <c r="AB374" s="6">
        <v>4740274</v>
      </c>
      <c r="AD374" s="2" t="str">
        <f>VLOOKUP(E374,'[1]Detailed Transfer Report (12)'!$K:$Y,14,FALSE)</f>
        <v>Sardar Tanveer Ilyas</v>
      </c>
      <c r="AE374" s="16"/>
    </row>
    <row r="375" spans="1:31" x14ac:dyDescent="0.25">
      <c r="A375" s="7">
        <v>152</v>
      </c>
      <c r="B375" s="4">
        <v>42289</v>
      </c>
      <c r="C375" s="3" t="s">
        <v>614</v>
      </c>
      <c r="D375" s="3" t="s">
        <v>615</v>
      </c>
      <c r="E375" s="3">
        <v>11604</v>
      </c>
      <c r="F375" s="3"/>
      <c r="G375" s="3" t="s">
        <v>30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5">
        <v>20620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5">
        <v>4500</v>
      </c>
      <c r="X375" s="3">
        <v>0</v>
      </c>
      <c r="Y375" s="3">
        <v>0</v>
      </c>
      <c r="Z375" s="3">
        <v>0</v>
      </c>
      <c r="AA375" s="5">
        <v>6540</v>
      </c>
      <c r="AB375" s="6">
        <v>31660</v>
      </c>
      <c r="AD375" s="2" t="str">
        <f>VLOOKUP(E375,'[1]Detailed Transfer Report (12)'!$K:$Y,14,FALSE)</f>
        <v>Sardar Tanveer Ilyas</v>
      </c>
      <c r="AE375" s="16"/>
    </row>
    <row r="376" spans="1:31" x14ac:dyDescent="0.25">
      <c r="A376" s="9">
        <v>152</v>
      </c>
      <c r="B376" s="4">
        <v>42289</v>
      </c>
      <c r="C376" s="3" t="s">
        <v>514</v>
      </c>
      <c r="D376" s="3" t="s">
        <v>616</v>
      </c>
      <c r="E376" s="3">
        <v>11605</v>
      </c>
      <c r="F376" s="3"/>
      <c r="G376" s="3" t="s">
        <v>30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5">
        <v>66000</v>
      </c>
      <c r="N376" s="5">
        <v>100000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5">
        <v>21500</v>
      </c>
      <c r="X376" s="3">
        <v>0</v>
      </c>
      <c r="Y376" s="3">
        <v>0</v>
      </c>
      <c r="Z376" s="3">
        <v>0</v>
      </c>
      <c r="AA376" s="5">
        <v>33000</v>
      </c>
      <c r="AB376" s="6">
        <v>252160</v>
      </c>
      <c r="AD376" s="2" t="str">
        <f>VLOOKUP(E376,'[1]Detailed Transfer Report (12)'!$K:$Y,14,FALSE)</f>
        <v>Sardar Tanveer Ilyas</v>
      </c>
      <c r="AE376" s="16"/>
    </row>
    <row r="377" spans="1:31" x14ac:dyDescent="0.25">
      <c r="A377" s="10">
        <v>152</v>
      </c>
      <c r="B377" s="4">
        <v>42289</v>
      </c>
      <c r="C377" s="3" t="s">
        <v>617</v>
      </c>
      <c r="D377" s="3" t="s">
        <v>618</v>
      </c>
      <c r="E377" s="3">
        <v>11606</v>
      </c>
      <c r="F377" s="3"/>
      <c r="G377" s="3" t="s">
        <v>30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5">
        <v>28920</v>
      </c>
      <c r="N377" s="5">
        <v>44380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5">
        <v>8500</v>
      </c>
      <c r="X377" s="3">
        <v>0</v>
      </c>
      <c r="Y377" s="3">
        <v>0</v>
      </c>
      <c r="Z377" s="3">
        <v>0</v>
      </c>
      <c r="AA377" s="5">
        <v>14460</v>
      </c>
      <c r="AB377" s="6">
        <v>348420</v>
      </c>
      <c r="AD377" s="2" t="str">
        <f>VLOOKUP(E377,'[1]Detailed Transfer Report (12)'!$K:$Y,14,FALSE)</f>
        <v>Sardar Tanveer Ilyas</v>
      </c>
      <c r="AE377" s="16"/>
    </row>
    <row r="378" spans="1:31" x14ac:dyDescent="0.25">
      <c r="A378" s="3">
        <v>153</v>
      </c>
      <c r="B378" s="4">
        <v>42289</v>
      </c>
      <c r="C378" s="3" t="s">
        <v>342</v>
      </c>
      <c r="D378" s="3" t="s">
        <v>619</v>
      </c>
      <c r="E378" s="3" t="s">
        <v>620</v>
      </c>
      <c r="F378" s="3"/>
      <c r="G378" s="3" t="s">
        <v>30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8">
        <v>0</v>
      </c>
      <c r="AE378" s="16"/>
    </row>
    <row r="379" spans="1:31" x14ac:dyDescent="0.25">
      <c r="A379" s="3">
        <v>154</v>
      </c>
      <c r="B379" s="4">
        <v>42262</v>
      </c>
      <c r="C379" s="3" t="s">
        <v>621</v>
      </c>
      <c r="D379" s="3" t="s">
        <v>622</v>
      </c>
      <c r="E379" s="3">
        <v>11536</v>
      </c>
      <c r="F379" s="3"/>
      <c r="G379" s="3" t="s">
        <v>30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5">
        <v>15400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5">
        <v>8500</v>
      </c>
      <c r="X379" s="3">
        <v>0</v>
      </c>
      <c r="Y379" s="3">
        <v>0</v>
      </c>
      <c r="Z379" s="3">
        <v>0</v>
      </c>
      <c r="AA379" s="5">
        <v>4800</v>
      </c>
      <c r="AB379" s="6">
        <v>28700</v>
      </c>
      <c r="AD379" s="2" t="str">
        <f>VLOOKUP(E379,'[1]Detailed Transfer Report (12)'!$K:$Y,14,FALSE)</f>
        <v>Sardar Tanveer Ilyas</v>
      </c>
      <c r="AE379" s="16"/>
    </row>
    <row r="380" spans="1:31" x14ac:dyDescent="0.25">
      <c r="A380" s="3">
        <v>155</v>
      </c>
      <c r="B380" s="4">
        <v>42347</v>
      </c>
      <c r="C380" s="3" t="s">
        <v>44</v>
      </c>
      <c r="D380" s="3" t="s">
        <v>623</v>
      </c>
      <c r="E380" s="3">
        <v>11759</v>
      </c>
      <c r="F380" s="3"/>
      <c r="G380" s="3" t="s">
        <v>30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5">
        <v>23050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5">
        <v>8500</v>
      </c>
      <c r="X380" s="3">
        <v>0</v>
      </c>
      <c r="Y380" s="3">
        <v>0</v>
      </c>
      <c r="Z380" s="3">
        <v>0</v>
      </c>
      <c r="AA380" s="5">
        <v>7350</v>
      </c>
      <c r="AB380" s="6">
        <v>38900</v>
      </c>
      <c r="AD380" s="2" t="str">
        <f>VLOOKUP(E380,'[1]Detailed Transfer Report (12)'!$K:$Y,14,FALSE)</f>
        <v>Sardar Tanveer Ilyas</v>
      </c>
      <c r="AE380" s="16"/>
    </row>
    <row r="381" spans="1:31" x14ac:dyDescent="0.25">
      <c r="A381" s="7">
        <v>156</v>
      </c>
      <c r="B381" s="4">
        <v>42341</v>
      </c>
      <c r="C381" s="3" t="s">
        <v>153</v>
      </c>
      <c r="D381" s="3" t="s">
        <v>624</v>
      </c>
      <c r="E381" s="3">
        <v>11692</v>
      </c>
      <c r="F381" s="3"/>
      <c r="G381" s="3" t="s">
        <v>30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5">
        <v>14500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5">
        <v>4000</v>
      </c>
      <c r="X381" s="3">
        <v>0</v>
      </c>
      <c r="Y381" s="3">
        <v>0</v>
      </c>
      <c r="Z381" s="3">
        <v>0</v>
      </c>
      <c r="AA381" s="5">
        <v>4500</v>
      </c>
      <c r="AB381" s="6">
        <v>23000</v>
      </c>
      <c r="AD381" s="2" t="str">
        <f>VLOOKUP(E381,'[1]Detailed Transfer Report (12)'!$K:$Y,14,FALSE)</f>
        <v>Sardar Tanveer Ilyas</v>
      </c>
      <c r="AE381" s="16"/>
    </row>
    <row r="382" spans="1:31" x14ac:dyDescent="0.25">
      <c r="A382" s="9">
        <v>156</v>
      </c>
      <c r="B382" s="4">
        <v>42341</v>
      </c>
      <c r="C382" s="3" t="s">
        <v>504</v>
      </c>
      <c r="D382" s="3" t="s">
        <v>625</v>
      </c>
      <c r="E382" s="3">
        <v>11690</v>
      </c>
      <c r="F382" s="3"/>
      <c r="G382" s="3" t="s">
        <v>30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5">
        <v>29050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5">
        <v>4000</v>
      </c>
      <c r="X382" s="3">
        <v>0</v>
      </c>
      <c r="Y382" s="3">
        <v>0</v>
      </c>
      <c r="Z382" s="3">
        <v>0</v>
      </c>
      <c r="AA382" s="5">
        <v>9350</v>
      </c>
      <c r="AB382" s="6">
        <v>65400</v>
      </c>
      <c r="AD382" s="2" t="str">
        <f>VLOOKUP(E382,'[1]Detailed Transfer Report (12)'!$K:$Y,14,FALSE)</f>
        <v>Sardar Tanveer Ilyas</v>
      </c>
      <c r="AE382" s="16"/>
    </row>
    <row r="383" spans="1:31" x14ac:dyDescent="0.25">
      <c r="A383" s="9">
        <v>156</v>
      </c>
      <c r="B383" s="4">
        <v>42341</v>
      </c>
      <c r="C383" s="3" t="s">
        <v>153</v>
      </c>
      <c r="D383" s="3" t="s">
        <v>626</v>
      </c>
      <c r="E383" s="3">
        <v>11691</v>
      </c>
      <c r="F383" s="3"/>
      <c r="G383" s="3" t="s">
        <v>30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5">
        <v>13750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5">
        <v>4000</v>
      </c>
      <c r="X383" s="3">
        <v>0</v>
      </c>
      <c r="Y383" s="3">
        <v>0</v>
      </c>
      <c r="Z383" s="3">
        <v>0</v>
      </c>
      <c r="AA383" s="5">
        <v>4250</v>
      </c>
      <c r="AB383" s="6">
        <v>87400</v>
      </c>
      <c r="AD383" s="2" t="str">
        <f>VLOOKUP(E383,'[1]Detailed Transfer Report (12)'!$K:$Y,14,FALSE)</f>
        <v>Sardar Tanveer Ilyas</v>
      </c>
      <c r="AE383" s="16"/>
    </row>
    <row r="384" spans="1:31" x14ac:dyDescent="0.25">
      <c r="A384" s="10">
        <v>156</v>
      </c>
      <c r="B384" s="4">
        <v>42341</v>
      </c>
      <c r="C384" s="3" t="s">
        <v>153</v>
      </c>
      <c r="D384" s="3" t="s">
        <v>627</v>
      </c>
      <c r="E384" s="3">
        <v>11693</v>
      </c>
      <c r="F384" s="3"/>
      <c r="G384" s="3" t="s">
        <v>30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5">
        <v>14500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5">
        <v>4000</v>
      </c>
      <c r="X384" s="3">
        <v>0</v>
      </c>
      <c r="Y384" s="3">
        <v>0</v>
      </c>
      <c r="Z384" s="3">
        <v>0</v>
      </c>
      <c r="AA384" s="5">
        <v>4500</v>
      </c>
      <c r="AB384" s="6">
        <v>110400</v>
      </c>
      <c r="AD384" s="2" t="str">
        <f>VLOOKUP(E384,'[1]Detailed Transfer Report (12)'!$K:$Y,14,FALSE)</f>
        <v>Sardar Tanveer Ilyas</v>
      </c>
      <c r="AE384" s="16"/>
    </row>
    <row r="385" spans="1:31" x14ac:dyDescent="0.25">
      <c r="A385" s="3">
        <v>157</v>
      </c>
      <c r="B385" s="4">
        <v>42341</v>
      </c>
      <c r="C385" s="3" t="s">
        <v>68</v>
      </c>
      <c r="D385" s="3" t="s">
        <v>628</v>
      </c>
      <c r="E385" s="3">
        <v>11700</v>
      </c>
      <c r="F385" s="3"/>
      <c r="G385" s="3" t="s">
        <v>30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5">
        <v>39000</v>
      </c>
      <c r="N385" s="5">
        <v>59500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5">
        <v>12500</v>
      </c>
      <c r="X385" s="3">
        <v>0</v>
      </c>
      <c r="Y385" s="3">
        <v>0</v>
      </c>
      <c r="Z385" s="3">
        <v>0</v>
      </c>
      <c r="AA385" s="5">
        <v>19500</v>
      </c>
      <c r="AB385" s="6">
        <v>130500</v>
      </c>
      <c r="AD385" s="2" t="str">
        <f>VLOOKUP(E385,'[1]Detailed Transfer Report (12)'!$K:$Y,14,FALSE)</f>
        <v>Sardar Tanveer Ilyas</v>
      </c>
      <c r="AE385" s="16"/>
    </row>
    <row r="386" spans="1:31" x14ac:dyDescent="0.25">
      <c r="A386" s="7">
        <v>158</v>
      </c>
      <c r="B386" s="4">
        <v>42341</v>
      </c>
      <c r="C386" s="3" t="s">
        <v>153</v>
      </c>
      <c r="D386" s="3" t="s">
        <v>629</v>
      </c>
      <c r="E386" s="3">
        <v>11703</v>
      </c>
      <c r="F386" s="3"/>
      <c r="G386" s="3" t="s">
        <v>30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5">
        <v>100000</v>
      </c>
      <c r="Z386" s="3">
        <v>0</v>
      </c>
      <c r="AA386" s="3">
        <v>0</v>
      </c>
      <c r="AB386" s="6">
        <v>100000</v>
      </c>
      <c r="AD386" s="2" t="str">
        <f>VLOOKUP(E386,'[1]Detailed Transfer Report (12)'!$K:$Y,14,FALSE)</f>
        <v>Sardar Tanveer Ilyas</v>
      </c>
      <c r="AE386" s="16">
        <f>VLOOKUP(E386,'[1]Detailed Transfer Report (12)'!$K:$Y,15,FALSE)</f>
        <v>44996</v>
      </c>
    </row>
    <row r="387" spans="1:31" x14ac:dyDescent="0.25">
      <c r="A387" s="10">
        <v>158</v>
      </c>
      <c r="B387" s="4">
        <v>42341</v>
      </c>
      <c r="C387" s="3" t="s">
        <v>137</v>
      </c>
      <c r="D387" s="3" t="s">
        <v>630</v>
      </c>
      <c r="E387" s="3">
        <v>11704</v>
      </c>
      <c r="F387" s="3"/>
      <c r="G387" s="3" t="s">
        <v>30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5">
        <v>38000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5">
        <v>8500</v>
      </c>
      <c r="X387" s="3">
        <v>0</v>
      </c>
      <c r="Y387" s="3">
        <v>0</v>
      </c>
      <c r="Z387" s="3">
        <v>0</v>
      </c>
      <c r="AA387" s="5">
        <v>12000</v>
      </c>
      <c r="AB387" s="6">
        <v>158500</v>
      </c>
      <c r="AD387" s="2" t="str">
        <f>VLOOKUP(E387,'[1]Detailed Transfer Report (12)'!$K:$Y,14,FALSE)</f>
        <v>Sardar Tanveer Ilyas</v>
      </c>
      <c r="AE387" s="16"/>
    </row>
    <row r="388" spans="1:31" x14ac:dyDescent="0.25">
      <c r="A388" s="3">
        <v>159</v>
      </c>
      <c r="B388" s="4">
        <v>42341</v>
      </c>
      <c r="C388" s="3" t="s">
        <v>153</v>
      </c>
      <c r="D388" s="3" t="s">
        <v>631</v>
      </c>
      <c r="E388" s="3">
        <v>11702</v>
      </c>
      <c r="F388" s="3"/>
      <c r="G388" s="3" t="s">
        <v>30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5">
        <v>13000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5">
        <v>4000</v>
      </c>
      <c r="X388" s="3">
        <v>0</v>
      </c>
      <c r="Y388" s="3">
        <v>0</v>
      </c>
      <c r="Z388" s="3">
        <v>0</v>
      </c>
      <c r="AA388" s="5">
        <v>4000</v>
      </c>
      <c r="AB388" s="6">
        <v>21000</v>
      </c>
      <c r="AD388" s="2" t="str">
        <f>VLOOKUP(E388,'[1]Detailed Transfer Report (12)'!$K:$Y,14,FALSE)</f>
        <v>Sardar Tanveer Ilyas</v>
      </c>
      <c r="AE388" s="16"/>
    </row>
    <row r="389" spans="1:31" x14ac:dyDescent="0.25">
      <c r="A389" s="7">
        <v>160</v>
      </c>
      <c r="B389" s="4">
        <v>42317</v>
      </c>
      <c r="C389" s="3" t="s">
        <v>205</v>
      </c>
      <c r="D389" s="3" t="s">
        <v>632</v>
      </c>
      <c r="E389" s="3">
        <v>1212</v>
      </c>
      <c r="F389" s="3"/>
      <c r="G389" s="3" t="s">
        <v>41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5">
        <v>4100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5">
        <v>4000</v>
      </c>
      <c r="X389" s="3">
        <v>0</v>
      </c>
      <c r="Y389" s="3">
        <v>0</v>
      </c>
      <c r="Z389" s="3">
        <v>0</v>
      </c>
      <c r="AA389" s="5">
        <v>1200</v>
      </c>
      <c r="AB389" s="6">
        <v>9300</v>
      </c>
      <c r="AD389" s="2" t="str">
        <f>VLOOKUP(E389,'[1]Detailed Transfer Report (12)'!$K:$Y,14,FALSE)</f>
        <v>Sardar Tanveer Ilyas</v>
      </c>
      <c r="AE389" s="16"/>
    </row>
    <row r="390" spans="1:31" x14ac:dyDescent="0.25">
      <c r="A390" s="10">
        <v>160</v>
      </c>
      <c r="B390" s="4">
        <v>42317</v>
      </c>
      <c r="C390" s="3" t="s">
        <v>46</v>
      </c>
      <c r="D390" s="3" t="s">
        <v>633</v>
      </c>
      <c r="E390" s="3">
        <v>1211</v>
      </c>
      <c r="F390" s="3"/>
      <c r="G390" s="3" t="s">
        <v>41</v>
      </c>
      <c r="H390" s="3">
        <v>0</v>
      </c>
      <c r="I390" s="3">
        <v>0</v>
      </c>
      <c r="J390" s="3">
        <v>0</v>
      </c>
      <c r="K390" s="3">
        <v>0</v>
      </c>
      <c r="L390" s="5">
        <v>54600</v>
      </c>
      <c r="M390" s="3">
        <v>0</v>
      </c>
      <c r="N390" s="5">
        <v>25000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5">
        <v>17000</v>
      </c>
      <c r="X390" s="3">
        <v>0</v>
      </c>
      <c r="Y390" s="3">
        <v>0</v>
      </c>
      <c r="Z390" s="3">
        <v>0</v>
      </c>
      <c r="AA390" s="5">
        <v>8000</v>
      </c>
      <c r="AB390" s="6">
        <v>113900</v>
      </c>
      <c r="AD390" s="2" t="str">
        <f>VLOOKUP(E390,'[1]Detailed Transfer Report (12)'!$K:$Y,14,FALSE)</f>
        <v>Sardar Tanveer Ilyas</v>
      </c>
      <c r="AE390" s="16"/>
    </row>
    <row r="391" spans="1:31" x14ac:dyDescent="0.25">
      <c r="A391" s="3">
        <v>161</v>
      </c>
      <c r="B391" s="4">
        <v>42355</v>
      </c>
      <c r="C391" s="3" t="s">
        <v>178</v>
      </c>
      <c r="D391" s="3" t="s">
        <v>634</v>
      </c>
      <c r="E391" s="3">
        <v>11649</v>
      </c>
      <c r="F391" s="3"/>
      <c r="G391" s="3" t="s">
        <v>30</v>
      </c>
      <c r="H391" s="3">
        <v>0</v>
      </c>
      <c r="I391" s="3">
        <v>0</v>
      </c>
      <c r="J391" s="3">
        <v>0</v>
      </c>
      <c r="K391" s="3">
        <v>0</v>
      </c>
      <c r="L391" s="5">
        <v>700000</v>
      </c>
      <c r="M391" s="5">
        <v>284000</v>
      </c>
      <c r="N391" s="5">
        <v>427000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5">
        <v>174000</v>
      </c>
      <c r="X391" s="3">
        <v>0</v>
      </c>
      <c r="Y391" s="3">
        <v>0</v>
      </c>
      <c r="Z391" s="3">
        <v>0</v>
      </c>
      <c r="AA391" s="5">
        <v>142000</v>
      </c>
      <c r="AB391" s="6">
        <v>1727000</v>
      </c>
      <c r="AD391" s="2" t="str">
        <f>VLOOKUP(E391,'[1]Detailed Transfer Report (12)'!$K:$Y,14,FALSE)</f>
        <v>Sardar Tanveer Ilyas</v>
      </c>
      <c r="AE391" s="16"/>
    </row>
    <row r="392" spans="1:31" x14ac:dyDescent="0.25">
      <c r="A392" s="3">
        <v>162</v>
      </c>
      <c r="B392" s="4">
        <v>42030</v>
      </c>
      <c r="C392" s="3" t="s">
        <v>137</v>
      </c>
      <c r="D392" s="3" t="s">
        <v>635</v>
      </c>
      <c r="E392" s="3">
        <v>11659</v>
      </c>
      <c r="F392" s="3"/>
      <c r="G392" s="3" t="s">
        <v>30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5">
        <v>20500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5">
        <v>4500</v>
      </c>
      <c r="X392" s="3">
        <v>0</v>
      </c>
      <c r="Y392" s="3">
        <v>0</v>
      </c>
      <c r="Z392" s="3">
        <v>0</v>
      </c>
      <c r="AA392" s="5">
        <v>6500</v>
      </c>
      <c r="AB392" s="6">
        <v>31500</v>
      </c>
      <c r="AD392" s="2" t="str">
        <f>VLOOKUP(E392,'[1]Detailed Transfer Report (12)'!$K:$Y,14,FALSE)</f>
        <v>Sardar Tanveer Ilyas</v>
      </c>
      <c r="AE392" s="16"/>
    </row>
    <row r="393" spans="1:31" x14ac:dyDescent="0.25">
      <c r="A393" s="3">
        <v>163</v>
      </c>
      <c r="B393" s="4">
        <v>42318</v>
      </c>
      <c r="C393" s="3" t="s">
        <v>313</v>
      </c>
      <c r="D393" s="3" t="s">
        <v>636</v>
      </c>
      <c r="E393" s="3">
        <v>11638</v>
      </c>
      <c r="F393" s="3"/>
      <c r="G393" s="3" t="s">
        <v>30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8">
        <v>0</v>
      </c>
      <c r="AD393" s="2" t="str">
        <f>VLOOKUP(E393,'[1]Detailed Transfer Report (12)'!$K:$Y,14,FALSE)</f>
        <v>Sardar Tanveer Ilyas</v>
      </c>
      <c r="AE393" s="16"/>
    </row>
    <row r="394" spans="1:31" x14ac:dyDescent="0.25">
      <c r="A394" s="3">
        <v>164</v>
      </c>
      <c r="B394" s="4">
        <v>42318</v>
      </c>
      <c r="C394" s="3" t="s">
        <v>46</v>
      </c>
      <c r="D394" s="3" t="s">
        <v>637</v>
      </c>
      <c r="E394" s="3">
        <v>11680</v>
      </c>
      <c r="F394" s="3"/>
      <c r="G394" s="3" t="s">
        <v>30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5">
        <v>30000</v>
      </c>
      <c r="N394" s="5">
        <v>46000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5">
        <v>17000</v>
      </c>
      <c r="X394" s="3">
        <v>0</v>
      </c>
      <c r="Y394" s="3">
        <v>0</v>
      </c>
      <c r="Z394" s="3">
        <v>0</v>
      </c>
      <c r="AA394" s="5">
        <v>15000</v>
      </c>
      <c r="AB394" s="6">
        <v>108000</v>
      </c>
      <c r="AD394" s="2" t="str">
        <f>VLOOKUP(E394,'[1]Detailed Transfer Report (12)'!$K:$Y,14,FALSE)</f>
        <v>Sardar Tanveer Ilyas</v>
      </c>
      <c r="AE394" s="16"/>
    </row>
    <row r="395" spans="1:31" x14ac:dyDescent="0.25">
      <c r="A395" s="3">
        <v>165</v>
      </c>
      <c r="B395" s="4">
        <v>42317</v>
      </c>
      <c r="C395" s="3" t="s">
        <v>137</v>
      </c>
      <c r="D395" s="3" t="s">
        <v>638</v>
      </c>
      <c r="E395" s="3">
        <v>11655</v>
      </c>
      <c r="F395" s="3"/>
      <c r="G395" s="3" t="s">
        <v>30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5">
        <v>26500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5">
        <v>4500</v>
      </c>
      <c r="X395" s="3">
        <v>0</v>
      </c>
      <c r="Y395" s="3">
        <v>0</v>
      </c>
      <c r="Z395" s="3">
        <v>0</v>
      </c>
      <c r="AA395" s="5">
        <v>8500</v>
      </c>
      <c r="AB395" s="6">
        <v>39500</v>
      </c>
      <c r="AD395" s="2" t="str">
        <f>VLOOKUP(E395,'[1]Detailed Transfer Report (12)'!$K:$Y,14,FALSE)</f>
        <v>Sardar Tanveer Ilyas</v>
      </c>
      <c r="AE395" s="16"/>
    </row>
    <row r="396" spans="1:31" x14ac:dyDescent="0.25">
      <c r="A396" s="3">
        <v>166</v>
      </c>
      <c r="B396" s="4">
        <v>42317</v>
      </c>
      <c r="C396" s="3" t="s">
        <v>153</v>
      </c>
      <c r="D396" s="3" t="s">
        <v>639</v>
      </c>
      <c r="E396" s="3">
        <v>11656</v>
      </c>
      <c r="F396" s="3"/>
      <c r="G396" s="3" t="s">
        <v>30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5">
        <v>8500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500</v>
      </c>
      <c r="W396" s="5">
        <v>4000</v>
      </c>
      <c r="X396" s="3">
        <v>0</v>
      </c>
      <c r="Y396" s="3">
        <v>0</v>
      </c>
      <c r="Z396" s="3">
        <v>0</v>
      </c>
      <c r="AA396" s="5">
        <v>2500</v>
      </c>
      <c r="AB396" s="6">
        <v>15500</v>
      </c>
      <c r="AD396" s="2" t="str">
        <f>VLOOKUP(E396,'[1]Detailed Transfer Report (12)'!$K:$Y,14,FALSE)</f>
        <v>Sardar Tanveer Ilyas</v>
      </c>
      <c r="AE396" s="16"/>
    </row>
    <row r="397" spans="1:31" x14ac:dyDescent="0.25">
      <c r="A397" s="3">
        <v>167</v>
      </c>
      <c r="B397" s="4">
        <v>42317</v>
      </c>
      <c r="C397" s="3" t="s">
        <v>205</v>
      </c>
      <c r="D397" s="3" t="s">
        <v>640</v>
      </c>
      <c r="E397" s="3">
        <v>11658</v>
      </c>
      <c r="F397" s="3"/>
      <c r="G397" s="3" t="s">
        <v>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5">
        <v>10000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5">
        <v>4000</v>
      </c>
      <c r="X397" s="3">
        <v>0</v>
      </c>
      <c r="Y397" s="3">
        <v>0</v>
      </c>
      <c r="Z397" s="3">
        <v>0</v>
      </c>
      <c r="AA397" s="5">
        <v>3000</v>
      </c>
      <c r="AB397" s="6">
        <v>17000</v>
      </c>
      <c r="AD397" s="2" t="str">
        <f>VLOOKUP(E397,'[1]Detailed Transfer Report (12)'!$K:$Y,14,FALSE)</f>
        <v>Sardar Tanveer Ilyas</v>
      </c>
      <c r="AE397" s="16"/>
    </row>
    <row r="398" spans="1:31" x14ac:dyDescent="0.25">
      <c r="A398" s="3">
        <v>169</v>
      </c>
      <c r="B398" s="4">
        <v>42395</v>
      </c>
      <c r="C398" s="3" t="s">
        <v>137</v>
      </c>
      <c r="D398" s="3" t="s">
        <v>641</v>
      </c>
      <c r="E398" s="3">
        <v>11657</v>
      </c>
      <c r="F398" s="3"/>
      <c r="G398" s="3" t="s">
        <v>30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5">
        <v>20500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5">
        <v>4500</v>
      </c>
      <c r="X398" s="3">
        <v>0</v>
      </c>
      <c r="Y398" s="3">
        <v>0</v>
      </c>
      <c r="Z398" s="3">
        <v>0</v>
      </c>
      <c r="AA398" s="5">
        <v>6500</v>
      </c>
      <c r="AB398" s="6">
        <v>31500</v>
      </c>
      <c r="AD398" s="2" t="str">
        <f>VLOOKUP(E398,'[1]Detailed Transfer Report (12)'!$K:$Y,14,FALSE)</f>
        <v>Sardar Tanveer Ilyas</v>
      </c>
      <c r="AE398" s="16"/>
    </row>
    <row r="399" spans="1:31" x14ac:dyDescent="0.25">
      <c r="A399" s="3">
        <v>170</v>
      </c>
      <c r="B399" s="4">
        <v>42347</v>
      </c>
      <c r="C399" s="3" t="s">
        <v>44</v>
      </c>
      <c r="D399" s="3" t="s">
        <v>642</v>
      </c>
      <c r="E399" s="3">
        <v>1213</v>
      </c>
      <c r="F399" s="3"/>
      <c r="G399" s="3" t="s">
        <v>41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5">
        <v>13000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500</v>
      </c>
      <c r="W399" s="5">
        <v>8500</v>
      </c>
      <c r="X399" s="3">
        <v>0</v>
      </c>
      <c r="Y399" s="3">
        <v>0</v>
      </c>
      <c r="Z399" s="3">
        <v>0</v>
      </c>
      <c r="AA399" s="5">
        <v>4000</v>
      </c>
      <c r="AB399" s="6">
        <v>26000</v>
      </c>
      <c r="AD399" s="2" t="str">
        <f>VLOOKUP(E399,'[1]Detailed Transfer Report (12)'!$K:$Y,14,FALSE)</f>
        <v>Sardar Tanveer Ilyas</v>
      </c>
      <c r="AE399" s="16"/>
    </row>
    <row r="400" spans="1:31" x14ac:dyDescent="0.25">
      <c r="A400" s="7">
        <v>171</v>
      </c>
      <c r="B400" s="4">
        <v>42318</v>
      </c>
      <c r="C400" s="3" t="s">
        <v>643</v>
      </c>
      <c r="D400" s="3" t="s">
        <v>644</v>
      </c>
      <c r="E400" s="3">
        <v>11650</v>
      </c>
      <c r="F400" s="3"/>
      <c r="G400" s="3" t="s">
        <v>30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5">
        <v>22500</v>
      </c>
      <c r="N400" s="5">
        <v>34750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5">
        <v>8500</v>
      </c>
      <c r="X400" s="3">
        <v>0</v>
      </c>
      <c r="Y400" s="3">
        <v>0</v>
      </c>
      <c r="Z400" s="3">
        <v>0</v>
      </c>
      <c r="AA400" s="5">
        <v>11250</v>
      </c>
      <c r="AB400" s="6">
        <v>77000</v>
      </c>
      <c r="AD400" s="2" t="str">
        <f>VLOOKUP(E400,'[1]Detailed Transfer Report (12)'!$K:$Y,14,FALSE)</f>
        <v>Sardar Tanveer Ilyas</v>
      </c>
      <c r="AE400" s="16"/>
    </row>
    <row r="401" spans="1:31" x14ac:dyDescent="0.25">
      <c r="A401" s="9">
        <v>171</v>
      </c>
      <c r="B401" s="4">
        <v>42318</v>
      </c>
      <c r="C401" s="3" t="s">
        <v>645</v>
      </c>
      <c r="D401" s="3" t="s">
        <v>646</v>
      </c>
      <c r="E401" s="3">
        <v>11682</v>
      </c>
      <c r="F401" s="3"/>
      <c r="G401" s="3" t="s">
        <v>30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5">
        <v>97000</v>
      </c>
      <c r="N401" s="5">
        <v>146500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5">
        <v>55000</v>
      </c>
      <c r="X401" s="3">
        <v>0</v>
      </c>
      <c r="Y401" s="3">
        <v>0</v>
      </c>
      <c r="Z401" s="3">
        <v>0</v>
      </c>
      <c r="AA401" s="5">
        <v>48500</v>
      </c>
      <c r="AB401" s="6">
        <v>424000</v>
      </c>
      <c r="AD401" s="2" t="str">
        <f>VLOOKUP(E401,'[1]Detailed Transfer Report (12)'!$K:$Y,14,FALSE)</f>
        <v>Sardar Tanveer Ilyas</v>
      </c>
      <c r="AE401" s="16"/>
    </row>
    <row r="402" spans="1:31" x14ac:dyDescent="0.25">
      <c r="A402" s="9">
        <v>171</v>
      </c>
      <c r="B402" s="4">
        <v>42318</v>
      </c>
      <c r="C402" s="3" t="s">
        <v>114</v>
      </c>
      <c r="D402" s="3" t="s">
        <v>647</v>
      </c>
      <c r="E402" s="3">
        <v>11683</v>
      </c>
      <c r="F402" s="3"/>
      <c r="G402" s="3" t="s">
        <v>30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5">
        <v>5500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5">
        <v>1000</v>
      </c>
      <c r="W402" s="5">
        <v>4000</v>
      </c>
      <c r="X402" s="3">
        <v>0</v>
      </c>
      <c r="Y402" s="3">
        <v>0</v>
      </c>
      <c r="Z402" s="3">
        <v>0</v>
      </c>
      <c r="AA402" s="5">
        <v>1500</v>
      </c>
      <c r="AB402" s="6">
        <v>436000</v>
      </c>
      <c r="AD402" s="2" t="str">
        <f>VLOOKUP(E402,'[1]Detailed Transfer Report (12)'!$K:$Y,14,FALSE)</f>
        <v>Sardar Tanveer Ilyas</v>
      </c>
      <c r="AE402" s="16"/>
    </row>
    <row r="403" spans="1:31" x14ac:dyDescent="0.25">
      <c r="A403" s="9">
        <v>171</v>
      </c>
      <c r="B403" s="4">
        <v>42318</v>
      </c>
      <c r="C403" s="3" t="s">
        <v>648</v>
      </c>
      <c r="D403" s="3" t="s">
        <v>649</v>
      </c>
      <c r="E403" s="3">
        <v>11684</v>
      </c>
      <c r="F403" s="3"/>
      <c r="G403" s="3" t="s">
        <v>30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5">
        <v>16000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5">
        <v>4500</v>
      </c>
      <c r="X403" s="3">
        <v>0</v>
      </c>
      <c r="Y403" s="3">
        <v>0</v>
      </c>
      <c r="Z403" s="3">
        <v>0</v>
      </c>
      <c r="AA403" s="5">
        <v>5000</v>
      </c>
      <c r="AB403" s="6">
        <v>461500</v>
      </c>
      <c r="AD403" s="2" t="str">
        <f>VLOOKUP(E403,'[1]Detailed Transfer Report (12)'!$K:$Y,14,FALSE)</f>
        <v>Sardar Tanveer Ilyas</v>
      </c>
      <c r="AE403" s="16"/>
    </row>
    <row r="404" spans="1:31" x14ac:dyDescent="0.25">
      <c r="A404" s="10">
        <v>171</v>
      </c>
      <c r="B404" s="4">
        <v>42318</v>
      </c>
      <c r="C404" s="3" t="s">
        <v>650</v>
      </c>
      <c r="D404" s="3" t="s">
        <v>651</v>
      </c>
      <c r="E404" s="3">
        <v>11686</v>
      </c>
      <c r="F404" s="3"/>
      <c r="G404" s="3" t="s">
        <v>30</v>
      </c>
      <c r="H404" s="3">
        <v>0</v>
      </c>
      <c r="I404" s="3">
        <v>0</v>
      </c>
      <c r="J404" s="3">
        <v>0</v>
      </c>
      <c r="K404" s="3">
        <v>0</v>
      </c>
      <c r="L404" s="5">
        <v>369550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6">
        <v>831050</v>
      </c>
      <c r="AD404" s="2" t="str">
        <f>VLOOKUP(E404,'[1]Detailed Transfer Report (12)'!$K:$Y,14,FALSE)</f>
        <v>Sardar Tanveer Ilyas</v>
      </c>
      <c r="AE404" s="16"/>
    </row>
    <row r="405" spans="1:31" x14ac:dyDescent="0.25">
      <c r="A405" s="7">
        <v>172</v>
      </c>
      <c r="B405" s="4">
        <v>42289</v>
      </c>
      <c r="C405" s="3" t="s">
        <v>68</v>
      </c>
      <c r="D405" s="3" t="s">
        <v>652</v>
      </c>
      <c r="E405" s="3">
        <v>11607</v>
      </c>
      <c r="F405" s="3"/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5">
        <v>30000</v>
      </c>
      <c r="N405" s="5">
        <v>46000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5">
        <v>12500</v>
      </c>
      <c r="X405" s="3">
        <v>0</v>
      </c>
      <c r="Y405" s="3">
        <v>0</v>
      </c>
      <c r="Z405" s="3">
        <v>0</v>
      </c>
      <c r="AA405" s="5">
        <v>15000</v>
      </c>
      <c r="AB405" s="6">
        <v>103500</v>
      </c>
      <c r="AD405" s="2" t="str">
        <f>VLOOKUP(E405,'[1]Detailed Transfer Report (12)'!$K:$Y,14,FALSE)</f>
        <v>Sardar Tanveer Ilyas</v>
      </c>
      <c r="AE405" s="16"/>
    </row>
    <row r="406" spans="1:31" x14ac:dyDescent="0.25">
      <c r="A406" s="10">
        <v>172</v>
      </c>
      <c r="B406" s="4">
        <v>42289</v>
      </c>
      <c r="C406" s="3" t="s">
        <v>653</v>
      </c>
      <c r="D406" s="3" t="s">
        <v>654</v>
      </c>
      <c r="E406" s="3">
        <v>11593</v>
      </c>
      <c r="F406" s="3"/>
      <c r="G406" s="3" t="s">
        <v>30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5">
        <v>51500</v>
      </c>
      <c r="N406" s="5">
        <v>78250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500</v>
      </c>
      <c r="W406" s="5">
        <v>25500</v>
      </c>
      <c r="X406" s="3">
        <v>0</v>
      </c>
      <c r="Y406" s="3">
        <v>0</v>
      </c>
      <c r="Z406" s="3">
        <v>0</v>
      </c>
      <c r="AA406" s="5">
        <v>25750</v>
      </c>
      <c r="AB406" s="6">
        <v>285000</v>
      </c>
      <c r="AD406" s="2" t="str">
        <f>VLOOKUP(E406,'[1]Detailed Transfer Report (12)'!$K:$Y,14,FALSE)</f>
        <v>Sardar Tanveer Ilyas</v>
      </c>
      <c r="AE406" s="16"/>
    </row>
    <row r="407" spans="1:31" x14ac:dyDescent="0.25">
      <c r="A407" s="3">
        <v>173</v>
      </c>
      <c r="B407" s="4">
        <v>42361</v>
      </c>
      <c r="C407" s="3" t="s">
        <v>46</v>
      </c>
      <c r="D407" s="3" t="s">
        <v>655</v>
      </c>
      <c r="E407" s="3">
        <v>11769</v>
      </c>
      <c r="F407" s="3"/>
      <c r="G407" s="3" t="s">
        <v>30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5">
        <v>52000</v>
      </c>
      <c r="N407" s="5">
        <v>79000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5">
        <v>17000</v>
      </c>
      <c r="X407" s="3">
        <v>0</v>
      </c>
      <c r="Y407" s="3">
        <v>0</v>
      </c>
      <c r="Z407" s="3">
        <v>0</v>
      </c>
      <c r="AA407" s="5">
        <v>26000</v>
      </c>
      <c r="AB407" s="6">
        <v>174000</v>
      </c>
      <c r="AD407" s="2" t="str">
        <f>VLOOKUP(E407,'[1]Detailed Transfer Report (12)'!$K:$Y,14,FALSE)</f>
        <v>Sardar Tanveer Ilyas</v>
      </c>
      <c r="AE407" s="16"/>
    </row>
    <row r="408" spans="1:31" x14ac:dyDescent="0.25">
      <c r="A408" s="7">
        <v>174</v>
      </c>
      <c r="B408" s="4">
        <v>42361</v>
      </c>
      <c r="C408" s="3" t="s">
        <v>495</v>
      </c>
      <c r="D408" s="3" t="s">
        <v>656</v>
      </c>
      <c r="E408" s="3">
        <v>11763</v>
      </c>
      <c r="F408" s="3"/>
      <c r="G408" s="3" t="s">
        <v>30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5">
        <v>16000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5">
        <v>5000</v>
      </c>
      <c r="AB408" s="6">
        <v>21000</v>
      </c>
      <c r="AD408" s="2" t="str">
        <f>VLOOKUP(E408,'[1]Detailed Transfer Report (12)'!$K:$Y,14,FALSE)</f>
        <v>Sardar Tanveer Ilyas</v>
      </c>
      <c r="AE408" s="16"/>
    </row>
    <row r="409" spans="1:31" x14ac:dyDescent="0.25">
      <c r="A409" s="10">
        <v>174</v>
      </c>
      <c r="B409" s="4">
        <v>42361</v>
      </c>
      <c r="C409" s="3" t="s">
        <v>657</v>
      </c>
      <c r="D409" s="3" t="s">
        <v>658</v>
      </c>
      <c r="E409" s="3">
        <v>11764</v>
      </c>
      <c r="F409" s="3"/>
      <c r="G409" s="3" t="s">
        <v>30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5">
        <v>5500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5">
        <v>4000</v>
      </c>
      <c r="X409" s="3">
        <v>0</v>
      </c>
      <c r="Y409" s="3">
        <v>0</v>
      </c>
      <c r="Z409" s="3">
        <v>0</v>
      </c>
      <c r="AA409" s="5">
        <v>1500</v>
      </c>
      <c r="AB409" s="6">
        <v>32000</v>
      </c>
      <c r="AD409" s="2" t="str">
        <f>VLOOKUP(E409,'[1]Detailed Transfer Report (12)'!$K:$Y,14,FALSE)</f>
        <v>Sardar Tanveer Ilyas</v>
      </c>
      <c r="AE409" s="16"/>
    </row>
    <row r="410" spans="1:31" x14ac:dyDescent="0.25">
      <c r="A410" s="3">
        <v>175</v>
      </c>
      <c r="B410" s="4">
        <v>42361</v>
      </c>
      <c r="C410" s="3" t="s">
        <v>659</v>
      </c>
      <c r="D410" s="3" t="s">
        <v>660</v>
      </c>
      <c r="E410" s="3">
        <v>11775</v>
      </c>
      <c r="F410" s="3"/>
      <c r="G410" s="3" t="s">
        <v>30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5">
        <v>24100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5">
        <v>8500</v>
      </c>
      <c r="X410" s="3">
        <v>0</v>
      </c>
      <c r="Y410" s="3">
        <v>0</v>
      </c>
      <c r="Z410" s="3">
        <v>0</v>
      </c>
      <c r="AA410" s="5">
        <v>7700</v>
      </c>
      <c r="AB410" s="6">
        <v>40300</v>
      </c>
      <c r="AD410" s="2" t="str">
        <f>VLOOKUP(E410,'[1]Detailed Transfer Report (12)'!$K:$Y,14,FALSE)</f>
        <v>Sardar Tanveer Ilyas</v>
      </c>
      <c r="AE410" s="16"/>
    </row>
    <row r="411" spans="1:31" x14ac:dyDescent="0.25">
      <c r="A411" s="3">
        <v>176</v>
      </c>
      <c r="B411" s="4">
        <v>42361</v>
      </c>
      <c r="C411" s="3" t="s">
        <v>137</v>
      </c>
      <c r="D411" s="3" t="s">
        <v>661</v>
      </c>
      <c r="E411" s="3">
        <v>11774</v>
      </c>
      <c r="F411" s="3"/>
      <c r="G411" s="3" t="s">
        <v>30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5">
        <v>4000</v>
      </c>
      <c r="N411" s="5">
        <v>28000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5">
        <v>9000</v>
      </c>
      <c r="AB411" s="6">
        <v>41000</v>
      </c>
      <c r="AD411" s="2" t="str">
        <f>VLOOKUP(E411,'[1]Detailed Transfer Report (12)'!$K:$Y,14,FALSE)</f>
        <v>Sardar Tanveer Ilyas</v>
      </c>
      <c r="AE411" s="16"/>
    </row>
    <row r="412" spans="1:31" x14ac:dyDescent="0.25">
      <c r="A412" s="7">
        <v>177</v>
      </c>
      <c r="B412" s="4">
        <v>43321</v>
      </c>
      <c r="C412" s="3" t="s">
        <v>662</v>
      </c>
      <c r="D412" s="3" t="s">
        <v>663</v>
      </c>
      <c r="E412" s="3">
        <v>1355</v>
      </c>
      <c r="F412" s="3"/>
      <c r="G412" s="3" t="s">
        <v>30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8">
        <v>0</v>
      </c>
      <c r="AD412" s="2" t="str">
        <f>VLOOKUP(E412,'[1]Detailed Transfer Report (12)'!$K:$Y,14,FALSE)</f>
        <v>Sardar Tanveer Ilyas</v>
      </c>
      <c r="AE412" s="16"/>
    </row>
    <row r="413" spans="1:31" x14ac:dyDescent="0.25">
      <c r="A413" s="9">
        <v>177</v>
      </c>
      <c r="B413" s="4">
        <v>42544</v>
      </c>
      <c r="C413" s="3" t="s">
        <v>244</v>
      </c>
      <c r="D413" s="3" t="s">
        <v>664</v>
      </c>
      <c r="E413" s="3">
        <v>11947</v>
      </c>
      <c r="F413" s="3"/>
      <c r="G413" s="3" t="s">
        <v>30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8">
        <v>0</v>
      </c>
      <c r="AD413" s="2" t="str">
        <f>VLOOKUP(E413,'[1]Detailed Transfer Report (12)'!$K:$Y,14,FALSE)</f>
        <v>Sardar Tanveer Ilyas</v>
      </c>
      <c r="AE413" s="16"/>
    </row>
    <row r="414" spans="1:31" x14ac:dyDescent="0.25">
      <c r="A414" s="9">
        <v>177</v>
      </c>
      <c r="B414" s="4">
        <v>42544</v>
      </c>
      <c r="C414" s="3" t="s">
        <v>665</v>
      </c>
      <c r="D414" s="3" t="s">
        <v>666</v>
      </c>
      <c r="E414" s="3">
        <v>12118</v>
      </c>
      <c r="F414" s="3"/>
      <c r="G414" s="3" t="s">
        <v>30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5">
        <v>110000</v>
      </c>
      <c r="N414" s="5">
        <v>166000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5">
        <v>51000</v>
      </c>
      <c r="X414" s="3">
        <v>0</v>
      </c>
      <c r="Y414" s="3">
        <v>0</v>
      </c>
      <c r="Z414" s="3">
        <v>0</v>
      </c>
      <c r="AA414" s="5">
        <v>55000</v>
      </c>
      <c r="AB414" s="6">
        <v>382000</v>
      </c>
      <c r="AD414" s="2" t="str">
        <f>VLOOKUP(E414,'[1]Detailed Transfer Report (12)'!$K:$Y,14,FALSE)</f>
        <v>Sardar Tanveer Ilyas</v>
      </c>
      <c r="AE414" s="16"/>
    </row>
    <row r="415" spans="1:31" x14ac:dyDescent="0.25">
      <c r="A415" s="9">
        <v>177</v>
      </c>
      <c r="B415" s="4">
        <v>42487</v>
      </c>
      <c r="C415" s="3" t="s">
        <v>130</v>
      </c>
      <c r="D415" s="3" t="s">
        <v>176</v>
      </c>
      <c r="E415" s="3">
        <v>12160</v>
      </c>
      <c r="F415" s="3"/>
      <c r="G415" s="3" t="s">
        <v>30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6">
        <v>382000</v>
      </c>
      <c r="AD415" s="2" t="str">
        <f>VLOOKUP(E415,'[1]Detailed Transfer Report (12)'!$K:$Y,14,FALSE)</f>
        <v>Sardar Tanveer Ilyas</v>
      </c>
      <c r="AE415" s="16"/>
    </row>
    <row r="416" spans="1:31" x14ac:dyDescent="0.25">
      <c r="A416" s="9">
        <v>177</v>
      </c>
      <c r="B416" s="4">
        <v>43321</v>
      </c>
      <c r="C416" s="3" t="s">
        <v>667</v>
      </c>
      <c r="D416" s="3" t="s">
        <v>668</v>
      </c>
      <c r="E416" s="3">
        <v>1356</v>
      </c>
      <c r="F416" s="3"/>
      <c r="G416" s="3" t="s">
        <v>30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6">
        <v>382000</v>
      </c>
      <c r="AD416" s="2" t="str">
        <f>VLOOKUP(E416,'[1]Detailed Transfer Report (12)'!$K:$Y,14,FALSE)</f>
        <v>Sardar Tanveer Ilyas</v>
      </c>
      <c r="AE416" s="16"/>
    </row>
    <row r="417" spans="1:31" x14ac:dyDescent="0.25">
      <c r="A417" s="9">
        <v>177</v>
      </c>
      <c r="B417" s="4">
        <v>42544</v>
      </c>
      <c r="C417" s="3" t="s">
        <v>313</v>
      </c>
      <c r="D417" s="3" t="s">
        <v>669</v>
      </c>
      <c r="E417" s="3">
        <v>11827</v>
      </c>
      <c r="F417" s="3"/>
      <c r="G417" s="3" t="s">
        <v>30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6">
        <v>382000</v>
      </c>
      <c r="AD417" s="2" t="str">
        <f>VLOOKUP(E417,'[1]Detailed Transfer Report (12)'!$K:$Y,14,FALSE)</f>
        <v>Sardar Tanveer Ilyas</v>
      </c>
      <c r="AE417" s="16"/>
    </row>
    <row r="418" spans="1:31" x14ac:dyDescent="0.25">
      <c r="A418" s="9">
        <v>177</v>
      </c>
      <c r="B418" s="4">
        <v>42544</v>
      </c>
      <c r="C418" s="3" t="s">
        <v>670</v>
      </c>
      <c r="D418" s="3" t="s">
        <v>669</v>
      </c>
      <c r="E418" s="3">
        <v>11834</v>
      </c>
      <c r="F418" s="3"/>
      <c r="G418" s="3" t="s">
        <v>30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6">
        <v>382000</v>
      </c>
      <c r="AD418" s="2" t="str">
        <f>VLOOKUP(E418,'[1]Detailed Transfer Report (12)'!$K:$Y,14,FALSE)</f>
        <v>Sardar Tanveer Ilyas</v>
      </c>
      <c r="AE418" s="16"/>
    </row>
    <row r="419" spans="1:31" x14ac:dyDescent="0.25">
      <c r="A419" s="9">
        <v>177</v>
      </c>
      <c r="B419" s="4">
        <v>42544</v>
      </c>
      <c r="C419" s="3" t="s">
        <v>68</v>
      </c>
      <c r="D419" s="3" t="s">
        <v>669</v>
      </c>
      <c r="E419" s="3">
        <v>11897</v>
      </c>
      <c r="F419" s="3"/>
      <c r="G419" s="3" t="s">
        <v>30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6">
        <v>382000</v>
      </c>
      <c r="AD419" s="2" t="str">
        <f>VLOOKUP(E419,'[1]Detailed Transfer Report (12)'!$K:$Y,14,FALSE)</f>
        <v>Sardar Tanveer Ilyas</v>
      </c>
      <c r="AE419" s="16"/>
    </row>
    <row r="420" spans="1:31" x14ac:dyDescent="0.25">
      <c r="A420" s="9">
        <v>177</v>
      </c>
      <c r="B420" s="4">
        <v>42487</v>
      </c>
      <c r="C420" s="3" t="s">
        <v>671</v>
      </c>
      <c r="D420" s="3" t="s">
        <v>176</v>
      </c>
      <c r="E420" s="3">
        <v>12161</v>
      </c>
      <c r="F420" s="3"/>
      <c r="G420" s="3" t="s">
        <v>30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6">
        <v>382000</v>
      </c>
      <c r="AD420" s="2" t="str">
        <f>VLOOKUP(E420,'[1]Detailed Transfer Report (12)'!$K:$Y,14,FALSE)</f>
        <v>Sardar Tanveer Ilyas</v>
      </c>
      <c r="AE420" s="16"/>
    </row>
    <row r="421" spans="1:31" x14ac:dyDescent="0.25">
      <c r="A421" s="9">
        <v>177</v>
      </c>
      <c r="B421" s="4">
        <v>42487</v>
      </c>
      <c r="C421" s="3" t="s">
        <v>672</v>
      </c>
      <c r="D421" s="3" t="s">
        <v>176</v>
      </c>
      <c r="E421" s="3">
        <v>12162</v>
      </c>
      <c r="F421" s="3"/>
      <c r="G421" s="3" t="s">
        <v>30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6">
        <v>382000</v>
      </c>
      <c r="AD421" s="2" t="str">
        <f>VLOOKUP(E421,'[1]Detailed Transfer Report (12)'!$K:$Y,14,FALSE)</f>
        <v>Sardar Tanveer Ilyas</v>
      </c>
      <c r="AE421" s="16"/>
    </row>
    <row r="422" spans="1:31" x14ac:dyDescent="0.25">
      <c r="A422" s="10">
        <v>177</v>
      </c>
      <c r="B422" s="4">
        <v>42487</v>
      </c>
      <c r="C422" s="3" t="s">
        <v>106</v>
      </c>
      <c r="D422" s="3" t="s">
        <v>176</v>
      </c>
      <c r="E422" s="3">
        <v>12378</v>
      </c>
      <c r="F422" s="3"/>
      <c r="G422" s="3" t="s">
        <v>30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6">
        <v>382000</v>
      </c>
      <c r="AD422" s="2" t="str">
        <f>VLOOKUP(E422,'[1]Detailed Transfer Report (12)'!$K:$Y,14,FALSE)</f>
        <v>Sardar Tanveer Ilyas</v>
      </c>
      <c r="AE422" s="16"/>
    </row>
    <row r="423" spans="1:31" x14ac:dyDescent="0.25">
      <c r="A423" s="7">
        <v>178</v>
      </c>
      <c r="B423" s="4">
        <v>42395</v>
      </c>
      <c r="C423" s="3" t="s">
        <v>673</v>
      </c>
      <c r="D423" s="3" t="s">
        <v>674</v>
      </c>
      <c r="E423" s="3">
        <v>11840</v>
      </c>
      <c r="F423" s="3"/>
      <c r="G423" s="3" t="s">
        <v>30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5">
        <v>14200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5">
        <v>4000</v>
      </c>
      <c r="X423" s="3">
        <v>0</v>
      </c>
      <c r="Y423" s="3">
        <v>0</v>
      </c>
      <c r="Z423" s="3">
        <v>0</v>
      </c>
      <c r="AA423" s="5">
        <v>4400</v>
      </c>
      <c r="AB423" s="6">
        <v>22600</v>
      </c>
      <c r="AD423" s="2" t="str">
        <f>VLOOKUP(E423,'[1]Detailed Transfer Report (12)'!$K:$Y,14,FALSE)</f>
        <v>Sardar Tanveer Ilyas</v>
      </c>
      <c r="AE423" s="16"/>
    </row>
    <row r="424" spans="1:31" x14ac:dyDescent="0.25">
      <c r="A424" s="10">
        <v>178</v>
      </c>
      <c r="B424" s="4">
        <v>42395</v>
      </c>
      <c r="C424" s="3" t="s">
        <v>673</v>
      </c>
      <c r="D424" s="3" t="s">
        <v>674</v>
      </c>
      <c r="E424" s="3">
        <v>11848</v>
      </c>
      <c r="F424" s="3"/>
      <c r="G424" s="3" t="s">
        <v>30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6">
        <v>22600</v>
      </c>
      <c r="AD424" s="2" t="str">
        <f>VLOOKUP(E424,'[1]Detailed Transfer Report (12)'!$K:$Y,14,FALSE)</f>
        <v>Sardar Tanveer Ilyas</v>
      </c>
      <c r="AE424" s="16"/>
    </row>
    <row r="425" spans="1:31" x14ac:dyDescent="0.25">
      <c r="A425" s="3">
        <v>179</v>
      </c>
      <c r="B425" s="4">
        <v>42394</v>
      </c>
      <c r="C425" s="3" t="s">
        <v>44</v>
      </c>
      <c r="D425" s="3" t="s">
        <v>675</v>
      </c>
      <c r="E425" s="3">
        <v>11822</v>
      </c>
      <c r="F425" s="3"/>
      <c r="G425" s="3" t="s">
        <v>30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5">
        <v>20000</v>
      </c>
      <c r="N425" s="5">
        <v>31000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500</v>
      </c>
      <c r="W425" s="5">
        <v>8500</v>
      </c>
      <c r="X425" s="3">
        <v>0</v>
      </c>
      <c r="Y425" s="3">
        <v>0</v>
      </c>
      <c r="Z425" s="3">
        <v>0</v>
      </c>
      <c r="AA425" s="5">
        <v>10000</v>
      </c>
      <c r="AB425" s="6">
        <v>70000</v>
      </c>
      <c r="AD425" s="2" t="str">
        <f>VLOOKUP(E425,'[1]Detailed Transfer Report (12)'!$K:$Y,14,FALSE)</f>
        <v>Sardar Tanveer Ilyas</v>
      </c>
      <c r="AE425" s="16"/>
    </row>
    <row r="426" spans="1:31" x14ac:dyDescent="0.25">
      <c r="A426" s="3">
        <v>180</v>
      </c>
      <c r="B426" s="4">
        <v>42394</v>
      </c>
      <c r="C426" s="3" t="s">
        <v>68</v>
      </c>
      <c r="D426" s="3" t="s">
        <v>676</v>
      </c>
      <c r="E426" s="3">
        <v>11831</v>
      </c>
      <c r="F426" s="3"/>
      <c r="G426" s="3" t="s">
        <v>30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5">
        <v>36000</v>
      </c>
      <c r="N426" s="5">
        <v>55000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5">
        <v>12500</v>
      </c>
      <c r="X426" s="3">
        <v>0</v>
      </c>
      <c r="Y426" s="3">
        <v>0</v>
      </c>
      <c r="Z426" s="3">
        <v>0</v>
      </c>
      <c r="AA426" s="5">
        <v>18000</v>
      </c>
      <c r="AB426" s="6">
        <v>121500</v>
      </c>
      <c r="AD426" s="2" t="str">
        <f>VLOOKUP(E426,'[1]Detailed Transfer Report (12)'!$K:$Y,14,FALSE)</f>
        <v>Sardar Tanveer Ilyas</v>
      </c>
      <c r="AE426" s="16"/>
    </row>
    <row r="427" spans="1:31" x14ac:dyDescent="0.25">
      <c r="A427" s="3">
        <v>182</v>
      </c>
      <c r="B427" s="4">
        <v>42436</v>
      </c>
      <c r="C427" s="3" t="s">
        <v>677</v>
      </c>
      <c r="D427" s="3" t="s">
        <v>678</v>
      </c>
      <c r="E427" s="3">
        <v>11944</v>
      </c>
      <c r="F427" s="3"/>
      <c r="G427" s="3" t="s">
        <v>30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5">
        <v>69000</v>
      </c>
      <c r="N427" s="5">
        <v>104500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5">
        <v>38500</v>
      </c>
      <c r="X427" s="3">
        <v>0</v>
      </c>
      <c r="Y427" s="3">
        <v>0</v>
      </c>
      <c r="Z427" s="3">
        <v>0</v>
      </c>
      <c r="AA427" s="5">
        <v>34500</v>
      </c>
      <c r="AB427" s="6">
        <v>246500</v>
      </c>
      <c r="AD427" s="2" t="str">
        <f>VLOOKUP(E427,'[1]Detailed Transfer Report (12)'!$K:$Y,14,FALSE)</f>
        <v>Sardar Tanveer Ilyas</v>
      </c>
      <c r="AE427" s="16"/>
    </row>
    <row r="428" spans="1:31" x14ac:dyDescent="0.25">
      <c r="A428" s="3">
        <v>183</v>
      </c>
      <c r="B428" s="4">
        <v>42436</v>
      </c>
      <c r="C428" s="3" t="s">
        <v>679</v>
      </c>
      <c r="D428" s="3" t="s">
        <v>680</v>
      </c>
      <c r="E428" s="3">
        <v>11871</v>
      </c>
      <c r="F428" s="3"/>
      <c r="G428" s="3" t="s">
        <v>30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5">
        <v>6400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5">
        <v>1000</v>
      </c>
      <c r="W428" s="5">
        <v>4000</v>
      </c>
      <c r="X428" s="3">
        <v>0</v>
      </c>
      <c r="Y428" s="3">
        <v>0</v>
      </c>
      <c r="Z428" s="3">
        <v>0</v>
      </c>
      <c r="AA428" s="5">
        <v>1800</v>
      </c>
      <c r="AB428" s="6">
        <v>13200</v>
      </c>
      <c r="AD428" s="2" t="str">
        <f>VLOOKUP(E428,'[1]Detailed Transfer Report (12)'!$K:$Y,14,FALSE)</f>
        <v>Sardar Tanveer Ilyas</v>
      </c>
      <c r="AE428" s="16"/>
    </row>
    <row r="429" spans="1:31" x14ac:dyDescent="0.25">
      <c r="A429" s="3">
        <v>184</v>
      </c>
      <c r="B429" s="4">
        <v>42436</v>
      </c>
      <c r="C429" s="3" t="s">
        <v>153</v>
      </c>
      <c r="D429" s="3" t="s">
        <v>681</v>
      </c>
      <c r="E429" s="3">
        <v>11923</v>
      </c>
      <c r="F429" s="3"/>
      <c r="G429" s="3" t="s">
        <v>30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5">
        <v>11300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5">
        <v>4000</v>
      </c>
      <c r="X429" s="3">
        <v>0</v>
      </c>
      <c r="Y429" s="3">
        <v>0</v>
      </c>
      <c r="Z429" s="3">
        <v>0</v>
      </c>
      <c r="AA429" s="5">
        <v>3600</v>
      </c>
      <c r="AB429" s="6">
        <v>18900</v>
      </c>
      <c r="AD429" s="2" t="str">
        <f>VLOOKUP(E429,'[1]Detailed Transfer Report (12)'!$K:$Y,14,FALSE)</f>
        <v>Sardar Tanveer Ilyas</v>
      </c>
      <c r="AE429" s="16"/>
    </row>
    <row r="430" spans="1:31" x14ac:dyDescent="0.25">
      <c r="A430" s="7">
        <v>185</v>
      </c>
      <c r="B430" s="4">
        <v>42543</v>
      </c>
      <c r="C430" s="3" t="s">
        <v>682</v>
      </c>
      <c r="D430" s="3" t="s">
        <v>683</v>
      </c>
      <c r="E430" s="3">
        <v>1233</v>
      </c>
      <c r="F430" s="3"/>
      <c r="G430" s="3" t="s">
        <v>41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5">
        <v>196000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5">
        <v>76500</v>
      </c>
      <c r="X430" s="3">
        <v>0</v>
      </c>
      <c r="Y430" s="3">
        <v>0</v>
      </c>
      <c r="Z430" s="3">
        <v>0</v>
      </c>
      <c r="AA430" s="5">
        <v>65000</v>
      </c>
      <c r="AB430" s="6">
        <v>337500</v>
      </c>
      <c r="AD430" s="2" t="str">
        <f>VLOOKUP(E430,'[1]Detailed Transfer Report (12)'!$K:$Y,14,FALSE)</f>
        <v>Sardar Tanveer Ilyas</v>
      </c>
      <c r="AE430" s="16"/>
    </row>
    <row r="431" spans="1:31" x14ac:dyDescent="0.25">
      <c r="A431" s="10">
        <v>185</v>
      </c>
      <c r="B431" s="4">
        <v>42451</v>
      </c>
      <c r="C431" s="3" t="s">
        <v>684</v>
      </c>
      <c r="D431" s="3" t="s">
        <v>685</v>
      </c>
      <c r="E431" s="3">
        <v>1234</v>
      </c>
      <c r="F431" s="3"/>
      <c r="G431" s="3" t="s">
        <v>41</v>
      </c>
      <c r="H431" s="3">
        <v>0</v>
      </c>
      <c r="I431" s="3">
        <v>0</v>
      </c>
      <c r="J431" s="3">
        <v>0</v>
      </c>
      <c r="K431" s="3">
        <v>0</v>
      </c>
      <c r="L431" s="5">
        <v>450000</v>
      </c>
      <c r="M431" s="3">
        <v>0</v>
      </c>
      <c r="N431" s="5">
        <v>196000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5">
        <v>76500</v>
      </c>
      <c r="X431" s="3">
        <v>0</v>
      </c>
      <c r="Y431" s="3">
        <v>0</v>
      </c>
      <c r="Z431" s="3">
        <v>0</v>
      </c>
      <c r="AA431" s="5">
        <v>65000</v>
      </c>
      <c r="AB431" s="6">
        <v>1125000</v>
      </c>
      <c r="AD431" s="2" t="str">
        <f>VLOOKUP(E431,'[1]Detailed Transfer Report (12)'!$K:$Y,14,FALSE)</f>
        <v>Sardar Tanveer Ilyas</v>
      </c>
      <c r="AE431" s="16"/>
    </row>
    <row r="432" spans="1:31" x14ac:dyDescent="0.25">
      <c r="A432" s="3">
        <v>186</v>
      </c>
      <c r="B432" s="4">
        <v>42143</v>
      </c>
      <c r="C432" s="3" t="s">
        <v>504</v>
      </c>
      <c r="D432" s="3" t="s">
        <v>686</v>
      </c>
      <c r="E432" s="3">
        <v>11289</v>
      </c>
      <c r="F432" s="3"/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5">
        <v>14500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5">
        <v>8500</v>
      </c>
      <c r="X432" s="3">
        <v>0</v>
      </c>
      <c r="Y432" s="3">
        <v>0</v>
      </c>
      <c r="Z432" s="3">
        <v>0</v>
      </c>
      <c r="AA432" s="5">
        <v>4500</v>
      </c>
      <c r="AB432" s="6">
        <v>27500</v>
      </c>
      <c r="AD432" s="2" t="str">
        <f>VLOOKUP(E432,'[1]Detailed Transfer Report (12)'!$K:$Y,14,FALSE)</f>
        <v>Sardar Tanveer Ilyas</v>
      </c>
      <c r="AE432" s="16"/>
    </row>
    <row r="433" spans="1:31" x14ac:dyDescent="0.25">
      <c r="A433" s="7">
        <v>188</v>
      </c>
      <c r="B433" s="4">
        <v>42763</v>
      </c>
      <c r="C433" s="3" t="s">
        <v>46</v>
      </c>
      <c r="D433" s="3" t="s">
        <v>687</v>
      </c>
      <c r="E433" s="3">
        <v>11118</v>
      </c>
      <c r="F433" s="3"/>
      <c r="G433" s="3" t="s">
        <v>30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5">
        <v>38000</v>
      </c>
      <c r="N433" s="5">
        <v>58000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5">
        <v>17000</v>
      </c>
      <c r="X433" s="3">
        <v>0</v>
      </c>
      <c r="Y433" s="3">
        <v>0</v>
      </c>
      <c r="Z433" s="3">
        <v>0</v>
      </c>
      <c r="AA433" s="5">
        <v>19000</v>
      </c>
      <c r="AB433" s="6">
        <v>132000</v>
      </c>
      <c r="AD433" s="2" t="str">
        <f>VLOOKUP(E433,'[1]Detailed Transfer Report (12)'!$K:$Y,14,FALSE)</f>
        <v>Sardar Tanveer Ilyas</v>
      </c>
      <c r="AE433" s="16"/>
    </row>
    <row r="434" spans="1:31" x14ac:dyDescent="0.25">
      <c r="A434" s="9">
        <v>188</v>
      </c>
      <c r="B434" s="4">
        <v>42763</v>
      </c>
      <c r="C434" s="3" t="s">
        <v>46</v>
      </c>
      <c r="D434" s="3" t="s">
        <v>688</v>
      </c>
      <c r="E434" s="3">
        <v>11119</v>
      </c>
      <c r="F434" s="3"/>
      <c r="G434" s="3" t="s">
        <v>30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5">
        <v>38000</v>
      </c>
      <c r="N434" s="5">
        <v>58000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5">
        <v>17000</v>
      </c>
      <c r="X434" s="3">
        <v>0</v>
      </c>
      <c r="Y434" s="3">
        <v>0</v>
      </c>
      <c r="Z434" s="3">
        <v>0</v>
      </c>
      <c r="AA434" s="5">
        <v>19000</v>
      </c>
      <c r="AB434" s="6">
        <v>264000</v>
      </c>
      <c r="AD434" s="2" t="str">
        <f>VLOOKUP(E434,'[1]Detailed Transfer Report (12)'!$K:$Y,14,FALSE)</f>
        <v>Sardar Tanveer Ilyas</v>
      </c>
      <c r="AE434" s="16"/>
    </row>
    <row r="435" spans="1:31" x14ac:dyDescent="0.25">
      <c r="A435" s="10">
        <v>188</v>
      </c>
      <c r="B435" s="4">
        <v>42763</v>
      </c>
      <c r="C435" s="3" t="s">
        <v>46</v>
      </c>
      <c r="D435" s="3" t="s">
        <v>689</v>
      </c>
      <c r="E435" s="3">
        <v>11120</v>
      </c>
      <c r="F435" s="3"/>
      <c r="G435" s="3" t="s">
        <v>30</v>
      </c>
      <c r="H435" s="3">
        <v>0</v>
      </c>
      <c r="I435" s="3">
        <v>0</v>
      </c>
      <c r="J435" s="3">
        <v>0</v>
      </c>
      <c r="K435" s="3">
        <v>0</v>
      </c>
      <c r="L435" s="5">
        <v>6000</v>
      </c>
      <c r="M435" s="5">
        <v>38000</v>
      </c>
      <c r="N435" s="5">
        <v>58000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5">
        <v>1000</v>
      </c>
      <c r="W435" s="5">
        <v>17000</v>
      </c>
      <c r="X435" s="3">
        <v>0</v>
      </c>
      <c r="Y435" s="3">
        <v>0</v>
      </c>
      <c r="Z435" s="3">
        <v>0</v>
      </c>
      <c r="AA435" s="5">
        <v>19000</v>
      </c>
      <c r="AB435" s="6">
        <v>403000</v>
      </c>
      <c r="AD435" s="2" t="str">
        <f>VLOOKUP(E435,'[1]Detailed Transfer Report (12)'!$K:$Y,14,FALSE)</f>
        <v>Sardar Tanveer Ilyas</v>
      </c>
      <c r="AE435" s="16"/>
    </row>
    <row r="436" spans="1:31" x14ac:dyDescent="0.25">
      <c r="A436" s="3">
        <v>189</v>
      </c>
      <c r="B436" s="4">
        <v>42359</v>
      </c>
      <c r="C436" s="3" t="s">
        <v>690</v>
      </c>
      <c r="D436" s="3" t="s">
        <v>691</v>
      </c>
      <c r="E436" s="3">
        <v>11687</v>
      </c>
      <c r="F436" s="3"/>
      <c r="G436" s="3" t="s">
        <v>30</v>
      </c>
      <c r="H436" s="3">
        <v>0</v>
      </c>
      <c r="I436" s="3">
        <v>0</v>
      </c>
      <c r="J436" s="3">
        <v>0</v>
      </c>
      <c r="K436" s="3">
        <v>0</v>
      </c>
      <c r="L436" s="5">
        <v>200000</v>
      </c>
      <c r="M436" s="5">
        <v>91300</v>
      </c>
      <c r="N436" s="5">
        <v>137950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5">
        <v>1000</v>
      </c>
      <c r="W436" s="5">
        <v>34000</v>
      </c>
      <c r="X436" s="3">
        <v>0</v>
      </c>
      <c r="Y436" s="3">
        <v>0</v>
      </c>
      <c r="Z436" s="3">
        <v>0</v>
      </c>
      <c r="AA436" s="5">
        <v>45650</v>
      </c>
      <c r="AB436" s="6">
        <v>509900</v>
      </c>
      <c r="AD436" s="2" t="str">
        <f>VLOOKUP(E436,'[1]Detailed Transfer Report (12)'!$K:$Y,14,FALSE)</f>
        <v>Sardar Tanveer Ilyas</v>
      </c>
      <c r="AE436" s="16"/>
    </row>
    <row r="437" spans="1:31" x14ac:dyDescent="0.25">
      <c r="A437" s="3">
        <v>191</v>
      </c>
      <c r="B437" s="4">
        <v>42411</v>
      </c>
      <c r="C437" s="3" t="s">
        <v>44</v>
      </c>
      <c r="D437" s="3" t="s">
        <v>692</v>
      </c>
      <c r="E437" s="3">
        <v>11791</v>
      </c>
      <c r="F437" s="3"/>
      <c r="G437" s="3" t="s">
        <v>30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5">
        <v>20000</v>
      </c>
      <c r="N437" s="5">
        <v>31000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5">
        <v>8500</v>
      </c>
      <c r="X437" s="3">
        <v>0</v>
      </c>
      <c r="Y437" s="3">
        <v>0</v>
      </c>
      <c r="Z437" s="3">
        <v>0</v>
      </c>
      <c r="AA437" s="5">
        <v>10000</v>
      </c>
      <c r="AB437" s="6">
        <v>69500</v>
      </c>
      <c r="AD437" s="2" t="str">
        <f>VLOOKUP(E437,'[1]Detailed Transfer Report (12)'!$K:$Y,14,FALSE)</f>
        <v>Sardar Tanveer Ilyas</v>
      </c>
      <c r="AE437" s="16"/>
    </row>
    <row r="438" spans="1:31" x14ac:dyDescent="0.25">
      <c r="A438" s="3">
        <v>192</v>
      </c>
      <c r="B438" s="4">
        <v>42469</v>
      </c>
      <c r="C438" s="3" t="s">
        <v>207</v>
      </c>
      <c r="D438" s="3" t="s">
        <v>693</v>
      </c>
      <c r="E438" s="3">
        <v>11997</v>
      </c>
      <c r="F438" s="3"/>
      <c r="G438" s="3" t="s">
        <v>30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5">
        <v>75000</v>
      </c>
      <c r="N438" s="5">
        <v>113500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5">
        <v>42500</v>
      </c>
      <c r="X438" s="3">
        <v>0</v>
      </c>
      <c r="Y438" s="3">
        <v>0</v>
      </c>
      <c r="Z438" s="3">
        <v>0</v>
      </c>
      <c r="AA438" s="5">
        <v>37500</v>
      </c>
      <c r="AB438" s="6">
        <v>268500</v>
      </c>
      <c r="AD438" s="2" t="str">
        <f>VLOOKUP(E438,'[1]Detailed Transfer Report (12)'!$K:$Y,14,FALSE)</f>
        <v>Sardar Tanveer Ilyas</v>
      </c>
      <c r="AE438" s="16"/>
    </row>
    <row r="439" spans="1:31" x14ac:dyDescent="0.25">
      <c r="A439" s="3">
        <v>193</v>
      </c>
      <c r="B439" s="4">
        <v>42460</v>
      </c>
      <c r="C439" s="3" t="s">
        <v>694</v>
      </c>
      <c r="D439" s="3" t="s">
        <v>695</v>
      </c>
      <c r="E439" s="3">
        <v>12028</v>
      </c>
      <c r="F439" s="3"/>
      <c r="G439" s="3" t="s">
        <v>30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5">
        <v>90000</v>
      </c>
      <c r="N439" s="5">
        <v>136000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5">
        <v>44000</v>
      </c>
      <c r="X439" s="3">
        <v>0</v>
      </c>
      <c r="Y439" s="3">
        <v>0</v>
      </c>
      <c r="Z439" s="3">
        <v>0</v>
      </c>
      <c r="AA439" s="5">
        <v>45000</v>
      </c>
      <c r="AB439" s="6">
        <v>315000</v>
      </c>
      <c r="AD439" s="2" t="str">
        <f>VLOOKUP(E439,'[1]Detailed Transfer Report (12)'!$K:$Y,14,FALSE)</f>
        <v>Sardar Tanveer Ilyas</v>
      </c>
      <c r="AE439" s="16"/>
    </row>
    <row r="440" spans="1:31" x14ac:dyDescent="0.25">
      <c r="A440" s="3">
        <v>194</v>
      </c>
      <c r="B440" s="4">
        <v>42544</v>
      </c>
      <c r="C440" s="3" t="s">
        <v>534</v>
      </c>
      <c r="D440" s="3" t="s">
        <v>696</v>
      </c>
      <c r="E440" s="3">
        <v>12007</v>
      </c>
      <c r="F440" s="3"/>
      <c r="G440" s="3" t="s">
        <v>30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5">
        <v>19000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5">
        <v>4500</v>
      </c>
      <c r="X440" s="3">
        <v>0</v>
      </c>
      <c r="Y440" s="3">
        <v>0</v>
      </c>
      <c r="Z440" s="3">
        <v>0</v>
      </c>
      <c r="AA440" s="5">
        <v>6000</v>
      </c>
      <c r="AB440" s="6">
        <v>29500</v>
      </c>
      <c r="AD440" s="2" t="str">
        <f>VLOOKUP(E440,'[1]Detailed Transfer Report (12)'!$K:$Y,14,FALSE)</f>
        <v>Sardar Tanveer Ilyas</v>
      </c>
      <c r="AE440" s="16"/>
    </row>
    <row r="441" spans="1:31" x14ac:dyDescent="0.25">
      <c r="A441" s="3">
        <v>195</v>
      </c>
      <c r="B441" s="4">
        <v>42469</v>
      </c>
      <c r="C441" s="3" t="s">
        <v>251</v>
      </c>
      <c r="D441" s="3" t="s">
        <v>697</v>
      </c>
      <c r="E441" s="3">
        <v>11287</v>
      </c>
      <c r="F441" s="3"/>
      <c r="G441" s="3" t="s">
        <v>30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5">
        <v>350000</v>
      </c>
      <c r="N441" s="5">
        <v>526000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5">
        <v>1000</v>
      </c>
      <c r="W441" s="5">
        <v>127500</v>
      </c>
      <c r="X441" s="3">
        <v>0</v>
      </c>
      <c r="Y441" s="3">
        <v>0</v>
      </c>
      <c r="Z441" s="3">
        <v>0</v>
      </c>
      <c r="AA441" s="5">
        <v>175000</v>
      </c>
      <c r="AB441" s="6">
        <v>1179500</v>
      </c>
      <c r="AD441" s="2" t="str">
        <f>VLOOKUP(E441,'[1]Detailed Transfer Report (12)'!$K:$Y,14,FALSE)</f>
        <v>Sardar Tanveer Ilyas</v>
      </c>
      <c r="AE441" s="16"/>
    </row>
    <row r="442" spans="1:31" x14ac:dyDescent="0.25">
      <c r="A442" s="3">
        <v>196</v>
      </c>
      <c r="B442" s="4">
        <v>42604</v>
      </c>
      <c r="C442" s="3" t="s">
        <v>698</v>
      </c>
      <c r="D442" s="3" t="s">
        <v>699</v>
      </c>
      <c r="E442" s="3">
        <v>12270</v>
      </c>
      <c r="F442" s="3"/>
      <c r="G442" s="3" t="s">
        <v>30</v>
      </c>
      <c r="H442" s="3">
        <v>0</v>
      </c>
      <c r="I442" s="3">
        <v>0</v>
      </c>
      <c r="J442" s="3">
        <v>0</v>
      </c>
      <c r="K442" s="3">
        <v>0</v>
      </c>
      <c r="L442" s="5">
        <v>1450000</v>
      </c>
      <c r="M442" s="5">
        <v>1080000</v>
      </c>
      <c r="N442" s="5">
        <v>1621000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5">
        <v>232000</v>
      </c>
      <c r="X442" s="3">
        <v>0</v>
      </c>
      <c r="Y442" s="3">
        <v>0</v>
      </c>
      <c r="Z442" s="3">
        <v>0</v>
      </c>
      <c r="AA442" s="5">
        <v>540000</v>
      </c>
      <c r="AB442" s="6">
        <v>4923000</v>
      </c>
      <c r="AD442" s="2" t="str">
        <f>VLOOKUP(E442,'[1]Detailed Transfer Report (12)'!$K:$Y,14,FALSE)</f>
        <v>Sardar Tanveer Ilyas</v>
      </c>
      <c r="AE442" s="16"/>
    </row>
    <row r="443" spans="1:31" x14ac:dyDescent="0.25">
      <c r="A443" s="3">
        <v>197</v>
      </c>
      <c r="B443" s="4">
        <v>42544</v>
      </c>
      <c r="C443" s="3" t="s">
        <v>700</v>
      </c>
      <c r="D443" s="3" t="s">
        <v>701</v>
      </c>
      <c r="E443" s="3">
        <v>12049</v>
      </c>
      <c r="F443" s="3"/>
      <c r="G443" s="3" t="s">
        <v>30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5">
        <v>21250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5">
        <v>4500</v>
      </c>
      <c r="X443" s="3">
        <v>0</v>
      </c>
      <c r="Y443" s="3">
        <v>0</v>
      </c>
      <c r="Z443" s="3">
        <v>0</v>
      </c>
      <c r="AA443" s="5">
        <v>6750</v>
      </c>
      <c r="AB443" s="6">
        <v>32500</v>
      </c>
      <c r="AD443" s="2" t="str">
        <f>VLOOKUP(E443,'[1]Detailed Transfer Report (12)'!$K:$Y,14,FALSE)</f>
        <v>Sardar Tanveer Ilyas</v>
      </c>
      <c r="AE443" s="16"/>
    </row>
    <row r="444" spans="1:31" x14ac:dyDescent="0.25">
      <c r="A444" s="3">
        <v>198</v>
      </c>
      <c r="B444" s="4">
        <v>42604</v>
      </c>
      <c r="C444" s="3" t="s">
        <v>702</v>
      </c>
      <c r="D444" s="3" t="s">
        <v>703</v>
      </c>
      <c r="E444" s="3">
        <v>12121</v>
      </c>
      <c r="F444" s="3"/>
      <c r="G444" s="3" t="s">
        <v>30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5">
        <v>28000</v>
      </c>
      <c r="N444" s="5">
        <v>43000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5">
        <v>8000</v>
      </c>
      <c r="X444" s="3">
        <v>0</v>
      </c>
      <c r="Y444" s="3">
        <v>0</v>
      </c>
      <c r="Z444" s="3">
        <v>0</v>
      </c>
      <c r="AA444" s="5">
        <v>14000</v>
      </c>
      <c r="AB444" s="6">
        <v>93000</v>
      </c>
      <c r="AD444" s="2" t="str">
        <f>VLOOKUP(E444,'[1]Detailed Transfer Report (12)'!$K:$Y,14,FALSE)</f>
        <v>Sardar Tanveer Ilyas</v>
      </c>
      <c r="AE444" s="16"/>
    </row>
    <row r="445" spans="1:31" x14ac:dyDescent="0.25">
      <c r="A445" s="3">
        <v>199</v>
      </c>
      <c r="B445" s="4">
        <v>42551</v>
      </c>
      <c r="C445" s="3" t="s">
        <v>704</v>
      </c>
      <c r="D445" s="3" t="s">
        <v>705</v>
      </c>
      <c r="E445" s="3">
        <v>12259</v>
      </c>
      <c r="F445" s="3"/>
      <c r="G445" s="3" t="s">
        <v>30</v>
      </c>
      <c r="H445" s="3">
        <v>0</v>
      </c>
      <c r="I445" s="3">
        <v>0</v>
      </c>
      <c r="J445" s="3">
        <v>0</v>
      </c>
      <c r="K445" s="3">
        <v>0</v>
      </c>
      <c r="L445" s="5">
        <v>1585000</v>
      </c>
      <c r="M445" s="5">
        <v>572000</v>
      </c>
      <c r="N445" s="5">
        <v>859000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5">
        <v>1000</v>
      </c>
      <c r="W445" s="5">
        <v>272000</v>
      </c>
      <c r="X445" s="3">
        <v>0</v>
      </c>
      <c r="Y445" s="3">
        <v>0</v>
      </c>
      <c r="Z445" s="3">
        <v>0</v>
      </c>
      <c r="AA445" s="5">
        <v>286000</v>
      </c>
      <c r="AB445" s="6">
        <v>3575000</v>
      </c>
      <c r="AD445" s="2" t="str">
        <f>VLOOKUP(E445,'[1]Detailed Transfer Report (12)'!$K:$Y,14,FALSE)</f>
        <v>Sardar Tanveer Ilyas</v>
      </c>
      <c r="AE445" s="16"/>
    </row>
    <row r="446" spans="1:31" x14ac:dyDescent="0.25">
      <c r="A446" s="3">
        <v>200</v>
      </c>
      <c r="B446" s="4">
        <v>42544</v>
      </c>
      <c r="C446" s="3" t="s">
        <v>153</v>
      </c>
      <c r="D446" s="3" t="s">
        <v>706</v>
      </c>
      <c r="E446" s="3">
        <v>12166</v>
      </c>
      <c r="F446" s="3"/>
      <c r="G446" s="3" t="s">
        <v>30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5">
        <v>28000</v>
      </c>
      <c r="N446" s="5">
        <v>43000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5">
        <v>850000</v>
      </c>
      <c r="U446" s="3">
        <v>0</v>
      </c>
      <c r="V446" s="3">
        <v>0</v>
      </c>
      <c r="W446" s="5">
        <v>4000</v>
      </c>
      <c r="X446" s="3">
        <v>0</v>
      </c>
      <c r="Y446" s="5">
        <v>850000</v>
      </c>
      <c r="Z446" s="3">
        <v>0</v>
      </c>
      <c r="AA446" s="5">
        <v>14000</v>
      </c>
      <c r="AB446" s="6">
        <v>1789000</v>
      </c>
      <c r="AD446" s="2" t="str">
        <f>VLOOKUP(E446,'[1]Detailed Transfer Report (12)'!$K:$Y,14,FALSE)</f>
        <v>Sardar Tanveer Ilyas</v>
      </c>
      <c r="AE446" s="16"/>
    </row>
    <row r="447" spans="1:31" x14ac:dyDescent="0.25">
      <c r="A447" s="3">
        <v>201</v>
      </c>
      <c r="B447" s="4">
        <v>42544</v>
      </c>
      <c r="C447" s="3" t="s">
        <v>114</v>
      </c>
      <c r="D447" s="3" t="s">
        <v>707</v>
      </c>
      <c r="E447" s="3">
        <v>12154</v>
      </c>
      <c r="F447" s="3"/>
      <c r="G447" s="3" t="s">
        <v>30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5">
        <v>10000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5">
        <v>4000</v>
      </c>
      <c r="X447" s="3">
        <v>0</v>
      </c>
      <c r="Y447" s="3">
        <v>0</v>
      </c>
      <c r="Z447" s="3">
        <v>0</v>
      </c>
      <c r="AA447" s="5">
        <v>3000</v>
      </c>
      <c r="AB447" s="6">
        <v>17000</v>
      </c>
      <c r="AD447" s="2" t="str">
        <f>VLOOKUP(E447,'[1]Detailed Transfer Report (12)'!$K:$Y,14,FALSE)</f>
        <v>Sardar Tanveer Ilyas</v>
      </c>
      <c r="AE447" s="16"/>
    </row>
    <row r="448" spans="1:31" x14ac:dyDescent="0.25">
      <c r="A448" s="3">
        <v>202</v>
      </c>
      <c r="B448" s="4">
        <v>42606</v>
      </c>
      <c r="C448" s="3" t="s">
        <v>313</v>
      </c>
      <c r="D448" s="3" t="s">
        <v>708</v>
      </c>
      <c r="E448" s="3">
        <v>1251</v>
      </c>
      <c r="F448" s="3"/>
      <c r="G448" s="3" t="s">
        <v>41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5">
        <v>12500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5">
        <v>4500</v>
      </c>
      <c r="X448" s="3">
        <v>0</v>
      </c>
      <c r="Y448" s="3">
        <v>0</v>
      </c>
      <c r="Z448" s="3">
        <v>0</v>
      </c>
      <c r="AA448" s="5">
        <v>4000</v>
      </c>
      <c r="AB448" s="6">
        <v>21000</v>
      </c>
      <c r="AD448" s="2" t="str">
        <f>VLOOKUP(E448,'[1]Detailed Transfer Report (12)'!$K:$Y,14,FALSE)</f>
        <v>Sardar Tanveer Ilyas</v>
      </c>
      <c r="AE448" s="16"/>
    </row>
    <row r="449" spans="1:31" x14ac:dyDescent="0.25">
      <c r="A449" s="3">
        <v>203</v>
      </c>
      <c r="B449" s="4">
        <v>42606</v>
      </c>
      <c r="C449" s="3" t="s">
        <v>137</v>
      </c>
      <c r="D449" s="3" t="s">
        <v>709</v>
      </c>
      <c r="E449" s="3"/>
      <c r="F449" s="3"/>
      <c r="G449" s="3" t="s">
        <v>30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5">
        <v>24250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5">
        <v>8500</v>
      </c>
      <c r="X449" s="3">
        <v>0</v>
      </c>
      <c r="Y449" s="3">
        <v>0</v>
      </c>
      <c r="Z449" s="3">
        <v>0</v>
      </c>
      <c r="AA449" s="5">
        <v>7750</v>
      </c>
      <c r="AB449" s="6">
        <v>40500</v>
      </c>
      <c r="AE449" s="16"/>
    </row>
    <row r="450" spans="1:31" x14ac:dyDescent="0.25">
      <c r="A450" s="7">
        <v>204</v>
      </c>
      <c r="B450" s="4">
        <v>42544</v>
      </c>
      <c r="C450" s="3" t="s">
        <v>375</v>
      </c>
      <c r="D450" s="3" t="s">
        <v>710</v>
      </c>
      <c r="E450" s="3">
        <v>12129</v>
      </c>
      <c r="F450" s="3"/>
      <c r="G450" s="3" t="s">
        <v>30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5">
        <v>13000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5">
        <v>4500</v>
      </c>
      <c r="X450" s="3">
        <v>0</v>
      </c>
      <c r="Y450" s="3">
        <v>0</v>
      </c>
      <c r="Z450" s="3">
        <v>0</v>
      </c>
      <c r="AA450" s="5">
        <v>4000</v>
      </c>
      <c r="AB450" s="6">
        <v>21500</v>
      </c>
      <c r="AD450" s="2" t="str">
        <f>VLOOKUP(E450,'[1]Detailed Transfer Report (12)'!$K:$Y,14,FALSE)</f>
        <v>Sardar Tanveer Ilyas</v>
      </c>
      <c r="AE450" s="16"/>
    </row>
    <row r="451" spans="1:31" x14ac:dyDescent="0.25">
      <c r="A451" s="10">
        <v>204</v>
      </c>
      <c r="B451" s="4">
        <v>42544</v>
      </c>
      <c r="C451" s="3" t="s">
        <v>711</v>
      </c>
      <c r="D451" s="3" t="s">
        <v>712</v>
      </c>
      <c r="E451" s="3">
        <v>12137</v>
      </c>
      <c r="F451" s="3"/>
      <c r="G451" s="3" t="s">
        <v>30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5">
        <v>2800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600</v>
      </c>
      <c r="AB451" s="6">
        <v>24900</v>
      </c>
      <c r="AD451" s="2" t="str">
        <f>VLOOKUP(E451,'[1]Detailed Transfer Report (12)'!$K:$Y,14,FALSE)</f>
        <v>Sardar Tanveer Ilyas</v>
      </c>
      <c r="AE451" s="16"/>
    </row>
    <row r="452" spans="1:31" x14ac:dyDescent="0.25">
      <c r="A452" s="7">
        <v>207</v>
      </c>
      <c r="B452" s="4">
        <v>43046</v>
      </c>
      <c r="C452" s="3" t="s">
        <v>713</v>
      </c>
      <c r="D452" s="3" t="s">
        <v>714</v>
      </c>
      <c r="E452" s="3">
        <v>11892</v>
      </c>
      <c r="F452" s="3"/>
      <c r="G452" s="3" t="s">
        <v>30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5">
        <v>135000</v>
      </c>
      <c r="N452" s="5">
        <v>203500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5">
        <v>130286</v>
      </c>
      <c r="X452" s="3">
        <v>0</v>
      </c>
      <c r="Y452" s="3">
        <v>0</v>
      </c>
      <c r="Z452" s="3">
        <v>0</v>
      </c>
      <c r="AA452" s="5">
        <v>67500</v>
      </c>
      <c r="AB452" s="6">
        <v>536286</v>
      </c>
      <c r="AD452" s="2" t="str">
        <f>VLOOKUP(E452,'[1]Detailed Transfer Report (12)'!$K:$Y,14,FALSE)</f>
        <v>Sardar Tanveer Ilyas</v>
      </c>
      <c r="AE452" s="16"/>
    </row>
    <row r="453" spans="1:31" x14ac:dyDescent="0.25">
      <c r="A453" s="10">
        <v>207</v>
      </c>
      <c r="B453" s="4">
        <v>43046</v>
      </c>
      <c r="C453" s="3" t="s">
        <v>198</v>
      </c>
      <c r="D453" s="3" t="s">
        <v>715</v>
      </c>
      <c r="E453" s="3">
        <v>12234</v>
      </c>
      <c r="F453" s="3"/>
      <c r="G453" s="3" t="s">
        <v>30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6">
        <v>536286</v>
      </c>
      <c r="AD453" s="2" t="str">
        <f>VLOOKUP(E453,'[1]Detailed Transfer Report (12)'!$K:$Y,14,FALSE)</f>
        <v>Sardar Tanveer Ilyas</v>
      </c>
      <c r="AE453" s="16"/>
    </row>
    <row r="454" spans="1:31" x14ac:dyDescent="0.25">
      <c r="A454" s="3">
        <v>208</v>
      </c>
      <c r="B454" s="4">
        <v>42551</v>
      </c>
      <c r="C454" s="3" t="s">
        <v>323</v>
      </c>
      <c r="D454" s="3" t="s">
        <v>716</v>
      </c>
      <c r="E454" s="3">
        <v>12236</v>
      </c>
      <c r="F454" s="3"/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5">
        <v>136000</v>
      </c>
      <c r="N454" s="5">
        <v>205000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5">
        <v>34000</v>
      </c>
      <c r="X454" s="3">
        <v>0</v>
      </c>
      <c r="Y454" s="3">
        <v>0</v>
      </c>
      <c r="Z454" s="3">
        <v>0</v>
      </c>
      <c r="AA454" s="5">
        <v>68000</v>
      </c>
      <c r="AB454" s="6">
        <v>443000</v>
      </c>
      <c r="AD454" s="2" t="str">
        <f>VLOOKUP(E454,'[1]Detailed Transfer Report (12)'!$K:$Y,14,FALSE)</f>
        <v>Sardar Tanveer Ilyas</v>
      </c>
      <c r="AE454" s="16"/>
    </row>
    <row r="455" spans="1:31" x14ac:dyDescent="0.25">
      <c r="A455" s="3">
        <v>209</v>
      </c>
      <c r="B455" s="4">
        <v>42604</v>
      </c>
      <c r="C455" s="3" t="s">
        <v>456</v>
      </c>
      <c r="D455" s="3" t="s">
        <v>717</v>
      </c>
      <c r="E455" s="3">
        <v>12267</v>
      </c>
      <c r="F455" s="3"/>
      <c r="G455" s="3" t="s">
        <v>30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5">
        <v>100000</v>
      </c>
      <c r="N455" s="5">
        <v>151000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5">
        <v>44500</v>
      </c>
      <c r="X455" s="3">
        <v>0</v>
      </c>
      <c r="Y455" s="3">
        <v>0</v>
      </c>
      <c r="Z455" s="3">
        <v>0</v>
      </c>
      <c r="AA455" s="5">
        <v>50000</v>
      </c>
      <c r="AB455" s="6">
        <v>345500</v>
      </c>
      <c r="AD455" s="2" t="str">
        <f>VLOOKUP(E455,'[1]Detailed Transfer Report (12)'!$K:$Y,14,FALSE)</f>
        <v>Sardar Tanveer Ilyas</v>
      </c>
      <c r="AE455" s="16"/>
    </row>
    <row r="456" spans="1:31" x14ac:dyDescent="0.25">
      <c r="A456" s="3">
        <v>211</v>
      </c>
      <c r="B456" s="4">
        <v>42604</v>
      </c>
      <c r="C456" s="3" t="s">
        <v>718</v>
      </c>
      <c r="D456" s="3" t="s">
        <v>719</v>
      </c>
      <c r="E456" s="3">
        <v>12271</v>
      </c>
      <c r="F456" s="3"/>
      <c r="G456" s="3" t="s">
        <v>30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5">
        <v>36000</v>
      </c>
      <c r="N456" s="5">
        <v>55000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5">
        <v>50000</v>
      </c>
      <c r="W456" s="5">
        <v>8000</v>
      </c>
      <c r="X456" s="3">
        <v>0</v>
      </c>
      <c r="Y456" s="3">
        <v>0</v>
      </c>
      <c r="Z456" s="3">
        <v>0</v>
      </c>
      <c r="AA456" s="5">
        <v>18000</v>
      </c>
      <c r="AB456" s="6">
        <v>167000</v>
      </c>
      <c r="AD456" s="2" t="str">
        <f>VLOOKUP(E456,'[1]Detailed Transfer Report (12)'!$K:$Y,14,FALSE)</f>
        <v>Sardar Tanveer Ilyas</v>
      </c>
      <c r="AE456" s="16"/>
    </row>
    <row r="457" spans="1:31" x14ac:dyDescent="0.25">
      <c r="A457" s="7">
        <v>212</v>
      </c>
      <c r="B457" s="4">
        <v>42550</v>
      </c>
      <c r="C457" s="3" t="s">
        <v>139</v>
      </c>
      <c r="D457" s="3" t="s">
        <v>720</v>
      </c>
      <c r="E457" s="3">
        <v>11942</v>
      </c>
      <c r="F457" s="3"/>
      <c r="G457" s="3" t="s">
        <v>30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5">
        <v>24250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5">
        <v>7750</v>
      </c>
      <c r="AB457" s="6">
        <v>32000</v>
      </c>
      <c r="AD457" s="2" t="str">
        <f>VLOOKUP(E457,'[1]Detailed Transfer Report (12)'!$K:$Y,14,FALSE)</f>
        <v>Sardar Tanveer Ilyas</v>
      </c>
      <c r="AE457" s="16"/>
    </row>
    <row r="458" spans="1:31" x14ac:dyDescent="0.25">
      <c r="A458" s="9">
        <v>212</v>
      </c>
      <c r="B458" s="4">
        <v>42550</v>
      </c>
      <c r="C458" s="3" t="s">
        <v>721</v>
      </c>
      <c r="D458" s="3" t="s">
        <v>722</v>
      </c>
      <c r="E458" s="3">
        <v>11943</v>
      </c>
      <c r="F458" s="3"/>
      <c r="G458" s="3" t="s">
        <v>30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5">
        <v>6400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5">
        <v>4000</v>
      </c>
      <c r="X458" s="3">
        <v>0</v>
      </c>
      <c r="Y458" s="3">
        <v>0</v>
      </c>
      <c r="Z458" s="3">
        <v>0</v>
      </c>
      <c r="AA458" s="5">
        <v>1800</v>
      </c>
      <c r="AB458" s="6">
        <v>44200</v>
      </c>
      <c r="AD458" s="2" t="str">
        <f>VLOOKUP(E458,'[1]Detailed Transfer Report (12)'!$K:$Y,14,FALSE)</f>
        <v>Sardar Tanveer Ilyas</v>
      </c>
      <c r="AE458" s="16"/>
    </row>
    <row r="459" spans="1:31" x14ac:dyDescent="0.25">
      <c r="A459" s="10">
        <v>212</v>
      </c>
      <c r="B459" s="4">
        <v>42550</v>
      </c>
      <c r="C459" s="3" t="s">
        <v>723</v>
      </c>
      <c r="D459" s="3" t="s">
        <v>724</v>
      </c>
      <c r="E459" s="3">
        <v>12208</v>
      </c>
      <c r="F459" s="3"/>
      <c r="G459" s="3" t="s">
        <v>30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5">
        <v>7750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5">
        <v>4500</v>
      </c>
      <c r="X459" s="3">
        <v>0</v>
      </c>
      <c r="Y459" s="3">
        <v>0</v>
      </c>
      <c r="Z459" s="3">
        <v>0</v>
      </c>
      <c r="AA459" s="5">
        <v>2250</v>
      </c>
      <c r="AB459" s="6">
        <v>58700</v>
      </c>
      <c r="AD459" s="2" t="str">
        <f>VLOOKUP(E459,'[1]Detailed Transfer Report (12)'!$K:$Y,14,FALSE)</f>
        <v>Sardar Tanveer Ilyas</v>
      </c>
      <c r="AE459" s="16"/>
    </row>
    <row r="460" spans="1:31" x14ac:dyDescent="0.25">
      <c r="A460" s="3">
        <v>214</v>
      </c>
      <c r="B460" s="4">
        <v>42592</v>
      </c>
      <c r="C460" s="3" t="s">
        <v>137</v>
      </c>
      <c r="D460" s="3" t="s">
        <v>725</v>
      </c>
      <c r="E460" s="3">
        <v>12312</v>
      </c>
      <c r="F460" s="3"/>
      <c r="G460" s="3" t="s">
        <v>30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8">
        <v>0</v>
      </c>
      <c r="AD460" s="2" t="str">
        <f>VLOOKUP(E460,'[1]Detailed Transfer Report (12)'!$K:$Y,14,FALSE)</f>
        <v>Sardar Tanveer Ilyas</v>
      </c>
      <c r="AE460" s="16"/>
    </row>
    <row r="461" spans="1:31" x14ac:dyDescent="0.25">
      <c r="A461" s="3">
        <v>215</v>
      </c>
      <c r="B461" s="4">
        <v>42606</v>
      </c>
      <c r="C461" s="3" t="s">
        <v>726</v>
      </c>
      <c r="D461" s="3" t="s">
        <v>727</v>
      </c>
      <c r="E461" s="3">
        <v>12324</v>
      </c>
      <c r="F461" s="3"/>
      <c r="G461" s="3" t="s">
        <v>30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5">
        <v>670667</v>
      </c>
      <c r="N461" s="5">
        <v>1007000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5">
        <v>268000</v>
      </c>
      <c r="X461" s="3">
        <v>0</v>
      </c>
      <c r="Y461" s="3">
        <v>0</v>
      </c>
      <c r="Z461" s="3">
        <v>0</v>
      </c>
      <c r="AA461" s="5">
        <v>335333</v>
      </c>
      <c r="AB461" s="6">
        <v>2281000</v>
      </c>
      <c r="AD461" s="2" t="str">
        <f>VLOOKUP(E461,'[1]Detailed Transfer Report (12)'!$K:$Y,14,FALSE)</f>
        <v>Sardar Tanveer Ilyas</v>
      </c>
      <c r="AE461" s="16"/>
    </row>
    <row r="462" spans="1:31" x14ac:dyDescent="0.25">
      <c r="A462" s="3">
        <v>216</v>
      </c>
      <c r="B462" s="4">
        <v>42650</v>
      </c>
      <c r="C462" s="3" t="s">
        <v>728</v>
      </c>
      <c r="D462" s="3" t="s">
        <v>729</v>
      </c>
      <c r="E462" s="3">
        <v>12311</v>
      </c>
      <c r="F462" s="3"/>
      <c r="G462" s="3" t="s">
        <v>30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5">
        <v>23000</v>
      </c>
      <c r="N462" s="5">
        <v>35500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5">
        <v>11500</v>
      </c>
      <c r="X462" s="3">
        <v>0</v>
      </c>
      <c r="Y462" s="3">
        <v>0</v>
      </c>
      <c r="Z462" s="3">
        <v>0</v>
      </c>
      <c r="AA462" s="5">
        <v>11500</v>
      </c>
      <c r="AB462" s="6">
        <v>81500</v>
      </c>
      <c r="AD462" s="2" t="str">
        <f>VLOOKUP(E462,'[1]Detailed Transfer Report (12)'!$K:$Y,14,FALSE)</f>
        <v>Sardar Tanveer Ilyas</v>
      </c>
      <c r="AE462" s="16"/>
    </row>
    <row r="463" spans="1:31" x14ac:dyDescent="0.25">
      <c r="A463" s="7">
        <v>219</v>
      </c>
      <c r="B463" s="4">
        <v>42650</v>
      </c>
      <c r="C463" s="3" t="s">
        <v>730</v>
      </c>
      <c r="D463" s="3" t="s">
        <v>731</v>
      </c>
      <c r="E463" s="3">
        <v>12256</v>
      </c>
      <c r="F463" s="3"/>
      <c r="G463" s="3" t="s">
        <v>30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5">
        <v>46000</v>
      </c>
      <c r="N463" s="5">
        <v>70000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5">
        <v>21500</v>
      </c>
      <c r="X463" s="3">
        <v>0</v>
      </c>
      <c r="Y463" s="3">
        <v>0</v>
      </c>
      <c r="Z463" s="3">
        <v>0</v>
      </c>
      <c r="AA463" s="5">
        <v>23000</v>
      </c>
      <c r="AB463" s="6">
        <v>160500</v>
      </c>
      <c r="AD463" s="2" t="str">
        <f>VLOOKUP(E463,'[1]Detailed Transfer Report (12)'!$K:$Y,14,FALSE)</f>
        <v>Sardar Tanveer Ilyas</v>
      </c>
      <c r="AE463" s="16"/>
    </row>
    <row r="464" spans="1:31" x14ac:dyDescent="0.25">
      <c r="A464" s="10">
        <v>219</v>
      </c>
      <c r="B464" s="4">
        <v>42650</v>
      </c>
      <c r="C464" s="3" t="s">
        <v>732</v>
      </c>
      <c r="D464" s="3" t="s">
        <v>733</v>
      </c>
      <c r="E464" s="3">
        <v>12337</v>
      </c>
      <c r="F464" s="3"/>
      <c r="G464" s="3" t="s">
        <v>30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5">
        <v>17500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5">
        <v>4500</v>
      </c>
      <c r="X464" s="3">
        <v>0</v>
      </c>
      <c r="Y464" s="3">
        <v>0</v>
      </c>
      <c r="Z464" s="3">
        <v>0</v>
      </c>
      <c r="AA464" s="5">
        <v>5500</v>
      </c>
      <c r="AB464" s="6">
        <v>188000</v>
      </c>
      <c r="AD464" s="2" t="str">
        <f>VLOOKUP(E464,'[1]Detailed Transfer Report (12)'!$K:$Y,14,FALSE)</f>
        <v>Sardar Tanveer Ilyas</v>
      </c>
      <c r="AE464" s="16"/>
    </row>
    <row r="465" spans="1:31" x14ac:dyDescent="0.25">
      <c r="A465" s="3">
        <v>220</v>
      </c>
      <c r="B465" s="4">
        <v>42606</v>
      </c>
      <c r="C465" s="3" t="s">
        <v>545</v>
      </c>
      <c r="D465" s="3" t="s">
        <v>734</v>
      </c>
      <c r="E465" s="3">
        <v>12322</v>
      </c>
      <c r="F465" s="3"/>
      <c r="G465" s="3" t="s">
        <v>30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5">
        <v>106400</v>
      </c>
      <c r="N465" s="5">
        <v>160600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5">
        <v>48000</v>
      </c>
      <c r="X465" s="3">
        <v>0</v>
      </c>
      <c r="Y465" s="3">
        <v>0</v>
      </c>
      <c r="Z465" s="3">
        <v>0</v>
      </c>
      <c r="AA465" s="5">
        <v>53200</v>
      </c>
      <c r="AB465" s="6">
        <v>368200</v>
      </c>
      <c r="AD465" s="2" t="str">
        <f>VLOOKUP(E465,'[1]Detailed Transfer Report (12)'!$K:$Y,14,FALSE)</f>
        <v>Sardar Tanveer Ilyas</v>
      </c>
      <c r="AE465" s="16"/>
    </row>
    <row r="466" spans="1:31" x14ac:dyDescent="0.25">
      <c r="A466" s="3">
        <v>222</v>
      </c>
      <c r="B466" s="4">
        <v>42595</v>
      </c>
      <c r="C466" s="3" t="s">
        <v>308</v>
      </c>
      <c r="D466" s="3" t="s">
        <v>735</v>
      </c>
      <c r="E466" s="3">
        <v>12349</v>
      </c>
      <c r="F466" s="3"/>
      <c r="G466" s="3" t="s">
        <v>30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5">
        <v>19000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5">
        <v>4000</v>
      </c>
      <c r="X466" s="3">
        <v>0</v>
      </c>
      <c r="Y466" s="3">
        <v>0</v>
      </c>
      <c r="Z466" s="3">
        <v>0</v>
      </c>
      <c r="AA466" s="5">
        <v>6000</v>
      </c>
      <c r="AB466" s="6">
        <v>29000</v>
      </c>
      <c r="AD466" s="2" t="str">
        <f>VLOOKUP(E466,'[1]Detailed Transfer Report (12)'!$K:$Y,14,FALSE)</f>
        <v>Sardar Tanveer Ilyas</v>
      </c>
      <c r="AE466" s="16"/>
    </row>
    <row r="467" spans="1:31" x14ac:dyDescent="0.25">
      <c r="A467" s="3">
        <v>223</v>
      </c>
      <c r="B467" s="4">
        <v>42606</v>
      </c>
      <c r="C467" s="3" t="s">
        <v>137</v>
      </c>
      <c r="D467" s="3" t="s">
        <v>736</v>
      </c>
      <c r="E467" s="3">
        <v>12342</v>
      </c>
      <c r="F467" s="3"/>
      <c r="G467" s="3" t="s">
        <v>30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5">
        <v>28000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5">
        <v>4500</v>
      </c>
      <c r="X467" s="3">
        <v>0</v>
      </c>
      <c r="Y467" s="3">
        <v>0</v>
      </c>
      <c r="Z467" s="3">
        <v>0</v>
      </c>
      <c r="AA467" s="5">
        <v>9000</v>
      </c>
      <c r="AB467" s="6">
        <v>41500</v>
      </c>
      <c r="AD467" s="2" t="str">
        <f>VLOOKUP(E467,'[1]Detailed Transfer Report (12)'!$K:$Y,14,FALSE)</f>
        <v>Sardar Tanveer Ilyas</v>
      </c>
      <c r="AE467" s="16"/>
    </row>
    <row r="468" spans="1:31" x14ac:dyDescent="0.25">
      <c r="A468" s="3">
        <v>225</v>
      </c>
      <c r="B468" s="4">
        <v>42604</v>
      </c>
      <c r="C468" s="3" t="s">
        <v>737</v>
      </c>
      <c r="D468" s="3" t="s">
        <v>738</v>
      </c>
      <c r="E468" s="3">
        <v>12382</v>
      </c>
      <c r="F468" s="3"/>
      <c r="G468" s="3" t="s">
        <v>30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5">
        <v>158000</v>
      </c>
      <c r="N468" s="5">
        <v>238000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5">
        <v>44000</v>
      </c>
      <c r="X468" s="3">
        <v>0</v>
      </c>
      <c r="Y468" s="3">
        <v>0</v>
      </c>
      <c r="Z468" s="3">
        <v>0</v>
      </c>
      <c r="AA468" s="5">
        <v>79000</v>
      </c>
      <c r="AB468" s="6">
        <v>519000</v>
      </c>
      <c r="AD468" s="2" t="str">
        <f>VLOOKUP(E468,'[1]Detailed Transfer Report (12)'!$K:$Y,14,FALSE)</f>
        <v>Sardar Tanveer Ilyas</v>
      </c>
      <c r="AE468" s="16"/>
    </row>
    <row r="469" spans="1:31" x14ac:dyDescent="0.25">
      <c r="A469" s="3">
        <v>226</v>
      </c>
      <c r="B469" s="4">
        <v>42604</v>
      </c>
      <c r="C469" s="3" t="s">
        <v>739</v>
      </c>
      <c r="D469" s="3" t="s">
        <v>740</v>
      </c>
      <c r="E469" s="3">
        <v>12367</v>
      </c>
      <c r="F469" s="3"/>
      <c r="G469" s="3" t="s">
        <v>30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5">
        <v>16750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5">
        <v>4500</v>
      </c>
      <c r="X469" s="3">
        <v>0</v>
      </c>
      <c r="Y469" s="3">
        <v>0</v>
      </c>
      <c r="Z469" s="3">
        <v>0</v>
      </c>
      <c r="AA469" s="5">
        <v>5250</v>
      </c>
      <c r="AB469" s="6">
        <v>26500</v>
      </c>
      <c r="AD469" s="2" t="str">
        <f>VLOOKUP(E469,'[1]Detailed Transfer Report (12)'!$K:$Y,14,FALSE)</f>
        <v>Sardar Tanveer Ilyas</v>
      </c>
      <c r="AE469" s="16"/>
    </row>
    <row r="470" spans="1:31" x14ac:dyDescent="0.25">
      <c r="A470" s="3">
        <v>227</v>
      </c>
      <c r="B470" s="4">
        <v>42611</v>
      </c>
      <c r="C470" s="3" t="s">
        <v>171</v>
      </c>
      <c r="D470" s="3" t="s">
        <v>741</v>
      </c>
      <c r="E470" s="3">
        <v>12350</v>
      </c>
      <c r="F470" s="3"/>
      <c r="G470" s="3" t="s">
        <v>30</v>
      </c>
      <c r="H470" s="3">
        <v>0</v>
      </c>
      <c r="I470" s="3">
        <v>0</v>
      </c>
      <c r="J470" s="3">
        <v>0</v>
      </c>
      <c r="K470" s="3">
        <v>0</v>
      </c>
      <c r="L470" s="5">
        <v>450000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6">
        <v>450000</v>
      </c>
      <c r="AD470" s="2" t="str">
        <f>VLOOKUP(E470,'[1]Detailed Transfer Report (12)'!$K:$Y,14,FALSE)</f>
        <v>Sardar Tanveer Ilyas</v>
      </c>
      <c r="AE470" s="16"/>
    </row>
    <row r="471" spans="1:31" x14ac:dyDescent="0.25">
      <c r="A471" s="3">
        <v>228</v>
      </c>
      <c r="B471" s="4">
        <v>42618</v>
      </c>
      <c r="C471" s="3" t="s">
        <v>742</v>
      </c>
      <c r="D471" s="3" t="s">
        <v>743</v>
      </c>
      <c r="E471" s="3">
        <v>12413</v>
      </c>
      <c r="F471" s="3"/>
      <c r="G471" s="3" t="s">
        <v>30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8">
        <v>0</v>
      </c>
      <c r="AD471" s="2" t="str">
        <f>VLOOKUP(E471,'[1]Detailed Transfer Report (12)'!$K:$Y,14,FALSE)</f>
        <v>Sardar Tanveer Ilyas</v>
      </c>
      <c r="AE471" s="16"/>
    </row>
    <row r="472" spans="1:31" x14ac:dyDescent="0.25">
      <c r="A472" s="3">
        <v>229</v>
      </c>
      <c r="B472" s="4">
        <v>42650</v>
      </c>
      <c r="C472" s="3" t="s">
        <v>744</v>
      </c>
      <c r="D472" s="3" t="s">
        <v>745</v>
      </c>
      <c r="E472" s="3">
        <v>12414</v>
      </c>
      <c r="F472" s="3"/>
      <c r="G472" s="3" t="s">
        <v>30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5">
        <v>120000</v>
      </c>
      <c r="N472" s="5">
        <v>181000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5">
        <v>55000</v>
      </c>
      <c r="X472" s="3">
        <v>0</v>
      </c>
      <c r="Y472" s="3">
        <v>0</v>
      </c>
      <c r="Z472" s="3">
        <v>0</v>
      </c>
      <c r="AA472" s="5">
        <v>60000</v>
      </c>
      <c r="AB472" s="6">
        <v>416000</v>
      </c>
      <c r="AD472" s="2" t="str">
        <f>VLOOKUP(E472,'[1]Detailed Transfer Report (12)'!$K:$Y,14,FALSE)</f>
        <v>Sardar Tanveer Ilyas</v>
      </c>
      <c r="AE472" s="16"/>
    </row>
    <row r="473" spans="1:31" x14ac:dyDescent="0.25">
      <c r="A473" s="3">
        <v>230</v>
      </c>
      <c r="B473" s="4">
        <v>42650</v>
      </c>
      <c r="C473" s="3" t="s">
        <v>561</v>
      </c>
      <c r="D473" s="3" t="s">
        <v>746</v>
      </c>
      <c r="E473" s="3">
        <v>12407</v>
      </c>
      <c r="F473" s="3"/>
      <c r="G473" s="3" t="s">
        <v>30</v>
      </c>
      <c r="H473" s="3">
        <v>0</v>
      </c>
      <c r="I473" s="3">
        <v>0</v>
      </c>
      <c r="J473" s="3">
        <v>0</v>
      </c>
      <c r="K473" s="3">
        <v>0</v>
      </c>
      <c r="L473" s="5">
        <v>22000</v>
      </c>
      <c r="M473" s="3">
        <v>0</v>
      </c>
      <c r="N473" s="5">
        <v>22000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5">
        <v>8000</v>
      </c>
      <c r="X473" s="3">
        <v>0</v>
      </c>
      <c r="Y473" s="3">
        <v>0</v>
      </c>
      <c r="Z473" s="3">
        <v>0</v>
      </c>
      <c r="AA473" s="5">
        <v>7000</v>
      </c>
      <c r="AB473" s="6">
        <v>59000</v>
      </c>
      <c r="AD473" s="2" t="str">
        <f>VLOOKUP(E473,'[1]Detailed Transfer Report (12)'!$K:$Y,14,FALSE)</f>
        <v>Sardar Tanveer Ilyas</v>
      </c>
      <c r="AE473" s="16"/>
    </row>
    <row r="474" spans="1:31" x14ac:dyDescent="0.25">
      <c r="A474" s="3">
        <v>231</v>
      </c>
      <c r="B474" s="4">
        <v>42618</v>
      </c>
      <c r="C474" s="3" t="s">
        <v>747</v>
      </c>
      <c r="D474" s="3" t="s">
        <v>748</v>
      </c>
      <c r="E474" s="3">
        <v>3765</v>
      </c>
      <c r="F474" s="3"/>
      <c r="G474" s="3" t="s">
        <v>30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8">
        <v>0</v>
      </c>
      <c r="AE474" s="16"/>
    </row>
    <row r="475" spans="1:31" x14ac:dyDescent="0.25">
      <c r="A475" s="3">
        <v>232</v>
      </c>
      <c r="B475" s="4">
        <v>42618</v>
      </c>
      <c r="C475" s="3" t="s">
        <v>153</v>
      </c>
      <c r="D475" s="3" t="s">
        <v>749</v>
      </c>
      <c r="E475" s="3">
        <v>3765</v>
      </c>
      <c r="F475" s="3"/>
      <c r="G475" s="3" t="s">
        <v>30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8">
        <v>0</v>
      </c>
      <c r="AE475" s="16"/>
    </row>
    <row r="476" spans="1:31" x14ac:dyDescent="0.25">
      <c r="A476" s="3">
        <v>234</v>
      </c>
      <c r="B476" s="4">
        <v>42723</v>
      </c>
      <c r="C476" s="3" t="s">
        <v>750</v>
      </c>
      <c r="D476" s="3" t="s">
        <v>751</v>
      </c>
      <c r="E476" s="3">
        <v>91</v>
      </c>
      <c r="F476" s="3"/>
      <c r="G476" s="3" t="s">
        <v>30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8">
        <v>0</v>
      </c>
      <c r="AD476" s="2" t="str">
        <f>VLOOKUP(E476,'[1]Detailed Transfer Report (12)'!$K:$Y,14,FALSE)</f>
        <v>Sardar Tanveer Ilyas</v>
      </c>
      <c r="AE476" s="16"/>
    </row>
    <row r="477" spans="1:31" x14ac:dyDescent="0.25">
      <c r="A477" s="3">
        <v>235</v>
      </c>
      <c r="B477" s="4">
        <v>42763</v>
      </c>
      <c r="C477" s="3" t="s">
        <v>752</v>
      </c>
      <c r="D477" s="3" t="s">
        <v>753</v>
      </c>
      <c r="E477" s="3">
        <v>137</v>
      </c>
      <c r="F477" s="3"/>
      <c r="G477" s="3" t="s">
        <v>30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8">
        <v>0</v>
      </c>
      <c r="AD477" s="2" t="str">
        <f>VLOOKUP(E477,'[1]Detailed Transfer Report (12)'!$K:$Y,14,FALSE)</f>
        <v>Sardar Tanveer Ilyas</v>
      </c>
      <c r="AE477" s="16"/>
    </row>
    <row r="478" spans="1:31" x14ac:dyDescent="0.25">
      <c r="A478" s="3">
        <v>236</v>
      </c>
      <c r="B478" s="4">
        <v>42661</v>
      </c>
      <c r="C478" s="3" t="s">
        <v>754</v>
      </c>
      <c r="D478" s="3" t="s">
        <v>755</v>
      </c>
      <c r="E478" s="3">
        <v>3111</v>
      </c>
      <c r="F478" s="3"/>
      <c r="G478" s="3" t="s">
        <v>756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8">
        <v>0</v>
      </c>
      <c r="AD478" s="2" t="str">
        <f>VLOOKUP(E478,'[1]Detailed Transfer Report (12)'!$K:$Y,14,FALSE)</f>
        <v>Sardar Tanveer Ilyas</v>
      </c>
      <c r="AE478" s="16"/>
    </row>
    <row r="479" spans="1:31" x14ac:dyDescent="0.25">
      <c r="A479" s="3">
        <v>238</v>
      </c>
      <c r="B479" s="4">
        <v>42661</v>
      </c>
      <c r="C479" s="3" t="s">
        <v>153</v>
      </c>
      <c r="D479" s="3" t="s">
        <v>757</v>
      </c>
      <c r="E479" s="3">
        <v>12422</v>
      </c>
      <c r="F479" s="3"/>
      <c r="G479" s="3" t="s">
        <v>30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5">
        <v>10000</v>
      </c>
      <c r="N479" s="5">
        <v>16000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5">
        <v>2125</v>
      </c>
      <c r="X479" s="3">
        <v>0</v>
      </c>
      <c r="Y479" s="3">
        <v>0</v>
      </c>
      <c r="Z479" s="3">
        <v>0</v>
      </c>
      <c r="AA479" s="5">
        <v>5000</v>
      </c>
      <c r="AB479" s="6">
        <v>33125</v>
      </c>
      <c r="AD479" s="2" t="str">
        <f>VLOOKUP(E479,'[1]Detailed Transfer Report (12)'!$K:$Y,14,FALSE)</f>
        <v>Sardar Tanveer Ilyas</v>
      </c>
      <c r="AE479" s="16"/>
    </row>
    <row r="480" spans="1:31" x14ac:dyDescent="0.25">
      <c r="A480" s="3">
        <v>240</v>
      </c>
      <c r="B480" s="4">
        <v>42751</v>
      </c>
      <c r="C480" s="3" t="s">
        <v>344</v>
      </c>
      <c r="D480" s="3" t="s">
        <v>758</v>
      </c>
      <c r="E480" s="3">
        <v>12514</v>
      </c>
      <c r="F480" s="3"/>
      <c r="G480" s="3" t="s">
        <v>30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8">
        <v>0</v>
      </c>
      <c r="AD480" s="2" t="str">
        <f>VLOOKUP(E480,'[1]Detailed Transfer Report (12)'!$K:$Y,14,FALSE)</f>
        <v>Sardar Tanveer Ilyas</v>
      </c>
      <c r="AE480" s="16"/>
    </row>
    <row r="481" spans="1:31" x14ac:dyDescent="0.25">
      <c r="A481" s="7">
        <v>241</v>
      </c>
      <c r="B481" s="4">
        <v>44392</v>
      </c>
      <c r="C481" s="3" t="s">
        <v>759</v>
      </c>
      <c r="D481" s="3" t="s">
        <v>176</v>
      </c>
      <c r="E481" s="3">
        <v>433</v>
      </c>
      <c r="F481" s="3"/>
      <c r="G481" s="3" t="s">
        <v>30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8">
        <v>0</v>
      </c>
      <c r="AD481" s="2" t="str">
        <f>VLOOKUP(E481,'[1]Detailed Transfer Report (12)'!$K:$Y,14,FALSE)</f>
        <v>Sardar Tanveer Ilyas</v>
      </c>
      <c r="AE481" s="16"/>
    </row>
    <row r="482" spans="1:31" x14ac:dyDescent="0.25">
      <c r="A482" s="9">
        <v>241</v>
      </c>
      <c r="B482" s="4">
        <v>44392</v>
      </c>
      <c r="C482" s="3" t="s">
        <v>760</v>
      </c>
      <c r="D482" s="3" t="s">
        <v>176</v>
      </c>
      <c r="E482" s="3">
        <v>434</v>
      </c>
      <c r="F482" s="3"/>
      <c r="G482" s="3" t="s">
        <v>30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8">
        <v>0</v>
      </c>
      <c r="AD482" s="2" t="str">
        <f>VLOOKUP(E482,'[1]Detailed Transfer Report (12)'!$K:$Y,14,FALSE)</f>
        <v>Sardar Tanveer Ilyas</v>
      </c>
      <c r="AE482" s="16"/>
    </row>
    <row r="483" spans="1:31" x14ac:dyDescent="0.25">
      <c r="A483" s="9">
        <v>241</v>
      </c>
      <c r="B483" s="4">
        <v>44392</v>
      </c>
      <c r="C483" s="3" t="s">
        <v>761</v>
      </c>
      <c r="D483" s="3" t="s">
        <v>176</v>
      </c>
      <c r="E483" s="3">
        <v>435</v>
      </c>
      <c r="F483" s="3"/>
      <c r="G483" s="3" t="s">
        <v>30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8">
        <v>0</v>
      </c>
      <c r="AD483" s="2" t="str">
        <f>VLOOKUP(E483,'[1]Detailed Transfer Report (12)'!$K:$Y,14,FALSE)</f>
        <v>Sardar Tanveer Ilyas</v>
      </c>
      <c r="AE483" s="16"/>
    </row>
    <row r="484" spans="1:31" x14ac:dyDescent="0.25">
      <c r="A484" s="9">
        <v>241</v>
      </c>
      <c r="B484" s="4">
        <v>44392</v>
      </c>
      <c r="C484" s="3" t="s">
        <v>762</v>
      </c>
      <c r="D484" s="3" t="s">
        <v>176</v>
      </c>
      <c r="E484" s="3">
        <v>501</v>
      </c>
      <c r="F484" s="3"/>
      <c r="G484" s="3" t="s">
        <v>30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8">
        <v>0</v>
      </c>
      <c r="AD484" s="2" t="str">
        <f>VLOOKUP(E484,'[1]Detailed Transfer Report (12)'!$K:$Y,14,FALSE)</f>
        <v>Sardar Tanveer Ilyas</v>
      </c>
      <c r="AE484" s="16"/>
    </row>
    <row r="485" spans="1:31" x14ac:dyDescent="0.25">
      <c r="A485" s="9">
        <v>241</v>
      </c>
      <c r="B485" s="4">
        <v>44392</v>
      </c>
      <c r="C485" s="3" t="s">
        <v>763</v>
      </c>
      <c r="D485" s="3" t="s">
        <v>176</v>
      </c>
      <c r="E485" s="3">
        <v>502</v>
      </c>
      <c r="F485" s="3"/>
      <c r="G485" s="3" t="s">
        <v>30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8">
        <v>0</v>
      </c>
      <c r="AD485" s="2" t="str">
        <f>VLOOKUP(E485,'[1]Detailed Transfer Report (12)'!$K:$Y,14,FALSE)</f>
        <v>Sardar Tanveer Ilyas</v>
      </c>
      <c r="AE485" s="16"/>
    </row>
    <row r="486" spans="1:31" x14ac:dyDescent="0.25">
      <c r="A486" s="9">
        <v>241</v>
      </c>
      <c r="B486" s="4">
        <v>44392</v>
      </c>
      <c r="C486" s="3" t="s">
        <v>650</v>
      </c>
      <c r="D486" s="3" t="s">
        <v>176</v>
      </c>
      <c r="E486" s="3">
        <v>503</v>
      </c>
      <c r="F486" s="3"/>
      <c r="G486" s="3" t="s">
        <v>30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8">
        <v>0</v>
      </c>
      <c r="AD486" s="2" t="str">
        <f>VLOOKUP(E486,'[1]Detailed Transfer Report (12)'!$K:$Y,14,FALSE)</f>
        <v>Sardar Tanveer Ilyas</v>
      </c>
      <c r="AE486" s="16"/>
    </row>
    <row r="487" spans="1:31" x14ac:dyDescent="0.25">
      <c r="A487" s="9">
        <v>241</v>
      </c>
      <c r="B487" s="4">
        <v>44392</v>
      </c>
      <c r="C487" s="3" t="s">
        <v>205</v>
      </c>
      <c r="D487" s="3" t="s">
        <v>176</v>
      </c>
      <c r="E487" s="3">
        <v>504</v>
      </c>
      <c r="F487" s="3"/>
      <c r="G487" s="3" t="s">
        <v>30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8">
        <v>0</v>
      </c>
      <c r="AD487" s="2" t="str">
        <f>VLOOKUP(E487,'[1]Detailed Transfer Report (12)'!$K:$Y,14,FALSE)</f>
        <v>Sardar Tanveer Ilyas</v>
      </c>
      <c r="AE487" s="16"/>
    </row>
    <row r="488" spans="1:31" x14ac:dyDescent="0.25">
      <c r="A488" s="9">
        <v>241</v>
      </c>
      <c r="B488" s="4">
        <v>44392</v>
      </c>
      <c r="C488" s="3" t="s">
        <v>764</v>
      </c>
      <c r="D488" s="3" t="s">
        <v>176</v>
      </c>
      <c r="E488" s="3">
        <v>505</v>
      </c>
      <c r="F488" s="3"/>
      <c r="G488" s="3" t="s">
        <v>30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8">
        <v>0</v>
      </c>
      <c r="AD488" s="2" t="str">
        <f>VLOOKUP(E488,'[1]Detailed Transfer Report (12)'!$K:$Y,14,FALSE)</f>
        <v>Sardar Tanveer Ilyas</v>
      </c>
      <c r="AE488" s="16"/>
    </row>
    <row r="489" spans="1:31" x14ac:dyDescent="0.25">
      <c r="A489" s="9">
        <v>241</v>
      </c>
      <c r="B489" s="4">
        <v>44392</v>
      </c>
      <c r="C489" s="3" t="s">
        <v>765</v>
      </c>
      <c r="D489" s="3" t="s">
        <v>176</v>
      </c>
      <c r="E489" s="3">
        <v>630</v>
      </c>
      <c r="F489" s="3"/>
      <c r="G489" s="3" t="s">
        <v>30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8">
        <v>0</v>
      </c>
      <c r="AD489" s="2" t="str">
        <f>VLOOKUP(E489,'[1]Detailed Transfer Report (12)'!$K:$Y,14,FALSE)</f>
        <v>Sardar Tanveer Ilyas</v>
      </c>
      <c r="AE489" s="16"/>
    </row>
    <row r="490" spans="1:31" x14ac:dyDescent="0.25">
      <c r="A490" s="9">
        <v>241</v>
      </c>
      <c r="B490" s="4">
        <v>44392</v>
      </c>
      <c r="C490" s="3" t="s">
        <v>766</v>
      </c>
      <c r="D490" s="3" t="s">
        <v>176</v>
      </c>
      <c r="E490" s="3">
        <v>631</v>
      </c>
      <c r="F490" s="3"/>
      <c r="G490" s="3" t="s">
        <v>30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8">
        <v>0</v>
      </c>
      <c r="AD490" s="2" t="str">
        <f>VLOOKUP(E490,'[1]Detailed Transfer Report (12)'!$K:$Y,14,FALSE)</f>
        <v>Sardar Tanveer Ilyas</v>
      </c>
      <c r="AE490" s="16"/>
    </row>
    <row r="491" spans="1:31" x14ac:dyDescent="0.25">
      <c r="A491" s="9">
        <v>241</v>
      </c>
      <c r="B491" s="4">
        <v>44392</v>
      </c>
      <c r="C491" s="3" t="s">
        <v>767</v>
      </c>
      <c r="D491" s="3" t="s">
        <v>176</v>
      </c>
      <c r="E491" s="3">
        <v>632</v>
      </c>
      <c r="F491" s="3"/>
      <c r="G491" s="3" t="s">
        <v>30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8">
        <v>0</v>
      </c>
      <c r="AD491" s="2" t="str">
        <f>VLOOKUP(E491,'[1]Detailed Transfer Report (12)'!$K:$Y,14,FALSE)</f>
        <v>Sardar Tanveer Ilyas</v>
      </c>
      <c r="AE491" s="16"/>
    </row>
    <row r="492" spans="1:31" x14ac:dyDescent="0.25">
      <c r="A492" s="9">
        <v>241</v>
      </c>
      <c r="B492" s="4">
        <v>44392</v>
      </c>
      <c r="C492" s="3" t="s">
        <v>768</v>
      </c>
      <c r="D492" s="3" t="s">
        <v>176</v>
      </c>
      <c r="E492" s="3">
        <v>633</v>
      </c>
      <c r="F492" s="3"/>
      <c r="G492" s="3" t="s">
        <v>30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8">
        <v>0</v>
      </c>
      <c r="AD492" s="2" t="str">
        <f>VLOOKUP(E492,'[1]Detailed Transfer Report (12)'!$K:$Y,14,FALSE)</f>
        <v>Sardar Tanveer Ilyas</v>
      </c>
      <c r="AE492" s="16"/>
    </row>
    <row r="493" spans="1:31" x14ac:dyDescent="0.25">
      <c r="A493" s="9">
        <v>241</v>
      </c>
      <c r="B493" s="4">
        <v>44392</v>
      </c>
      <c r="C493" s="3" t="s">
        <v>769</v>
      </c>
      <c r="D493" s="3" t="s">
        <v>176</v>
      </c>
      <c r="E493" s="3">
        <v>1812</v>
      </c>
      <c r="F493" s="3"/>
      <c r="G493" s="3" t="s">
        <v>30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8">
        <v>0</v>
      </c>
      <c r="AD493" s="2" t="str">
        <f>VLOOKUP(E493,'[1]Detailed Transfer Report (12)'!$K:$Y,14,FALSE)</f>
        <v>Sardar Tanveer Ilyas</v>
      </c>
      <c r="AE493" s="16"/>
    </row>
    <row r="494" spans="1:31" x14ac:dyDescent="0.25">
      <c r="A494" s="9">
        <v>241</v>
      </c>
      <c r="B494" s="4">
        <v>44392</v>
      </c>
      <c r="C494" s="3" t="s">
        <v>754</v>
      </c>
      <c r="D494" s="3" t="s">
        <v>176</v>
      </c>
      <c r="E494" s="3">
        <v>235</v>
      </c>
      <c r="F494" s="3"/>
      <c r="G494" s="3" t="s">
        <v>30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8">
        <v>0</v>
      </c>
      <c r="AD494" s="2" t="str">
        <f>VLOOKUP(E494,'[1]Detailed Transfer Report (12)'!$K:$Y,14,FALSE)</f>
        <v>Sardar Tanveer Ilyas</v>
      </c>
      <c r="AE494" s="16"/>
    </row>
    <row r="495" spans="1:31" x14ac:dyDescent="0.25">
      <c r="A495" s="9">
        <v>241</v>
      </c>
      <c r="B495" s="4">
        <v>44392</v>
      </c>
      <c r="C495" s="3" t="s">
        <v>200</v>
      </c>
      <c r="D495" s="3" t="s">
        <v>176</v>
      </c>
      <c r="E495" s="3">
        <v>234</v>
      </c>
      <c r="F495" s="3"/>
      <c r="G495" s="3" t="s">
        <v>30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8">
        <v>0</v>
      </c>
      <c r="AD495" s="2" t="str">
        <f>VLOOKUP(E495,'[1]Detailed Transfer Report (12)'!$K:$Y,14,FALSE)</f>
        <v>Sardar Tanveer Ilyas</v>
      </c>
      <c r="AE495" s="16"/>
    </row>
    <row r="496" spans="1:31" x14ac:dyDescent="0.25">
      <c r="A496" s="9">
        <v>241</v>
      </c>
      <c r="B496" s="4">
        <v>44392</v>
      </c>
      <c r="C496" s="3" t="s">
        <v>179</v>
      </c>
      <c r="D496" s="3" t="s">
        <v>176</v>
      </c>
      <c r="E496" s="3">
        <v>96</v>
      </c>
      <c r="F496" s="3"/>
      <c r="G496" s="3" t="s">
        <v>30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8">
        <v>0</v>
      </c>
      <c r="AD496" s="2" t="str">
        <f>VLOOKUP(E496,'[1]Detailed Transfer Report (12)'!$K:$Y,14,FALSE)</f>
        <v>Sardar Tanveer Ilyas</v>
      </c>
      <c r="AE496" s="16"/>
    </row>
    <row r="497" spans="1:31" x14ac:dyDescent="0.25">
      <c r="A497" s="9">
        <v>241</v>
      </c>
      <c r="B497" s="4">
        <v>44392</v>
      </c>
      <c r="C497" s="3" t="s">
        <v>770</v>
      </c>
      <c r="D497" s="3" t="s">
        <v>176</v>
      </c>
      <c r="E497" s="3">
        <v>95</v>
      </c>
      <c r="F497" s="3"/>
      <c r="G497" s="3" t="s">
        <v>30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8">
        <v>0</v>
      </c>
      <c r="AD497" s="2" t="str">
        <f>VLOOKUP(E497,'[1]Detailed Transfer Report (12)'!$K:$Y,14,FALSE)</f>
        <v>Sardar Tanveer Ilyas</v>
      </c>
      <c r="AE497" s="16"/>
    </row>
    <row r="498" spans="1:31" x14ac:dyDescent="0.25">
      <c r="A498" s="9">
        <v>241</v>
      </c>
      <c r="B498" s="4">
        <v>44392</v>
      </c>
      <c r="C498" s="3" t="s">
        <v>771</v>
      </c>
      <c r="D498" s="3" t="s">
        <v>176</v>
      </c>
      <c r="E498" s="3">
        <v>94</v>
      </c>
      <c r="F498" s="3"/>
      <c r="G498" s="3" t="s">
        <v>30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8">
        <v>0</v>
      </c>
      <c r="AD498" s="2" t="str">
        <f>VLOOKUP(E498,'[1]Detailed Transfer Report (12)'!$K:$Y,14,FALSE)</f>
        <v>Sardar Tanveer Ilyas</v>
      </c>
      <c r="AE498" s="16"/>
    </row>
    <row r="499" spans="1:31" x14ac:dyDescent="0.25">
      <c r="A499" s="9">
        <v>241</v>
      </c>
      <c r="B499" s="4">
        <v>44393</v>
      </c>
      <c r="C499" s="3" t="s">
        <v>772</v>
      </c>
      <c r="D499" s="3" t="s">
        <v>176</v>
      </c>
      <c r="E499" s="3"/>
      <c r="F499" s="3"/>
      <c r="G499" s="3" t="s">
        <v>30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8">
        <v>0</v>
      </c>
      <c r="AE499" s="16"/>
    </row>
    <row r="500" spans="1:31" x14ac:dyDescent="0.25">
      <c r="A500" s="9">
        <v>241</v>
      </c>
      <c r="B500" s="4">
        <v>44406</v>
      </c>
      <c r="C500" s="3" t="s">
        <v>773</v>
      </c>
      <c r="D500" s="3" t="s">
        <v>176</v>
      </c>
      <c r="E500" s="3">
        <v>237</v>
      </c>
      <c r="F500" s="3"/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8">
        <v>0</v>
      </c>
      <c r="AD500" s="2" t="str">
        <f>VLOOKUP(E500,'[1]Detailed Transfer Report (12)'!$K:$Y,14,FALSE)</f>
        <v>Sardar Tanveer Ilyas</v>
      </c>
      <c r="AE500" s="16"/>
    </row>
    <row r="501" spans="1:31" x14ac:dyDescent="0.25">
      <c r="A501" s="9">
        <v>241</v>
      </c>
      <c r="B501" s="4">
        <v>44406</v>
      </c>
      <c r="C501" s="3" t="s">
        <v>774</v>
      </c>
      <c r="D501" s="3" t="s">
        <v>176</v>
      </c>
      <c r="E501" s="3">
        <v>432</v>
      </c>
      <c r="F501" s="3"/>
      <c r="G501" s="3" t="s">
        <v>30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8">
        <v>0</v>
      </c>
      <c r="AD501" s="2" t="str">
        <f>VLOOKUP(E501,'[1]Detailed Transfer Report (12)'!$K:$Y,14,FALSE)</f>
        <v>Sardar Tanveer Ilyas</v>
      </c>
      <c r="AE501" s="16"/>
    </row>
    <row r="502" spans="1:31" x14ac:dyDescent="0.25">
      <c r="A502" s="9">
        <v>241</v>
      </c>
      <c r="B502" s="4">
        <v>44406</v>
      </c>
      <c r="C502" s="3" t="s">
        <v>775</v>
      </c>
      <c r="D502" s="3" t="s">
        <v>176</v>
      </c>
      <c r="E502" s="3">
        <v>436</v>
      </c>
      <c r="F502" s="3"/>
      <c r="G502" s="3" t="s">
        <v>30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8">
        <v>0</v>
      </c>
      <c r="AD502" s="2" t="str">
        <f>VLOOKUP(E502,'[1]Detailed Transfer Report (12)'!$K:$Y,14,FALSE)</f>
        <v>Sardar Tanveer Ilyas</v>
      </c>
      <c r="AE502" s="16"/>
    </row>
    <row r="503" spans="1:31" x14ac:dyDescent="0.25">
      <c r="A503" s="9">
        <v>241</v>
      </c>
      <c r="B503" s="4">
        <v>44406</v>
      </c>
      <c r="C503" s="3" t="s">
        <v>776</v>
      </c>
      <c r="D503" s="3" t="s">
        <v>176</v>
      </c>
      <c r="E503" s="3">
        <v>635</v>
      </c>
      <c r="F503" s="3"/>
      <c r="G503" s="3" t="s">
        <v>30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8">
        <v>0</v>
      </c>
      <c r="AD503" s="2" t="str">
        <f>VLOOKUP(E503,'[1]Detailed Transfer Report (12)'!$K:$Y,14,FALSE)</f>
        <v>Sardar Tanveer Ilyas</v>
      </c>
      <c r="AE503" s="16"/>
    </row>
    <row r="504" spans="1:31" x14ac:dyDescent="0.25">
      <c r="A504" s="9">
        <v>241</v>
      </c>
      <c r="B504" s="4">
        <v>44392</v>
      </c>
      <c r="C504" s="3" t="s">
        <v>777</v>
      </c>
      <c r="D504" s="3" t="s">
        <v>176</v>
      </c>
      <c r="E504" s="3">
        <v>1813</v>
      </c>
      <c r="F504" s="3"/>
      <c r="G504" s="3" t="s">
        <v>30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8">
        <v>0</v>
      </c>
      <c r="AD504" s="2" t="str">
        <f>VLOOKUP(E504,'[1]Detailed Transfer Report (12)'!$K:$Y,14,FALSE)</f>
        <v>Sardar Tanveer Ilyas</v>
      </c>
      <c r="AE504" s="16"/>
    </row>
    <row r="505" spans="1:31" x14ac:dyDescent="0.25">
      <c r="A505" s="9">
        <v>241</v>
      </c>
      <c r="B505" s="4">
        <v>44392</v>
      </c>
      <c r="C505" s="3" t="s">
        <v>778</v>
      </c>
      <c r="D505" s="3" t="s">
        <v>176</v>
      </c>
      <c r="E505" s="3">
        <v>1815</v>
      </c>
      <c r="F505" s="3"/>
      <c r="G505" s="3" t="s">
        <v>30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8">
        <v>0</v>
      </c>
      <c r="AD505" s="2" t="str">
        <f>VLOOKUP(E505,'[1]Detailed Transfer Report (12)'!$K:$Y,14,FALSE)</f>
        <v>Sardar Tanveer Ilyas</v>
      </c>
      <c r="AE505" s="16"/>
    </row>
    <row r="506" spans="1:31" x14ac:dyDescent="0.25">
      <c r="A506" s="9">
        <v>241</v>
      </c>
      <c r="B506" s="4">
        <v>44392</v>
      </c>
      <c r="C506" s="3" t="s">
        <v>264</v>
      </c>
      <c r="D506" s="3" t="s">
        <v>176</v>
      </c>
      <c r="E506" s="3">
        <v>1816</v>
      </c>
      <c r="F506" s="3"/>
      <c r="G506" s="3" t="s">
        <v>30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8">
        <v>0</v>
      </c>
      <c r="AD506" s="2" t="str">
        <f>VLOOKUP(E506,'[1]Detailed Transfer Report (12)'!$K:$Y,14,FALSE)</f>
        <v>Sardar Tanveer Ilyas</v>
      </c>
      <c r="AE506" s="16"/>
    </row>
    <row r="507" spans="1:31" x14ac:dyDescent="0.25">
      <c r="A507" s="9">
        <v>241</v>
      </c>
      <c r="B507" s="4">
        <v>44406</v>
      </c>
      <c r="C507" s="3" t="s">
        <v>288</v>
      </c>
      <c r="D507" s="3" t="s">
        <v>176</v>
      </c>
      <c r="E507" s="3">
        <v>1814</v>
      </c>
      <c r="F507" s="3"/>
      <c r="G507" s="3" t="s">
        <v>30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8">
        <v>0</v>
      </c>
      <c r="AD507" s="2" t="str">
        <f>VLOOKUP(E507,'[1]Detailed Transfer Report (12)'!$K:$Y,14,FALSE)</f>
        <v>Sardar Tanveer Ilyas</v>
      </c>
      <c r="AE507" s="16"/>
    </row>
    <row r="508" spans="1:31" x14ac:dyDescent="0.25">
      <c r="A508" s="9">
        <v>241</v>
      </c>
      <c r="B508" s="4">
        <v>44406</v>
      </c>
      <c r="C508" s="3" t="s">
        <v>779</v>
      </c>
      <c r="D508" s="3" t="s">
        <v>176</v>
      </c>
      <c r="E508" s="3">
        <v>233</v>
      </c>
      <c r="F508" s="3"/>
      <c r="G508" s="3" t="s">
        <v>30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8">
        <v>0</v>
      </c>
      <c r="AD508" s="2" t="str">
        <f>VLOOKUP(E508,'[1]Detailed Transfer Report (12)'!$K:$Y,14,FALSE)</f>
        <v>Sardar Tanveer Ilyas</v>
      </c>
      <c r="AE508" s="16"/>
    </row>
    <row r="509" spans="1:31" x14ac:dyDescent="0.25">
      <c r="A509" s="9">
        <v>241</v>
      </c>
      <c r="B509" s="4">
        <v>44406</v>
      </c>
      <c r="C509" s="3" t="s">
        <v>780</v>
      </c>
      <c r="D509" s="3" t="s">
        <v>176</v>
      </c>
      <c r="E509" s="3">
        <v>66</v>
      </c>
      <c r="F509" s="3"/>
      <c r="G509" s="3" t="s">
        <v>30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8">
        <v>0</v>
      </c>
      <c r="AD509" s="2" t="str">
        <f>VLOOKUP(E509,'[1]Detailed Transfer Report (12)'!$K:$Y,14,FALSE)</f>
        <v>Sardar Tanveer Ilyas</v>
      </c>
      <c r="AE509" s="16"/>
    </row>
    <row r="510" spans="1:31" x14ac:dyDescent="0.25">
      <c r="A510" s="9">
        <v>241</v>
      </c>
      <c r="B510" s="4">
        <v>44406</v>
      </c>
      <c r="C510" s="3" t="s">
        <v>781</v>
      </c>
      <c r="D510" s="3" t="s">
        <v>176</v>
      </c>
      <c r="E510" s="3">
        <v>65</v>
      </c>
      <c r="F510" s="3"/>
      <c r="G510" s="3" t="s">
        <v>30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8">
        <v>0</v>
      </c>
      <c r="AD510" s="2" t="str">
        <f>VLOOKUP(E510,'[1]Detailed Transfer Report (12)'!$K:$Y,14,FALSE)</f>
        <v>Sardar Tanveer Ilyas</v>
      </c>
      <c r="AE510" s="16"/>
    </row>
    <row r="511" spans="1:31" x14ac:dyDescent="0.25">
      <c r="A511" s="9">
        <v>241</v>
      </c>
      <c r="B511" s="4">
        <v>44406</v>
      </c>
      <c r="C511" s="3" t="s">
        <v>782</v>
      </c>
      <c r="D511" s="3" t="s">
        <v>176</v>
      </c>
      <c r="E511" s="3">
        <v>56</v>
      </c>
      <c r="F511" s="3"/>
      <c r="G511" s="3" t="s">
        <v>30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8">
        <v>0</v>
      </c>
      <c r="AD511" s="2" t="str">
        <f>VLOOKUP(E511,'[1]Detailed Transfer Report (12)'!$K:$Y,14,FALSE)</f>
        <v>Sardar Tanveer Ilyas</v>
      </c>
      <c r="AE511" s="16"/>
    </row>
    <row r="512" spans="1:31" x14ac:dyDescent="0.25">
      <c r="A512" s="9">
        <v>241</v>
      </c>
      <c r="B512" s="4">
        <v>44406</v>
      </c>
      <c r="C512" s="3" t="s">
        <v>783</v>
      </c>
      <c r="D512" s="3" t="s">
        <v>176</v>
      </c>
      <c r="E512" s="3">
        <v>55</v>
      </c>
      <c r="F512" s="3"/>
      <c r="G512" s="3" t="s">
        <v>30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8">
        <v>0</v>
      </c>
      <c r="AD512" s="2" t="str">
        <f>VLOOKUP(E512,'[1]Detailed Transfer Report (12)'!$K:$Y,14,FALSE)</f>
        <v>Sardar Tanveer Ilyas</v>
      </c>
      <c r="AE512" s="16"/>
    </row>
    <row r="513" spans="1:31" x14ac:dyDescent="0.25">
      <c r="A513" s="9">
        <v>241</v>
      </c>
      <c r="B513" s="4">
        <v>44406</v>
      </c>
      <c r="C513" s="3" t="s">
        <v>72</v>
      </c>
      <c r="D513" s="3" t="s">
        <v>176</v>
      </c>
      <c r="E513" s="3">
        <v>54</v>
      </c>
      <c r="F513" s="3"/>
      <c r="G513" s="3" t="s">
        <v>30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8">
        <v>0</v>
      </c>
      <c r="AD513" s="2" t="str">
        <f>VLOOKUP(E513,'[1]Detailed Transfer Report (12)'!$K:$Y,14,FALSE)</f>
        <v>Sardar Tanveer Ilyas</v>
      </c>
      <c r="AE513" s="16"/>
    </row>
    <row r="514" spans="1:31" x14ac:dyDescent="0.25">
      <c r="A514" s="9">
        <v>241</v>
      </c>
      <c r="B514" s="4">
        <v>44406</v>
      </c>
      <c r="C514" s="3" t="s">
        <v>784</v>
      </c>
      <c r="D514" s="3" t="s">
        <v>176</v>
      </c>
      <c r="E514" s="3">
        <v>549</v>
      </c>
      <c r="F514" s="3"/>
      <c r="G514" s="3" t="s">
        <v>30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8">
        <v>0</v>
      </c>
      <c r="AD514" s="2" t="str">
        <f>VLOOKUP(E514,'[1]Detailed Transfer Report (12)'!$K:$Y,14,FALSE)</f>
        <v>Sardar Tanveer Ilyas</v>
      </c>
      <c r="AE514" s="16"/>
    </row>
    <row r="515" spans="1:31" x14ac:dyDescent="0.25">
      <c r="A515" s="9">
        <v>241</v>
      </c>
      <c r="B515" s="4">
        <v>44392</v>
      </c>
      <c r="C515" s="3" t="s">
        <v>754</v>
      </c>
      <c r="D515" s="3" t="s">
        <v>176</v>
      </c>
      <c r="E515" s="3">
        <v>236</v>
      </c>
      <c r="F515" s="3"/>
      <c r="G515" s="3" t="s">
        <v>30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8">
        <v>0</v>
      </c>
      <c r="AD515" s="2" t="str">
        <f>VLOOKUP(E515,'[1]Detailed Transfer Report (12)'!$K:$Y,14,FALSE)</f>
        <v>Sardar Tanveer Ilyas</v>
      </c>
      <c r="AE515" s="16"/>
    </row>
    <row r="516" spans="1:31" x14ac:dyDescent="0.25">
      <c r="A516" s="10">
        <v>241</v>
      </c>
      <c r="B516" s="4">
        <v>44392</v>
      </c>
      <c r="C516" s="3" t="s">
        <v>785</v>
      </c>
      <c r="D516" s="3" t="s">
        <v>176</v>
      </c>
      <c r="E516" s="3">
        <v>634</v>
      </c>
      <c r="F516" s="3"/>
      <c r="G516" s="3" t="s">
        <v>30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8">
        <v>0</v>
      </c>
      <c r="AD516" s="2" t="str">
        <f>VLOOKUP(E516,'[1]Detailed Transfer Report (12)'!$K:$Y,14,FALSE)</f>
        <v>Sardar Tanveer Ilyas</v>
      </c>
      <c r="AE516" s="16"/>
    </row>
    <row r="517" spans="1:31" x14ac:dyDescent="0.25">
      <c r="A517" s="3">
        <v>242</v>
      </c>
      <c r="B517" s="4">
        <v>42723</v>
      </c>
      <c r="C517" s="3" t="s">
        <v>786</v>
      </c>
      <c r="D517" s="3" t="s">
        <v>787</v>
      </c>
      <c r="E517" s="3">
        <v>17</v>
      </c>
      <c r="F517" s="3"/>
      <c r="G517" s="3" t="s">
        <v>30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8">
        <v>0</v>
      </c>
      <c r="AC517" s="2" t="str">
        <f>VLOOKUP(E517,'[1]Detailed Transfer Report (12)'!$K:$Y,13,FALSE)</f>
        <v>TAJ Mehlud</v>
      </c>
      <c r="AD517" s="2" t="str">
        <f>VLOOKUP(E517,'[1]Detailed Transfer Report (12)'!$K:$Y,14,FALSE)</f>
        <v>Sardar Tanveer Ilyas</v>
      </c>
      <c r="AE517" s="16"/>
    </row>
    <row r="518" spans="1:31" x14ac:dyDescent="0.25">
      <c r="A518" s="3">
        <v>243</v>
      </c>
      <c r="B518" s="4">
        <v>42682</v>
      </c>
      <c r="C518" s="3" t="s">
        <v>137</v>
      </c>
      <c r="D518" s="3" t="s">
        <v>788</v>
      </c>
      <c r="E518" s="3">
        <v>12484</v>
      </c>
      <c r="F518" s="3"/>
      <c r="G518" s="3" t="s">
        <v>30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8">
        <v>0</v>
      </c>
      <c r="AD518" s="2" t="str">
        <f>VLOOKUP(E518,'[1]Detailed Transfer Report (12)'!$K:$Y,14,FALSE)</f>
        <v>Sardar Tanveer Ilyas</v>
      </c>
      <c r="AE518" s="16"/>
    </row>
    <row r="519" spans="1:31" x14ac:dyDescent="0.25">
      <c r="A519" s="3">
        <v>244</v>
      </c>
      <c r="B519" s="4">
        <v>42723</v>
      </c>
      <c r="C519" s="3" t="s">
        <v>137</v>
      </c>
      <c r="D519" s="3" t="s">
        <v>789</v>
      </c>
      <c r="E519" s="3">
        <v>89</v>
      </c>
      <c r="F519" s="3"/>
      <c r="G519" s="3" t="s">
        <v>30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8">
        <v>0</v>
      </c>
      <c r="AD519" s="2" t="str">
        <f>VLOOKUP(E519,'[1]Detailed Transfer Report (12)'!$K:$Y,14,FALSE)</f>
        <v>Sardar Tanveer Ilyas</v>
      </c>
      <c r="AE519" s="16"/>
    </row>
    <row r="520" spans="1:31" x14ac:dyDescent="0.25">
      <c r="A520" s="3">
        <v>245</v>
      </c>
      <c r="B520" s="4">
        <v>42781</v>
      </c>
      <c r="C520" s="3" t="s">
        <v>44</v>
      </c>
      <c r="D520" s="3" t="s">
        <v>790</v>
      </c>
      <c r="E520" s="3">
        <v>121</v>
      </c>
      <c r="F520" s="3"/>
      <c r="G520" s="3" t="s">
        <v>30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8">
        <v>0</v>
      </c>
      <c r="AD520" s="2" t="str">
        <f>VLOOKUP(E520,'[1]Detailed Transfer Report (12)'!$K:$Y,14,FALSE)</f>
        <v>Sardar Tanveer Ilyas</v>
      </c>
      <c r="AE520" s="16"/>
    </row>
    <row r="521" spans="1:31" x14ac:dyDescent="0.25">
      <c r="A521" s="7">
        <v>246</v>
      </c>
      <c r="B521" s="4">
        <v>42754</v>
      </c>
      <c r="C521" s="3" t="s">
        <v>344</v>
      </c>
      <c r="D521" s="3" t="s">
        <v>791</v>
      </c>
      <c r="E521" s="3">
        <v>97</v>
      </c>
      <c r="F521" s="3"/>
      <c r="G521" s="3" t="s">
        <v>30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8">
        <v>0</v>
      </c>
      <c r="AD521" s="2" t="str">
        <f>VLOOKUP(E521,'[1]Detailed Transfer Report (12)'!$K:$Y,14,FALSE)</f>
        <v>Sardar Tanveer Ilyas</v>
      </c>
      <c r="AE521" s="16"/>
    </row>
    <row r="522" spans="1:31" x14ac:dyDescent="0.25">
      <c r="A522" s="10">
        <v>246</v>
      </c>
      <c r="B522" s="4">
        <v>42754</v>
      </c>
      <c r="C522" s="3" t="s">
        <v>377</v>
      </c>
      <c r="D522" s="3" t="s">
        <v>791</v>
      </c>
      <c r="E522" s="3">
        <v>112</v>
      </c>
      <c r="F522" s="3"/>
      <c r="G522" s="3" t="s">
        <v>30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8">
        <v>0</v>
      </c>
      <c r="AD522" s="2" t="str">
        <f>VLOOKUP(E522,'[1]Detailed Transfer Report (12)'!$K:$Y,14,FALSE)</f>
        <v>Sardar Tanveer Ilyas</v>
      </c>
      <c r="AE522" s="16"/>
    </row>
    <row r="523" spans="1:31" x14ac:dyDescent="0.25">
      <c r="A523" s="7">
        <v>247</v>
      </c>
      <c r="B523" s="4">
        <v>42751</v>
      </c>
      <c r="C523" s="3" t="s">
        <v>792</v>
      </c>
      <c r="D523" s="3" t="s">
        <v>793</v>
      </c>
      <c r="E523" s="3">
        <v>103</v>
      </c>
      <c r="F523" s="3"/>
      <c r="G523" s="3" t="s">
        <v>30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8">
        <v>0</v>
      </c>
      <c r="AD523" s="2" t="str">
        <f>VLOOKUP(E523,'[1]Detailed Transfer Report (12)'!$K:$Y,14,FALSE)</f>
        <v>Sardar Tanveer Ilyas</v>
      </c>
      <c r="AE523" s="16"/>
    </row>
    <row r="524" spans="1:31" x14ac:dyDescent="0.25">
      <c r="A524" s="10">
        <v>247</v>
      </c>
      <c r="B524" s="4">
        <v>42751</v>
      </c>
      <c r="C524" s="3" t="s">
        <v>794</v>
      </c>
      <c r="D524" s="3" t="s">
        <v>795</v>
      </c>
      <c r="E524" s="3">
        <v>104</v>
      </c>
      <c r="F524" s="3"/>
      <c r="G524" s="3" t="s">
        <v>30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8">
        <v>0</v>
      </c>
      <c r="AD524" s="2" t="str">
        <f>VLOOKUP(E524,'[1]Detailed Transfer Report (12)'!$K:$Y,14,FALSE)</f>
        <v>Sardar Tanveer Ilyas</v>
      </c>
      <c r="AE524" s="16"/>
    </row>
    <row r="525" spans="1:31" x14ac:dyDescent="0.25">
      <c r="A525" s="3">
        <v>248</v>
      </c>
      <c r="B525" s="4">
        <v>42754</v>
      </c>
      <c r="C525" s="3" t="s">
        <v>130</v>
      </c>
      <c r="D525" s="3" t="s">
        <v>796</v>
      </c>
      <c r="E525" s="3">
        <v>523</v>
      </c>
      <c r="F525" s="3"/>
      <c r="G525" s="3" t="s">
        <v>30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8">
        <v>0</v>
      </c>
      <c r="AD525" s="2" t="str">
        <f>VLOOKUP(E525,'[1]Detailed Transfer Report (12)'!$K:$Y,14,FALSE)</f>
        <v>Sardar Tanveer Ilyas</v>
      </c>
      <c r="AE525" s="16"/>
    </row>
    <row r="526" spans="1:31" x14ac:dyDescent="0.25">
      <c r="A526" s="3">
        <v>249</v>
      </c>
      <c r="B526" s="4">
        <v>42751</v>
      </c>
      <c r="C526" s="3" t="s">
        <v>68</v>
      </c>
      <c r="D526" s="3" t="s">
        <v>797</v>
      </c>
      <c r="E526" s="3">
        <v>161</v>
      </c>
      <c r="F526" s="3"/>
      <c r="G526" s="3" t="s">
        <v>30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8">
        <v>0</v>
      </c>
      <c r="AD526" s="2" t="str">
        <f>VLOOKUP(E526,'[1]Detailed Transfer Report (12)'!$K:$Y,14,FALSE)</f>
        <v>Sardar Tanveer Ilyas</v>
      </c>
      <c r="AE526" s="16"/>
    </row>
    <row r="527" spans="1:31" x14ac:dyDescent="0.25">
      <c r="A527" s="3">
        <v>250</v>
      </c>
      <c r="B527" s="4">
        <v>42754</v>
      </c>
      <c r="C527" s="3" t="s">
        <v>141</v>
      </c>
      <c r="D527" s="3" t="s">
        <v>798</v>
      </c>
      <c r="E527" s="3">
        <v>182</v>
      </c>
      <c r="F527" s="3"/>
      <c r="G527" s="3" t="s">
        <v>30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8">
        <v>0</v>
      </c>
      <c r="AD527" s="2" t="str">
        <f>VLOOKUP(E527,'[1]Detailed Transfer Report (12)'!$K:$Y,14,FALSE)</f>
        <v>Sardar Tanveer Ilyas</v>
      </c>
      <c r="AE527" s="16"/>
    </row>
    <row r="528" spans="1:31" x14ac:dyDescent="0.25">
      <c r="A528" s="3">
        <v>251</v>
      </c>
      <c r="B528" s="4">
        <v>42754</v>
      </c>
      <c r="C528" s="3" t="s">
        <v>799</v>
      </c>
      <c r="D528" s="3" t="s">
        <v>800</v>
      </c>
      <c r="E528" s="3">
        <v>185</v>
      </c>
      <c r="F528" s="3"/>
      <c r="G528" s="3" t="s">
        <v>30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8">
        <v>0</v>
      </c>
      <c r="AD528" s="2" t="str">
        <f>VLOOKUP(E528,'[1]Detailed Transfer Report (12)'!$K:$Y,14,FALSE)</f>
        <v>Sardar Tanveer Ilyas</v>
      </c>
      <c r="AE528" s="16"/>
    </row>
    <row r="529" spans="1:31" x14ac:dyDescent="0.25">
      <c r="A529" s="7">
        <v>252</v>
      </c>
      <c r="B529" s="4">
        <v>42754</v>
      </c>
      <c r="C529" s="3" t="s">
        <v>657</v>
      </c>
      <c r="D529" s="3" t="s">
        <v>801</v>
      </c>
      <c r="E529" s="3">
        <v>12522</v>
      </c>
      <c r="F529" s="3"/>
      <c r="G529" s="3" t="s">
        <v>30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5">
        <v>2000</v>
      </c>
      <c r="N529" s="5">
        <v>4000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5">
        <v>1842</v>
      </c>
      <c r="X529" s="3">
        <v>0</v>
      </c>
      <c r="Y529" s="3">
        <v>0</v>
      </c>
      <c r="Z529" s="3">
        <v>0</v>
      </c>
      <c r="AA529" s="5">
        <v>1000</v>
      </c>
      <c r="AB529" s="6">
        <v>8842</v>
      </c>
      <c r="AD529" s="2" t="str">
        <f>VLOOKUP(E529,'[1]Detailed Transfer Report (12)'!$K:$Y,14,FALSE)</f>
        <v>Sardar Tanveer Ilyas</v>
      </c>
      <c r="AE529" s="16"/>
    </row>
    <row r="530" spans="1:31" x14ac:dyDescent="0.25">
      <c r="A530" s="9">
        <v>252</v>
      </c>
      <c r="B530" s="4">
        <v>42754</v>
      </c>
      <c r="C530" s="3" t="s">
        <v>299</v>
      </c>
      <c r="D530" s="3" t="s">
        <v>802</v>
      </c>
      <c r="E530" s="3">
        <v>12523</v>
      </c>
      <c r="F530" s="3"/>
      <c r="G530" s="3" t="s">
        <v>30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6">
        <v>8842</v>
      </c>
      <c r="AD530" s="2" t="str">
        <f>VLOOKUP(E530,'[1]Detailed Transfer Report (12)'!$K:$Y,14,FALSE)</f>
        <v>Sardar Tanveer Ilyas</v>
      </c>
      <c r="AE530" s="16"/>
    </row>
    <row r="531" spans="1:31" x14ac:dyDescent="0.25">
      <c r="A531" s="10">
        <v>252</v>
      </c>
      <c r="B531" s="4">
        <v>44473</v>
      </c>
      <c r="C531" s="3" t="s">
        <v>657</v>
      </c>
      <c r="D531" s="3" t="s">
        <v>802</v>
      </c>
      <c r="E531" s="3">
        <v>12522</v>
      </c>
      <c r="F531" s="3"/>
      <c r="G531" s="3" t="s">
        <v>30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5">
        <v>2000</v>
      </c>
      <c r="N531" s="5">
        <v>4000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5">
        <v>1842</v>
      </c>
      <c r="X531" s="3">
        <v>0</v>
      </c>
      <c r="Y531" s="3">
        <v>0</v>
      </c>
      <c r="Z531" s="3">
        <v>0</v>
      </c>
      <c r="AA531" s="5">
        <v>1000</v>
      </c>
      <c r="AB531" s="6">
        <v>17684</v>
      </c>
      <c r="AD531" s="2" t="str">
        <f>VLOOKUP(E531,'[1]Detailed Transfer Report (12)'!$K:$Y,14,FALSE)</f>
        <v>Sardar Tanveer Ilyas</v>
      </c>
      <c r="AE531" s="16"/>
    </row>
    <row r="532" spans="1:31" x14ac:dyDescent="0.25">
      <c r="A532" s="3">
        <v>253</v>
      </c>
      <c r="B532" s="4">
        <v>42724</v>
      </c>
      <c r="C532" s="3" t="s">
        <v>700</v>
      </c>
      <c r="D532" s="3" t="s">
        <v>803</v>
      </c>
      <c r="E532" s="3">
        <v>111</v>
      </c>
      <c r="F532" s="3"/>
      <c r="G532" s="3" t="s">
        <v>30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8">
        <v>0</v>
      </c>
      <c r="AE532" s="16"/>
    </row>
    <row r="533" spans="1:31" x14ac:dyDescent="0.25">
      <c r="A533" s="3">
        <v>254</v>
      </c>
      <c r="B533" s="4">
        <v>42754</v>
      </c>
      <c r="C533" s="3" t="s">
        <v>108</v>
      </c>
      <c r="D533" s="3" t="s">
        <v>804</v>
      </c>
      <c r="E533" s="3">
        <v>90</v>
      </c>
      <c r="F533" s="3"/>
      <c r="G533" s="3" t="s">
        <v>30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8">
        <v>0</v>
      </c>
      <c r="AD533" s="2" t="str">
        <f>VLOOKUP(E533,'[1]Detailed Transfer Report (12)'!$K:$Y,14,FALSE)</f>
        <v>Sardar Tanveer Ilyas</v>
      </c>
      <c r="AE533" s="16"/>
    </row>
    <row r="534" spans="1:31" x14ac:dyDescent="0.25">
      <c r="A534" s="7">
        <v>255</v>
      </c>
      <c r="B534" s="4">
        <v>42760</v>
      </c>
      <c r="C534" s="3" t="s">
        <v>805</v>
      </c>
      <c r="D534" s="3" t="s">
        <v>806</v>
      </c>
      <c r="E534" s="3">
        <v>205</v>
      </c>
      <c r="F534" s="3"/>
      <c r="G534" s="3" t="s">
        <v>30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8">
        <v>0</v>
      </c>
      <c r="AD534" s="2" t="str">
        <f>VLOOKUP(E534,'[1]Detailed Transfer Report (12)'!$K:$Y,14,FALSE)</f>
        <v>Sardar Tanveer Ilyas</v>
      </c>
      <c r="AE534" s="16"/>
    </row>
    <row r="535" spans="1:31" x14ac:dyDescent="0.25">
      <c r="A535" s="10">
        <v>255</v>
      </c>
      <c r="B535" s="4">
        <v>42760</v>
      </c>
      <c r="C535" s="3" t="s">
        <v>807</v>
      </c>
      <c r="D535" s="3" t="s">
        <v>808</v>
      </c>
      <c r="E535" s="3">
        <v>204</v>
      </c>
      <c r="F535" s="3"/>
      <c r="G535" s="3" t="s">
        <v>30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8">
        <v>0</v>
      </c>
      <c r="AD535" s="2" t="str">
        <f>VLOOKUP(E535,'[1]Detailed Transfer Report (12)'!$K:$Y,14,FALSE)</f>
        <v>Sardar Tanveer Ilyas</v>
      </c>
      <c r="AE535" s="16"/>
    </row>
    <row r="536" spans="1:31" x14ac:dyDescent="0.25">
      <c r="A536" s="7">
        <v>256</v>
      </c>
      <c r="B536" s="4">
        <v>42791</v>
      </c>
      <c r="C536" s="3" t="s">
        <v>807</v>
      </c>
      <c r="D536" s="3" t="s">
        <v>809</v>
      </c>
      <c r="E536" s="3">
        <v>293</v>
      </c>
      <c r="F536" s="3"/>
      <c r="G536" s="3" t="s">
        <v>30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5">
        <v>298000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5">
        <v>28050</v>
      </c>
      <c r="X536" s="3">
        <v>0</v>
      </c>
      <c r="Y536" s="3">
        <v>0</v>
      </c>
      <c r="Z536" s="3">
        <v>0</v>
      </c>
      <c r="AA536" s="5">
        <v>99000</v>
      </c>
      <c r="AB536" s="6">
        <v>425050</v>
      </c>
      <c r="AD536" s="2" t="str">
        <f>VLOOKUP(E536,'[1]Detailed Transfer Report (12)'!$K:$Y,14,FALSE)</f>
        <v>Sardar Tanveer Ilyas</v>
      </c>
      <c r="AE536" s="16"/>
    </row>
    <row r="537" spans="1:31" x14ac:dyDescent="0.25">
      <c r="A537" s="10">
        <v>256</v>
      </c>
      <c r="B537" s="4">
        <v>42791</v>
      </c>
      <c r="C537" s="3" t="s">
        <v>810</v>
      </c>
      <c r="D537" s="3" t="s">
        <v>811</v>
      </c>
      <c r="E537" s="3">
        <v>294</v>
      </c>
      <c r="F537" s="3"/>
      <c r="G537" s="3" t="s">
        <v>30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6">
        <v>425050</v>
      </c>
      <c r="AD537" s="2" t="str">
        <f>VLOOKUP(E537,'[1]Detailed Transfer Report (12)'!$K:$Y,14,FALSE)</f>
        <v>Sardar Tanveer Ilyas</v>
      </c>
      <c r="AE537" s="16"/>
    </row>
    <row r="538" spans="1:31" x14ac:dyDescent="0.25">
      <c r="A538" s="7">
        <v>257</v>
      </c>
      <c r="B538" s="4">
        <v>42800</v>
      </c>
      <c r="C538" s="3" t="s">
        <v>153</v>
      </c>
      <c r="D538" s="3" t="s">
        <v>812</v>
      </c>
      <c r="E538" s="3">
        <v>336</v>
      </c>
      <c r="F538" s="3"/>
      <c r="G538" s="3" t="s">
        <v>30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8">
        <v>0</v>
      </c>
      <c r="AD538" s="2" t="str">
        <f>VLOOKUP(E538,'[1]Detailed Transfer Report (12)'!$K:$Y,14,FALSE)</f>
        <v>Sardar Tanveer Ilyas</v>
      </c>
      <c r="AE538" s="16"/>
    </row>
    <row r="539" spans="1:31" x14ac:dyDescent="0.25">
      <c r="A539" s="10">
        <v>257</v>
      </c>
      <c r="B539" s="4">
        <v>42800</v>
      </c>
      <c r="C539" s="3" t="s">
        <v>813</v>
      </c>
      <c r="D539" s="3" t="s">
        <v>814</v>
      </c>
      <c r="E539" s="3">
        <v>326</v>
      </c>
      <c r="F539" s="3"/>
      <c r="G539" s="3" t="s">
        <v>30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8">
        <v>0</v>
      </c>
      <c r="AD539" s="2" t="str">
        <f>VLOOKUP(E539,'[1]Detailed Transfer Report (12)'!$K:$Y,14,FALSE)</f>
        <v>Sardar Tanveer Ilyas</v>
      </c>
      <c r="AE539" s="16"/>
    </row>
    <row r="540" spans="1:31" x14ac:dyDescent="0.25">
      <c r="A540" s="7">
        <v>258</v>
      </c>
      <c r="B540" s="4">
        <v>42779</v>
      </c>
      <c r="C540" s="3" t="s">
        <v>815</v>
      </c>
      <c r="D540" s="3" t="s">
        <v>816</v>
      </c>
      <c r="E540" s="3">
        <v>22</v>
      </c>
      <c r="F540" s="3"/>
      <c r="G540" s="3" t="s">
        <v>41</v>
      </c>
      <c r="H540" s="3">
        <v>0</v>
      </c>
      <c r="I540" s="3">
        <v>0</v>
      </c>
      <c r="J540" s="3">
        <v>0</v>
      </c>
      <c r="K540" s="3">
        <v>0</v>
      </c>
      <c r="L540" s="5">
        <v>1500000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5">
        <v>3606666</v>
      </c>
      <c r="Z540" s="3">
        <v>0</v>
      </c>
      <c r="AA540" s="3">
        <v>0</v>
      </c>
      <c r="AB540" s="6">
        <v>5106666</v>
      </c>
      <c r="AD540" s="2" t="str">
        <f>VLOOKUP(E540,'[1]Detailed Transfer Report (12)'!$K:$Y,14,FALSE)</f>
        <v>Sardar Tanveer Ilyas</v>
      </c>
      <c r="AE540" s="16"/>
    </row>
    <row r="541" spans="1:31" x14ac:dyDescent="0.25">
      <c r="A541" s="10">
        <v>258</v>
      </c>
      <c r="B541" s="4">
        <v>42779</v>
      </c>
      <c r="C541" s="3" t="s">
        <v>817</v>
      </c>
      <c r="D541" s="3" t="s">
        <v>818</v>
      </c>
      <c r="E541" s="3">
        <v>23</v>
      </c>
      <c r="F541" s="3"/>
      <c r="G541" s="3" t="s">
        <v>41</v>
      </c>
      <c r="H541" s="3">
        <v>0</v>
      </c>
      <c r="I541" s="3">
        <v>0</v>
      </c>
      <c r="J541" s="3">
        <v>0</v>
      </c>
      <c r="K541" s="3">
        <v>0</v>
      </c>
      <c r="L541" s="5">
        <v>2053333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5">
        <v>4990000</v>
      </c>
      <c r="Z541" s="3">
        <v>0</v>
      </c>
      <c r="AA541" s="3">
        <v>0</v>
      </c>
      <c r="AB541" s="6">
        <v>12149999</v>
      </c>
      <c r="AD541" s="2" t="str">
        <f>VLOOKUP(E541,'[1]Detailed Transfer Report (12)'!$K:$Y,14,FALSE)</f>
        <v>Sardar Tanveer Ilyas</v>
      </c>
      <c r="AE541" s="16"/>
    </row>
    <row r="542" spans="1:31" x14ac:dyDescent="0.25">
      <c r="A542" s="7">
        <v>259</v>
      </c>
      <c r="B542" s="4">
        <v>42899</v>
      </c>
      <c r="C542" s="3" t="s">
        <v>46</v>
      </c>
      <c r="D542" s="3" t="s">
        <v>819</v>
      </c>
      <c r="E542" s="3">
        <v>165</v>
      </c>
      <c r="F542" s="3"/>
      <c r="G542" s="3" t="s">
        <v>30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8">
        <v>0</v>
      </c>
      <c r="AD542" s="2" t="str">
        <f>VLOOKUP(E542,'[1]Detailed Transfer Report (12)'!$K:$Y,14,FALSE)</f>
        <v>Sardar Tanveer Ilyas</v>
      </c>
      <c r="AE542" s="16"/>
    </row>
    <row r="543" spans="1:31" x14ac:dyDescent="0.25">
      <c r="A543" s="9">
        <v>259</v>
      </c>
      <c r="B543" s="4">
        <v>42899</v>
      </c>
      <c r="C543" s="3" t="s">
        <v>536</v>
      </c>
      <c r="D543" s="3" t="s">
        <v>820</v>
      </c>
      <c r="E543" s="3">
        <v>258</v>
      </c>
      <c r="F543" s="3"/>
      <c r="G543" s="3" t="s">
        <v>30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8">
        <v>0</v>
      </c>
      <c r="AD543" s="2" t="str">
        <f>VLOOKUP(E543,'[1]Detailed Transfer Report (12)'!$K:$Y,14,FALSE)</f>
        <v>Sardar Tanveer Ilyas</v>
      </c>
      <c r="AE543" s="16"/>
    </row>
    <row r="544" spans="1:31" x14ac:dyDescent="0.25">
      <c r="A544" s="10">
        <v>259</v>
      </c>
      <c r="B544" s="4">
        <v>42899</v>
      </c>
      <c r="C544" s="3" t="s">
        <v>205</v>
      </c>
      <c r="D544" s="3" t="s">
        <v>821</v>
      </c>
      <c r="E544" s="3">
        <v>263</v>
      </c>
      <c r="F544" s="3"/>
      <c r="G544" s="3" t="s">
        <v>30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5">
        <v>11040</v>
      </c>
      <c r="N544" s="5">
        <v>17560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5">
        <v>2550</v>
      </c>
      <c r="X544" s="3">
        <v>0</v>
      </c>
      <c r="Y544" s="3">
        <v>0</v>
      </c>
      <c r="Z544" s="3">
        <v>0</v>
      </c>
      <c r="AA544" s="5">
        <v>5520</v>
      </c>
      <c r="AB544" s="6">
        <v>36670</v>
      </c>
      <c r="AD544" s="2" t="str">
        <f>VLOOKUP(E544,'[1]Detailed Transfer Report (12)'!$K:$Y,14,FALSE)</f>
        <v>Sardar Tanveer Ilyas</v>
      </c>
      <c r="AE544" s="16"/>
    </row>
    <row r="545" spans="1:31" x14ac:dyDescent="0.25">
      <c r="A545" s="7">
        <v>260</v>
      </c>
      <c r="B545" s="4">
        <v>42786</v>
      </c>
      <c r="C545" s="3" t="s">
        <v>114</v>
      </c>
      <c r="D545" s="3" t="s">
        <v>822</v>
      </c>
      <c r="E545" s="3"/>
      <c r="F545" s="3"/>
      <c r="G545" s="3" t="s">
        <v>30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8">
        <v>0</v>
      </c>
      <c r="AE545" s="16"/>
    </row>
    <row r="546" spans="1:31" x14ac:dyDescent="0.25">
      <c r="A546" s="10">
        <v>260</v>
      </c>
      <c r="B546" s="4">
        <v>42786</v>
      </c>
      <c r="C546" s="3" t="s">
        <v>536</v>
      </c>
      <c r="D546" s="3" t="s">
        <v>823</v>
      </c>
      <c r="E546" s="3">
        <v>114</v>
      </c>
      <c r="F546" s="3"/>
      <c r="G546" s="3" t="s">
        <v>30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8">
        <v>0</v>
      </c>
      <c r="AD546" s="2" t="str">
        <f>VLOOKUP(E546,'[1]Detailed Transfer Report (12)'!$K:$Y,14,FALSE)</f>
        <v>Sardar Tanveer Ilyas</v>
      </c>
      <c r="AE546" s="16"/>
    </row>
    <row r="547" spans="1:31" x14ac:dyDescent="0.25">
      <c r="A547" s="7">
        <v>261</v>
      </c>
      <c r="B547" s="4">
        <v>42786</v>
      </c>
      <c r="C547" s="3" t="s">
        <v>824</v>
      </c>
      <c r="D547" s="3" t="s">
        <v>825</v>
      </c>
      <c r="E547" s="3">
        <v>271</v>
      </c>
      <c r="F547" s="3"/>
      <c r="G547" s="3" t="s">
        <v>30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8">
        <v>0</v>
      </c>
      <c r="AD547" s="2" t="str">
        <f>VLOOKUP(E547,'[1]Detailed Transfer Report (12)'!$K:$Y,14,FALSE)</f>
        <v>Sardar Tanveer Ilyas</v>
      </c>
      <c r="AE547" s="16"/>
    </row>
    <row r="548" spans="1:31" x14ac:dyDescent="0.25">
      <c r="A548" s="9">
        <v>261</v>
      </c>
      <c r="B548" s="4">
        <v>42786</v>
      </c>
      <c r="C548" s="3" t="s">
        <v>280</v>
      </c>
      <c r="D548" s="3" t="s">
        <v>826</v>
      </c>
      <c r="E548" s="3">
        <v>272</v>
      </c>
      <c r="F548" s="3"/>
      <c r="G548" s="3" t="s">
        <v>30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8">
        <v>0</v>
      </c>
      <c r="AD548" s="2" t="str">
        <f>VLOOKUP(E548,'[1]Detailed Transfer Report (12)'!$K:$Y,14,FALSE)</f>
        <v>Sardar Tanveer Ilyas</v>
      </c>
      <c r="AE548" s="16"/>
    </row>
    <row r="549" spans="1:31" x14ac:dyDescent="0.25">
      <c r="A549" s="10">
        <v>261</v>
      </c>
      <c r="B549" s="4">
        <v>42786</v>
      </c>
      <c r="C549" s="3" t="s">
        <v>827</v>
      </c>
      <c r="D549" s="3" t="s">
        <v>828</v>
      </c>
      <c r="E549" s="3">
        <v>273</v>
      </c>
      <c r="F549" s="3"/>
      <c r="G549" s="3" t="s">
        <v>30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8">
        <v>0</v>
      </c>
      <c r="AD549" s="2" t="str">
        <f>VLOOKUP(E549,'[1]Detailed Transfer Report (12)'!$K:$Y,14,FALSE)</f>
        <v>Sardar Tanveer Ilyas</v>
      </c>
      <c r="AE549" s="16"/>
    </row>
    <row r="550" spans="1:31" x14ac:dyDescent="0.25">
      <c r="A550" s="3">
        <v>262</v>
      </c>
      <c r="B550" s="4">
        <v>42786</v>
      </c>
      <c r="C550" s="3" t="s">
        <v>521</v>
      </c>
      <c r="D550" s="3" t="s">
        <v>829</v>
      </c>
      <c r="E550" s="3">
        <v>270</v>
      </c>
      <c r="F550" s="3"/>
      <c r="G550" s="3" t="s">
        <v>30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8">
        <v>0</v>
      </c>
      <c r="AD550" s="2" t="str">
        <f>VLOOKUP(E550,'[1]Detailed Transfer Report (12)'!$K:$Y,14,FALSE)</f>
        <v>Sardar Tanveer Ilyas</v>
      </c>
      <c r="AE550" s="16"/>
    </row>
    <row r="551" spans="1:31" x14ac:dyDescent="0.25">
      <c r="A551" s="7">
        <v>263</v>
      </c>
      <c r="B551" s="4">
        <v>42793</v>
      </c>
      <c r="C551" s="3" t="s">
        <v>830</v>
      </c>
      <c r="D551" s="3" t="s">
        <v>831</v>
      </c>
      <c r="E551" s="3">
        <v>260</v>
      </c>
      <c r="F551" s="3"/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5">
        <v>3800</v>
      </c>
      <c r="N551" s="5">
        <v>6700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5">
        <v>1181</v>
      </c>
      <c r="X551" s="3">
        <v>0</v>
      </c>
      <c r="Y551" s="3">
        <v>0</v>
      </c>
      <c r="Z551" s="3">
        <v>0</v>
      </c>
      <c r="AA551" s="5">
        <v>1900</v>
      </c>
      <c r="AB551" s="6">
        <v>13581</v>
      </c>
      <c r="AD551" s="2" t="str">
        <f>VLOOKUP(E551,'[1]Detailed Transfer Report (12)'!$K:$Y,14,FALSE)</f>
        <v>Sardar Tanveer Ilyas</v>
      </c>
      <c r="AE551" s="16"/>
    </row>
    <row r="552" spans="1:31" x14ac:dyDescent="0.25">
      <c r="A552" s="10">
        <v>263</v>
      </c>
      <c r="B552" s="4">
        <v>42786</v>
      </c>
      <c r="C552" s="3" t="s">
        <v>539</v>
      </c>
      <c r="D552" s="3" t="s">
        <v>832</v>
      </c>
      <c r="E552" s="3">
        <v>269</v>
      </c>
      <c r="F552" s="3"/>
      <c r="G552" s="3" t="s">
        <v>30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6">
        <v>13581</v>
      </c>
      <c r="AD552" s="2" t="str">
        <f>VLOOKUP(E552,'[1]Detailed Transfer Report (12)'!$K:$Y,14,FALSE)</f>
        <v>Sardar Tanveer Ilyas</v>
      </c>
      <c r="AE552" s="16"/>
    </row>
    <row r="553" spans="1:31" x14ac:dyDescent="0.25">
      <c r="A553" s="7">
        <v>264</v>
      </c>
      <c r="B553" s="4">
        <v>42786</v>
      </c>
      <c r="C553" s="3" t="s">
        <v>84</v>
      </c>
      <c r="D553" s="3" t="s">
        <v>833</v>
      </c>
      <c r="E553" s="3">
        <v>267</v>
      </c>
      <c r="F553" s="3"/>
      <c r="G553" s="3" t="s">
        <v>30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8">
        <v>0</v>
      </c>
      <c r="AD553" s="2" t="str">
        <f>VLOOKUP(E553,'[1]Detailed Transfer Report (12)'!$K:$Y,14,FALSE)</f>
        <v>Sardar Tanveer Ilyas</v>
      </c>
      <c r="AE553" s="16"/>
    </row>
    <row r="554" spans="1:31" x14ac:dyDescent="0.25">
      <c r="A554" s="10">
        <v>264</v>
      </c>
      <c r="B554" s="4">
        <v>42786</v>
      </c>
      <c r="C554" s="3" t="s">
        <v>143</v>
      </c>
      <c r="D554" s="3" t="s">
        <v>834</v>
      </c>
      <c r="E554" s="3">
        <v>408</v>
      </c>
      <c r="F554" s="3"/>
      <c r="G554" s="3" t="s">
        <v>30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8">
        <v>0</v>
      </c>
      <c r="AD554" s="2" t="str">
        <f>VLOOKUP(E554,'[1]Detailed Transfer Report (12)'!$K:$Y,14,FALSE)</f>
        <v>Sardar Tanveer Ilyas</v>
      </c>
      <c r="AE554" s="16"/>
    </row>
    <row r="555" spans="1:31" x14ac:dyDescent="0.25">
      <c r="A555" s="7">
        <v>265</v>
      </c>
      <c r="B555" s="4">
        <v>42871</v>
      </c>
      <c r="C555" s="3" t="s">
        <v>153</v>
      </c>
      <c r="D555" s="3" t="s">
        <v>835</v>
      </c>
      <c r="E555" s="3">
        <v>404</v>
      </c>
      <c r="F555" s="3"/>
      <c r="G555" s="3" t="s">
        <v>30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5">
        <v>3000</v>
      </c>
      <c r="N555" s="5">
        <v>5500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5">
        <v>2125</v>
      </c>
      <c r="X555" s="3">
        <v>0</v>
      </c>
      <c r="Y555" s="3">
        <v>0</v>
      </c>
      <c r="Z555" s="3">
        <v>0</v>
      </c>
      <c r="AA555" s="5">
        <v>1500</v>
      </c>
      <c r="AB555" s="6">
        <v>12125</v>
      </c>
      <c r="AD555" s="2" t="str">
        <f>VLOOKUP(E555,'[1]Detailed Transfer Report (12)'!$K:$Y,14,FALSE)</f>
        <v>Sardar Tanveer Ilyas</v>
      </c>
      <c r="AE555" s="16"/>
    </row>
    <row r="556" spans="1:31" x14ac:dyDescent="0.25">
      <c r="A556" s="10">
        <v>265</v>
      </c>
      <c r="B556" s="4">
        <v>42831</v>
      </c>
      <c r="C556" s="3" t="s">
        <v>153</v>
      </c>
      <c r="D556" s="3" t="s">
        <v>836</v>
      </c>
      <c r="E556" s="3">
        <v>275</v>
      </c>
      <c r="F556" s="3"/>
      <c r="G556" s="3" t="s">
        <v>30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6">
        <v>12125</v>
      </c>
      <c r="AD556" s="2" t="str">
        <f>VLOOKUP(E556,'[1]Detailed Transfer Report (12)'!$K:$Y,14,FALSE)</f>
        <v>Sardar Tanveer Ilyas</v>
      </c>
      <c r="AE556" s="16"/>
    </row>
    <row r="557" spans="1:31" x14ac:dyDescent="0.25">
      <c r="A557" s="3">
        <v>266</v>
      </c>
      <c r="B557" s="4">
        <v>42803</v>
      </c>
      <c r="C557" s="3" t="s">
        <v>723</v>
      </c>
      <c r="D557" s="3" t="s">
        <v>837</v>
      </c>
      <c r="E557" s="3">
        <v>308</v>
      </c>
      <c r="F557" s="3"/>
      <c r="G557" s="3" t="s">
        <v>30</v>
      </c>
      <c r="H557" s="3">
        <v>0</v>
      </c>
      <c r="I557" s="3">
        <v>0</v>
      </c>
      <c r="J557" s="3">
        <v>0</v>
      </c>
      <c r="K557" s="3">
        <v>0</v>
      </c>
      <c r="L557" s="5">
        <v>20000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6">
        <v>20000</v>
      </c>
      <c r="AD557" s="2" t="str">
        <f>VLOOKUP(E557,'[1]Detailed Transfer Report (12)'!$K:$Y,14,FALSE)</f>
        <v>Sardar Tanveer Ilyas</v>
      </c>
      <c r="AE557" s="16"/>
    </row>
    <row r="558" spans="1:31" x14ac:dyDescent="0.25">
      <c r="A558" s="7">
        <v>267</v>
      </c>
      <c r="B558" s="4">
        <v>42800</v>
      </c>
      <c r="C558" s="3" t="s">
        <v>377</v>
      </c>
      <c r="D558" s="3" t="s">
        <v>838</v>
      </c>
      <c r="E558" s="3" t="s">
        <v>839</v>
      </c>
      <c r="F558" s="3"/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8">
        <v>0</v>
      </c>
      <c r="AD558" s="2" t="str">
        <f>VLOOKUP(E558,'[1]Detailed Transfer Report (12)'!$K:$Y,14,FALSE)</f>
        <v>Sardar Tanveer Ilyas</v>
      </c>
      <c r="AE558" s="16"/>
    </row>
    <row r="559" spans="1:31" x14ac:dyDescent="0.25">
      <c r="A559" s="10">
        <v>267</v>
      </c>
      <c r="B559" s="4">
        <v>42801</v>
      </c>
      <c r="C559" s="3" t="s">
        <v>840</v>
      </c>
      <c r="D559" s="3" t="s">
        <v>841</v>
      </c>
      <c r="E559" s="3">
        <v>321</v>
      </c>
      <c r="F559" s="3"/>
      <c r="G559" s="3" t="s">
        <v>30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8">
        <v>0</v>
      </c>
      <c r="AD559" s="2" t="str">
        <f>VLOOKUP(E559,'[1]Detailed Transfer Report (12)'!$K:$Y,14,FALSE)</f>
        <v>Sardar Tanveer Ilyas</v>
      </c>
      <c r="AE559" s="16"/>
    </row>
    <row r="560" spans="1:31" x14ac:dyDescent="0.25">
      <c r="A560" s="7">
        <v>268</v>
      </c>
      <c r="B560" s="4">
        <v>43013</v>
      </c>
      <c r="C560" s="3" t="s">
        <v>842</v>
      </c>
      <c r="D560" s="3" t="s">
        <v>843</v>
      </c>
      <c r="E560" s="3">
        <v>569</v>
      </c>
      <c r="F560" s="3"/>
      <c r="G560" s="3" t="s">
        <v>30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8">
        <v>0</v>
      </c>
      <c r="AD560" s="2" t="str">
        <f>VLOOKUP(E560,'[1]Detailed Transfer Report (12)'!$K:$Y,14,FALSE)</f>
        <v>Sardar Tanveer Ilyas</v>
      </c>
      <c r="AE560" s="16"/>
    </row>
    <row r="561" spans="1:31" x14ac:dyDescent="0.25">
      <c r="A561" s="9">
        <v>268</v>
      </c>
      <c r="B561" s="4">
        <v>43276</v>
      </c>
      <c r="C561" s="3" t="s">
        <v>844</v>
      </c>
      <c r="D561" s="3" t="s">
        <v>845</v>
      </c>
      <c r="E561" s="3">
        <v>1194</v>
      </c>
      <c r="F561" s="3"/>
      <c r="G561" s="3" t="s">
        <v>30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5">
        <v>176500</v>
      </c>
      <c r="N561" s="5">
        <v>267750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500</v>
      </c>
      <c r="U561" s="3">
        <v>0</v>
      </c>
      <c r="V561" s="3">
        <v>0</v>
      </c>
      <c r="W561" s="5">
        <v>169197</v>
      </c>
      <c r="X561" s="3">
        <v>0</v>
      </c>
      <c r="Y561" s="3">
        <v>0</v>
      </c>
      <c r="Z561" s="3">
        <v>0</v>
      </c>
      <c r="AA561" s="5">
        <v>88250</v>
      </c>
      <c r="AB561" s="6">
        <v>702197</v>
      </c>
      <c r="AD561" s="2" t="str">
        <f>VLOOKUP(E561,'[1]Detailed Transfer Report (12)'!$K:$Y,14,FALSE)</f>
        <v>Sardar Tanveer Ilyas</v>
      </c>
      <c r="AE561" s="16"/>
    </row>
    <row r="562" spans="1:31" x14ac:dyDescent="0.25">
      <c r="A562" s="9">
        <v>268</v>
      </c>
      <c r="B562" s="4">
        <v>42846</v>
      </c>
      <c r="C562" s="3" t="s">
        <v>846</v>
      </c>
      <c r="D562" s="3" t="s">
        <v>847</v>
      </c>
      <c r="E562" s="3">
        <v>356</v>
      </c>
      <c r="F562" s="3"/>
      <c r="G562" s="3" t="s">
        <v>30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5">
        <v>500000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6">
        <v>1202197</v>
      </c>
      <c r="AD562" s="2" t="str">
        <f>VLOOKUP(E562,'[1]Detailed Transfer Report (12)'!$K:$Y,14,FALSE)</f>
        <v>Sardar Tanveer Ilyas</v>
      </c>
      <c r="AE562" s="16"/>
    </row>
    <row r="563" spans="1:31" x14ac:dyDescent="0.25">
      <c r="A563" s="9">
        <v>268</v>
      </c>
      <c r="B563" s="4">
        <v>42846</v>
      </c>
      <c r="C563" s="3" t="s">
        <v>282</v>
      </c>
      <c r="D563" s="3" t="s">
        <v>847</v>
      </c>
      <c r="E563" s="3">
        <v>358</v>
      </c>
      <c r="F563" s="3"/>
      <c r="G563" s="3" t="s">
        <v>30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6">
        <v>1202197</v>
      </c>
      <c r="AD563" s="2" t="str">
        <f>VLOOKUP(E563,'[1]Detailed Transfer Report (12)'!$K:$Y,14,FALSE)</f>
        <v>Sardar Tanveer Ilyas</v>
      </c>
      <c r="AE563" s="16"/>
    </row>
    <row r="564" spans="1:31" x14ac:dyDescent="0.25">
      <c r="A564" s="9">
        <v>268</v>
      </c>
      <c r="B564" s="4">
        <v>43276</v>
      </c>
      <c r="C564" s="3" t="s">
        <v>848</v>
      </c>
      <c r="D564" s="3" t="s">
        <v>845</v>
      </c>
      <c r="E564" s="3">
        <v>1192</v>
      </c>
      <c r="F564" s="3"/>
      <c r="G564" s="3" t="s">
        <v>30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6">
        <v>1202197</v>
      </c>
      <c r="AD564" s="2" t="str">
        <f>VLOOKUP(E564,'[1]Detailed Transfer Report (12)'!$K:$Y,14,FALSE)</f>
        <v>Sardar Tanveer Ilyas</v>
      </c>
      <c r="AE564" s="16"/>
    </row>
    <row r="565" spans="1:31" x14ac:dyDescent="0.25">
      <c r="A565" s="9">
        <v>268</v>
      </c>
      <c r="B565" s="4">
        <v>43276</v>
      </c>
      <c r="C565" s="3" t="s">
        <v>207</v>
      </c>
      <c r="D565" s="3" t="s">
        <v>845</v>
      </c>
      <c r="E565" s="3">
        <v>1193</v>
      </c>
      <c r="F565" s="3"/>
      <c r="G565" s="3" t="s">
        <v>30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6">
        <v>1202197</v>
      </c>
      <c r="AD565" s="2" t="str">
        <f>VLOOKUP(E565,'[1]Detailed Transfer Report (12)'!$K:$Y,14,FALSE)</f>
        <v>Sardar Tanveer Ilyas</v>
      </c>
      <c r="AE565" s="16"/>
    </row>
    <row r="566" spans="1:31" x14ac:dyDescent="0.25">
      <c r="A566" s="9">
        <v>268</v>
      </c>
      <c r="B566" s="4">
        <v>43013</v>
      </c>
      <c r="C566" s="3" t="s">
        <v>849</v>
      </c>
      <c r="D566" s="3" t="s">
        <v>843</v>
      </c>
      <c r="E566" s="3">
        <v>568</v>
      </c>
      <c r="F566" s="3"/>
      <c r="G566" s="3" t="s">
        <v>30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6">
        <v>1202197</v>
      </c>
      <c r="AD566" s="2" t="str">
        <f>VLOOKUP(E566,'[1]Detailed Transfer Report (12)'!$K:$Y,14,FALSE)</f>
        <v>Sardar Tanveer Ilyas</v>
      </c>
      <c r="AE566" s="16"/>
    </row>
    <row r="567" spans="1:31" x14ac:dyDescent="0.25">
      <c r="A567" s="9">
        <v>268</v>
      </c>
      <c r="B567" s="4">
        <v>43013</v>
      </c>
      <c r="C567" s="3" t="s">
        <v>207</v>
      </c>
      <c r="D567" s="3" t="s">
        <v>843</v>
      </c>
      <c r="E567" s="3">
        <v>566</v>
      </c>
      <c r="F567" s="3"/>
      <c r="G567" s="3" t="s">
        <v>30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5">
        <v>44000</v>
      </c>
      <c r="N567" s="5">
        <v>372000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5">
        <v>95294</v>
      </c>
      <c r="X567" s="3">
        <v>0</v>
      </c>
      <c r="Y567" s="3">
        <v>0</v>
      </c>
      <c r="Z567" s="3">
        <v>0</v>
      </c>
      <c r="AA567" s="5">
        <v>123000</v>
      </c>
      <c r="AB567" s="6">
        <v>1836491</v>
      </c>
      <c r="AD567" s="2" t="str">
        <f>VLOOKUP(E567,'[1]Detailed Transfer Report (12)'!$K:$Y,14,FALSE)</f>
        <v>Sardar Tanveer Ilyas</v>
      </c>
      <c r="AE567" s="16"/>
    </row>
    <row r="568" spans="1:31" x14ac:dyDescent="0.25">
      <c r="A568" s="9">
        <v>268</v>
      </c>
      <c r="B568" s="4">
        <v>43242</v>
      </c>
      <c r="C568" s="3" t="s">
        <v>850</v>
      </c>
      <c r="D568" s="3" t="s">
        <v>851</v>
      </c>
      <c r="E568" s="3">
        <v>565</v>
      </c>
      <c r="F568" s="3"/>
      <c r="G568" s="3" t="s">
        <v>30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5">
        <v>62000</v>
      </c>
      <c r="N568" s="5">
        <v>94000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5">
        <v>59075</v>
      </c>
      <c r="X568" s="3">
        <v>0</v>
      </c>
      <c r="Y568" s="3">
        <v>0</v>
      </c>
      <c r="Z568" s="3">
        <v>0</v>
      </c>
      <c r="AA568" s="5">
        <v>31000</v>
      </c>
      <c r="AB568" s="6">
        <v>2082566</v>
      </c>
      <c r="AD568" s="2" t="str">
        <f>VLOOKUP(E568,'[1]Detailed Transfer Report (12)'!$K:$Y,14,FALSE)</f>
        <v>Sardar Tanveer Ilyas</v>
      </c>
      <c r="AE568" s="16"/>
    </row>
    <row r="569" spans="1:31" x14ac:dyDescent="0.25">
      <c r="A569" s="9">
        <v>268</v>
      </c>
      <c r="B569" s="4">
        <v>43371</v>
      </c>
      <c r="C569" s="3" t="s">
        <v>852</v>
      </c>
      <c r="D569" s="3" t="s">
        <v>853</v>
      </c>
      <c r="E569" s="3">
        <v>1303</v>
      </c>
      <c r="F569" s="3"/>
      <c r="G569" s="3" t="s">
        <v>30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5">
        <v>4000</v>
      </c>
      <c r="N569" s="5">
        <v>7000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500</v>
      </c>
      <c r="U569" s="3">
        <v>0</v>
      </c>
      <c r="V569" s="3">
        <v>0</v>
      </c>
      <c r="W569" s="5">
        <v>3400</v>
      </c>
      <c r="X569" s="3">
        <v>0</v>
      </c>
      <c r="Y569" s="3">
        <v>0</v>
      </c>
      <c r="Z569" s="3">
        <v>0</v>
      </c>
      <c r="AA569" s="5">
        <v>2000</v>
      </c>
      <c r="AB569" s="6">
        <v>2099466</v>
      </c>
      <c r="AD569" s="2" t="str">
        <f>VLOOKUP(E569,'[1]Detailed Transfer Report (12)'!$K:$Y,14,FALSE)</f>
        <v>Sardar Tanveer Ilyas</v>
      </c>
      <c r="AE569" s="16"/>
    </row>
    <row r="570" spans="1:31" x14ac:dyDescent="0.25">
      <c r="A570" s="10">
        <v>268</v>
      </c>
      <c r="B570" s="4">
        <v>43371</v>
      </c>
      <c r="C570" s="3" t="s">
        <v>854</v>
      </c>
      <c r="D570" s="3" t="s">
        <v>822</v>
      </c>
      <c r="E570" s="3">
        <v>1858</v>
      </c>
      <c r="F570" s="3"/>
      <c r="G570" s="3" t="s">
        <v>30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6">
        <v>2099466</v>
      </c>
      <c r="AD570" s="2" t="str">
        <f>VLOOKUP(E570,'[1]Detailed Transfer Report (12)'!$K:$Y,14,FALSE)</f>
        <v>Sardar Tanveer Ilyas</v>
      </c>
      <c r="AE570" s="16"/>
    </row>
    <row r="571" spans="1:31" x14ac:dyDescent="0.25">
      <c r="A571" s="3">
        <v>269</v>
      </c>
      <c r="B571" s="4">
        <v>42821</v>
      </c>
      <c r="C571" s="3" t="s">
        <v>855</v>
      </c>
      <c r="D571" s="3" t="s">
        <v>856</v>
      </c>
      <c r="E571" s="3">
        <v>378</v>
      </c>
      <c r="F571" s="3"/>
      <c r="G571" s="3" t="s">
        <v>30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8">
        <v>0</v>
      </c>
      <c r="AD571" s="2" t="str">
        <f>VLOOKUP(E571,'[1]Detailed Transfer Report (12)'!$K:$Y,14,FALSE)</f>
        <v>Sardar Tanveer Ilyas</v>
      </c>
      <c r="AE571" s="16"/>
    </row>
    <row r="572" spans="1:31" x14ac:dyDescent="0.25">
      <c r="A572" s="3">
        <v>270</v>
      </c>
      <c r="B572" s="4">
        <v>43013</v>
      </c>
      <c r="C572" s="3" t="s">
        <v>153</v>
      </c>
      <c r="D572" s="3" t="s">
        <v>857</v>
      </c>
      <c r="E572" s="3">
        <v>363</v>
      </c>
      <c r="F572" s="3"/>
      <c r="G572" s="3" t="s">
        <v>30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5">
        <v>6400</v>
      </c>
      <c r="N572" s="5">
        <v>10600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5">
        <v>2125</v>
      </c>
      <c r="X572" s="3">
        <v>0</v>
      </c>
      <c r="Y572" s="3">
        <v>0</v>
      </c>
      <c r="Z572" s="3">
        <v>0</v>
      </c>
      <c r="AA572" s="5">
        <v>3200</v>
      </c>
      <c r="AB572" s="6">
        <v>22325</v>
      </c>
      <c r="AD572" s="2" t="str">
        <f>VLOOKUP(E572,'[1]Detailed Transfer Report (12)'!$K:$Y,14,FALSE)</f>
        <v>Sardar Tanveer Ilyas</v>
      </c>
      <c r="AE572" s="16"/>
    </row>
    <row r="573" spans="1:31" x14ac:dyDescent="0.25">
      <c r="A573" s="7">
        <v>271</v>
      </c>
      <c r="B573" s="4">
        <v>42829</v>
      </c>
      <c r="C573" s="3" t="s">
        <v>657</v>
      </c>
      <c r="D573" s="3" t="s">
        <v>858</v>
      </c>
      <c r="E573" s="3">
        <v>394</v>
      </c>
      <c r="F573" s="3"/>
      <c r="G573" s="3" t="s">
        <v>30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8">
        <v>0</v>
      </c>
      <c r="AD573" s="2" t="str">
        <f>VLOOKUP(E573,'[1]Detailed Transfer Report (12)'!$K:$Y,14,FALSE)</f>
        <v>Sardar Tanveer Ilyas</v>
      </c>
      <c r="AE573" s="16"/>
    </row>
    <row r="574" spans="1:31" x14ac:dyDescent="0.25">
      <c r="A574" s="10">
        <v>271</v>
      </c>
      <c r="B574" s="4">
        <v>42829</v>
      </c>
      <c r="C574" s="3" t="s">
        <v>859</v>
      </c>
      <c r="D574" s="3" t="s">
        <v>860</v>
      </c>
      <c r="E574" s="3">
        <v>564</v>
      </c>
      <c r="F574" s="3"/>
      <c r="G574" s="3" t="s">
        <v>30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8">
        <v>0</v>
      </c>
      <c r="AD574" s="2" t="str">
        <f>VLOOKUP(E574,'[1]Detailed Transfer Report (12)'!$K:$Y,14,FALSE)</f>
        <v>Sardar Tanveer Ilyas</v>
      </c>
      <c r="AE574" s="16"/>
    </row>
    <row r="575" spans="1:31" x14ac:dyDescent="0.25">
      <c r="A575" s="3">
        <v>272</v>
      </c>
      <c r="B575" s="4">
        <v>43013</v>
      </c>
      <c r="C575" s="3" t="s">
        <v>153</v>
      </c>
      <c r="D575" s="3" t="s">
        <v>861</v>
      </c>
      <c r="E575" s="3">
        <v>362</v>
      </c>
      <c r="F575" s="3"/>
      <c r="G575" s="3" t="s">
        <v>30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5">
        <v>6400</v>
      </c>
      <c r="N575" s="5">
        <v>10600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500</v>
      </c>
      <c r="W575" s="5">
        <v>2125</v>
      </c>
      <c r="X575" s="3">
        <v>0</v>
      </c>
      <c r="Y575" s="3">
        <v>0</v>
      </c>
      <c r="Z575" s="3">
        <v>0</v>
      </c>
      <c r="AA575" s="5">
        <v>3200</v>
      </c>
      <c r="AB575" s="6">
        <v>22825</v>
      </c>
      <c r="AD575" s="2" t="str">
        <f>VLOOKUP(E575,'[1]Detailed Transfer Report (12)'!$K:$Y,14,FALSE)</f>
        <v>Sardar Tanveer Ilyas</v>
      </c>
      <c r="AE575" s="16"/>
    </row>
    <row r="576" spans="1:31" x14ac:dyDescent="0.25">
      <c r="A576" s="3">
        <v>273</v>
      </c>
      <c r="B576" s="4">
        <v>42832</v>
      </c>
      <c r="C576" s="3" t="s">
        <v>114</v>
      </c>
      <c r="D576" s="3" t="s">
        <v>862</v>
      </c>
      <c r="E576" s="3">
        <v>361</v>
      </c>
      <c r="F576" s="3"/>
      <c r="G576" s="3" t="s">
        <v>30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8">
        <v>0</v>
      </c>
      <c r="AD576" s="2" t="str">
        <f>VLOOKUP(E576,'[1]Detailed Transfer Report (12)'!$K:$Y,14,FALSE)</f>
        <v>Sardar Tanveer Ilyas</v>
      </c>
      <c r="AE576" s="16"/>
    </row>
    <row r="577" spans="1:31" x14ac:dyDescent="0.25">
      <c r="A577" s="3">
        <v>274</v>
      </c>
      <c r="B577" s="4">
        <v>42831</v>
      </c>
      <c r="C577" s="3" t="s">
        <v>521</v>
      </c>
      <c r="D577" s="3" t="s">
        <v>863</v>
      </c>
      <c r="E577" s="3">
        <v>424</v>
      </c>
      <c r="F577" s="3"/>
      <c r="G577" s="3" t="s">
        <v>30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8">
        <v>0</v>
      </c>
      <c r="AD577" s="2" t="str">
        <f>VLOOKUP(E577,'[1]Detailed Transfer Report (12)'!$K:$Y,14,FALSE)</f>
        <v>Sardar Tanveer Ilyas</v>
      </c>
      <c r="AE577" s="16"/>
    </row>
    <row r="578" spans="1:31" x14ac:dyDescent="0.25">
      <c r="A578" s="3">
        <v>275</v>
      </c>
      <c r="B578" s="4">
        <v>42858</v>
      </c>
      <c r="C578" s="3" t="s">
        <v>57</v>
      </c>
      <c r="D578" s="3" t="s">
        <v>864</v>
      </c>
      <c r="E578" s="3">
        <v>486</v>
      </c>
      <c r="F578" s="3"/>
      <c r="G578" s="3" t="s">
        <v>30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5">
        <v>300000</v>
      </c>
      <c r="N578" s="5">
        <v>451000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500</v>
      </c>
      <c r="W578" s="5">
        <v>102000</v>
      </c>
      <c r="X578" s="3">
        <v>0</v>
      </c>
      <c r="Y578" s="3">
        <v>0</v>
      </c>
      <c r="Z578" s="3">
        <v>0</v>
      </c>
      <c r="AA578" s="5">
        <v>150000</v>
      </c>
      <c r="AB578" s="6">
        <v>1003500</v>
      </c>
      <c r="AD578" s="2" t="str">
        <f>VLOOKUP(E578,'[1]Detailed Transfer Report (12)'!$K:$Y,14,FALSE)</f>
        <v>Sardar Tanveer Ilyas</v>
      </c>
      <c r="AE578" s="16"/>
    </row>
    <row r="579" spans="1:31" x14ac:dyDescent="0.25">
      <c r="A579" s="3">
        <v>276</v>
      </c>
      <c r="B579" s="4">
        <v>42871</v>
      </c>
      <c r="C579" s="3" t="s">
        <v>205</v>
      </c>
      <c r="D579" s="3" t="s">
        <v>865</v>
      </c>
      <c r="E579" s="3">
        <v>409</v>
      </c>
      <c r="F579" s="3"/>
      <c r="G579" s="3" t="s">
        <v>30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5">
        <v>12700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5">
        <v>2550</v>
      </c>
      <c r="X579" s="3">
        <v>0</v>
      </c>
      <c r="Y579" s="3">
        <v>0</v>
      </c>
      <c r="Z579" s="3">
        <v>0</v>
      </c>
      <c r="AA579" s="5">
        <v>3900</v>
      </c>
      <c r="AB579" s="6">
        <v>19150</v>
      </c>
      <c r="AD579" s="2" t="str">
        <f>VLOOKUP(E579,'[1]Detailed Transfer Report (12)'!$K:$Y,14,FALSE)</f>
        <v>Sardar Tanveer Ilyas</v>
      </c>
      <c r="AE579" s="16"/>
    </row>
    <row r="580" spans="1:31" x14ac:dyDescent="0.25">
      <c r="A580" s="3">
        <v>277</v>
      </c>
      <c r="B580" s="4">
        <v>42871</v>
      </c>
      <c r="C580" s="3" t="s">
        <v>866</v>
      </c>
      <c r="D580" s="3" t="s">
        <v>867</v>
      </c>
      <c r="E580" s="3">
        <v>423</v>
      </c>
      <c r="F580" s="3"/>
      <c r="G580" s="3" t="s">
        <v>30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5">
        <v>7000</v>
      </c>
      <c r="N580" s="5">
        <v>11500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5">
        <v>7036</v>
      </c>
      <c r="X580" s="3">
        <v>0</v>
      </c>
      <c r="Y580" s="3">
        <v>0</v>
      </c>
      <c r="Z580" s="3">
        <v>0</v>
      </c>
      <c r="AA580" s="5">
        <v>3500</v>
      </c>
      <c r="AB580" s="6">
        <v>29036</v>
      </c>
      <c r="AD580" s="2" t="str">
        <f>VLOOKUP(E580,'[1]Detailed Transfer Report (12)'!$K:$Y,14,FALSE)</f>
        <v>Sardar Tanveer Ilyas</v>
      </c>
      <c r="AE580" s="16"/>
    </row>
    <row r="581" spans="1:31" x14ac:dyDescent="0.25">
      <c r="A581" s="3">
        <v>279</v>
      </c>
      <c r="B581" s="4">
        <v>42899</v>
      </c>
      <c r="C581" s="3" t="s">
        <v>868</v>
      </c>
      <c r="D581" s="3" t="s">
        <v>869</v>
      </c>
      <c r="E581" s="3">
        <v>499</v>
      </c>
      <c r="F581" s="3"/>
      <c r="G581" s="3" t="s">
        <v>30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5">
        <v>118000</v>
      </c>
      <c r="N581" s="5">
        <v>178000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5">
        <v>123911</v>
      </c>
      <c r="X581" s="3">
        <v>0</v>
      </c>
      <c r="Y581" s="3">
        <v>0</v>
      </c>
      <c r="Z581" s="3">
        <v>0</v>
      </c>
      <c r="AA581" s="5">
        <v>59000</v>
      </c>
      <c r="AB581" s="6">
        <v>478911</v>
      </c>
      <c r="AD581" s="2" t="str">
        <f>VLOOKUP(E581,'[1]Detailed Transfer Report (12)'!$K:$Y,14,FALSE)</f>
        <v>Sardar Tanveer Ilyas</v>
      </c>
      <c r="AE581" s="16"/>
    </row>
    <row r="582" spans="1:31" x14ac:dyDescent="0.25">
      <c r="A582" s="3">
        <v>280</v>
      </c>
      <c r="B582" s="4">
        <v>42864</v>
      </c>
      <c r="C582" s="3" t="s">
        <v>137</v>
      </c>
      <c r="D582" s="3" t="s">
        <v>870</v>
      </c>
      <c r="E582" s="3">
        <v>517</v>
      </c>
      <c r="F582" s="3"/>
      <c r="G582" s="3" t="s">
        <v>30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8">
        <v>0</v>
      </c>
      <c r="AD582" s="2" t="str">
        <f>VLOOKUP(E582,'[1]Detailed Transfer Report (12)'!$K:$Y,14,FALSE)</f>
        <v>Sardar Tanveer Ilyas</v>
      </c>
      <c r="AE582" s="16"/>
    </row>
    <row r="583" spans="1:31" x14ac:dyDescent="0.25">
      <c r="A583" s="7">
        <v>282</v>
      </c>
      <c r="B583" s="4">
        <v>42978</v>
      </c>
      <c r="C583" s="3" t="s">
        <v>871</v>
      </c>
      <c r="D583" s="3" t="s">
        <v>872</v>
      </c>
      <c r="E583" s="3">
        <v>561</v>
      </c>
      <c r="F583" s="3"/>
      <c r="G583" s="3" t="s">
        <v>30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5">
        <v>7200</v>
      </c>
      <c r="N583" s="5">
        <v>11800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5">
        <v>6894</v>
      </c>
      <c r="X583" s="3">
        <v>0</v>
      </c>
      <c r="Y583" s="3">
        <v>0</v>
      </c>
      <c r="Z583" s="3">
        <v>0</v>
      </c>
      <c r="AA583" s="5">
        <v>3600</v>
      </c>
      <c r="AB583" s="6">
        <v>29494</v>
      </c>
      <c r="AD583" s="2" t="str">
        <f>VLOOKUP(E583,'[1]Detailed Transfer Report (12)'!$K:$Y,14,FALSE)</f>
        <v>Sardar Tanveer Ilyas</v>
      </c>
      <c r="AE583" s="16"/>
    </row>
    <row r="584" spans="1:31" x14ac:dyDescent="0.25">
      <c r="A584" s="10">
        <v>282</v>
      </c>
      <c r="B584" s="4">
        <v>42978</v>
      </c>
      <c r="C584" s="3" t="s">
        <v>700</v>
      </c>
      <c r="D584" s="3" t="s">
        <v>873</v>
      </c>
      <c r="E584" s="3">
        <v>560</v>
      </c>
      <c r="F584" s="3"/>
      <c r="G584" s="3" t="s">
        <v>30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5">
        <v>4000</v>
      </c>
      <c r="N584" s="5">
        <v>7000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5">
        <v>3825</v>
      </c>
      <c r="X584" s="3">
        <v>0</v>
      </c>
      <c r="Y584" s="3">
        <v>0</v>
      </c>
      <c r="Z584" s="3">
        <v>0</v>
      </c>
      <c r="AA584" s="5">
        <v>2000</v>
      </c>
      <c r="AB584" s="6">
        <v>46319</v>
      </c>
      <c r="AD584" s="2" t="str">
        <f>VLOOKUP(E584,'[1]Detailed Transfer Report (12)'!$K:$Y,14,FALSE)</f>
        <v>Sardar Tanveer Ilyas</v>
      </c>
      <c r="AE584" s="16"/>
    </row>
    <row r="585" spans="1:31" x14ac:dyDescent="0.25">
      <c r="A585" s="3">
        <v>283</v>
      </c>
      <c r="B585" s="4">
        <v>43179</v>
      </c>
      <c r="C585" s="3" t="s">
        <v>153</v>
      </c>
      <c r="D585" s="3" t="s">
        <v>874</v>
      </c>
      <c r="E585" s="3">
        <v>529</v>
      </c>
      <c r="F585" s="3"/>
      <c r="G585" s="3" t="s">
        <v>30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5">
        <v>4400</v>
      </c>
      <c r="N585" s="5">
        <v>7600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500</v>
      </c>
      <c r="W585" s="5">
        <v>2125</v>
      </c>
      <c r="X585" s="3">
        <v>0</v>
      </c>
      <c r="Y585" s="3">
        <v>0</v>
      </c>
      <c r="Z585" s="3">
        <v>0</v>
      </c>
      <c r="AA585" s="5">
        <v>2200</v>
      </c>
      <c r="AB585" s="6">
        <v>16825</v>
      </c>
      <c r="AD585" s="2" t="str">
        <f>VLOOKUP(E585,'[1]Detailed Transfer Report (12)'!$K:$Y,14,FALSE)</f>
        <v>Sardar Tanveer Ilyas</v>
      </c>
      <c r="AE585" s="16"/>
    </row>
    <row r="586" spans="1:31" x14ac:dyDescent="0.25">
      <c r="A586" s="3">
        <v>284</v>
      </c>
      <c r="B586" s="4">
        <v>42978</v>
      </c>
      <c r="C586" s="3" t="s">
        <v>875</v>
      </c>
      <c r="D586" s="3" t="s">
        <v>876</v>
      </c>
      <c r="E586" s="3">
        <v>591</v>
      </c>
      <c r="F586" s="3"/>
      <c r="G586" s="3" t="s">
        <v>30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5">
        <v>206000</v>
      </c>
      <c r="N586" s="5">
        <v>310000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5">
        <v>198900</v>
      </c>
      <c r="X586" s="3">
        <v>0</v>
      </c>
      <c r="Y586" s="3">
        <v>0</v>
      </c>
      <c r="Z586" s="3">
        <v>0</v>
      </c>
      <c r="AA586" s="5">
        <v>103000</v>
      </c>
      <c r="AB586" s="6">
        <v>817900</v>
      </c>
      <c r="AD586" s="2" t="str">
        <f>VLOOKUP(E586,'[1]Detailed Transfer Report (12)'!$K:$Y,14,FALSE)</f>
        <v>Sardar Tanveer Ilyas</v>
      </c>
      <c r="AE586" s="16"/>
    </row>
    <row r="587" spans="1:31" x14ac:dyDescent="0.25">
      <c r="A587" s="3">
        <v>285</v>
      </c>
      <c r="B587" s="4">
        <v>42905</v>
      </c>
      <c r="C587" s="3" t="s">
        <v>59</v>
      </c>
      <c r="D587" s="3" t="s">
        <v>877</v>
      </c>
      <c r="E587" s="3">
        <v>2972</v>
      </c>
      <c r="F587" s="3"/>
      <c r="G587" s="3" t="s">
        <v>41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8">
        <v>0</v>
      </c>
      <c r="AE587" s="16"/>
    </row>
    <row r="588" spans="1:31" x14ac:dyDescent="0.25">
      <c r="A588" s="3">
        <v>288</v>
      </c>
      <c r="B588" s="4">
        <v>43323</v>
      </c>
      <c r="C588" s="3" t="s">
        <v>159</v>
      </c>
      <c r="D588" s="3" t="s">
        <v>878</v>
      </c>
      <c r="E588" s="3">
        <v>551</v>
      </c>
      <c r="F588" s="3"/>
      <c r="G588" s="3" t="s">
        <v>30</v>
      </c>
      <c r="H588" s="3">
        <v>0</v>
      </c>
      <c r="I588" s="3">
        <v>0</v>
      </c>
      <c r="J588" s="3">
        <v>0</v>
      </c>
      <c r="K588" s="3">
        <v>0</v>
      </c>
      <c r="L588" s="5">
        <v>112500</v>
      </c>
      <c r="M588" s="5">
        <v>54000</v>
      </c>
      <c r="N588" s="5">
        <v>82000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5">
        <v>19125</v>
      </c>
      <c r="X588" s="3">
        <v>0</v>
      </c>
      <c r="Y588" s="3">
        <v>0</v>
      </c>
      <c r="Z588" s="3">
        <v>0</v>
      </c>
      <c r="AA588" s="5">
        <v>27000</v>
      </c>
      <c r="AB588" s="6">
        <v>294625</v>
      </c>
      <c r="AE588" s="16"/>
    </row>
    <row r="589" spans="1:31" x14ac:dyDescent="0.25">
      <c r="A589" s="7">
        <v>289</v>
      </c>
      <c r="B589" s="4">
        <v>42969</v>
      </c>
      <c r="C589" s="3" t="s">
        <v>879</v>
      </c>
      <c r="D589" s="3" t="s">
        <v>880</v>
      </c>
      <c r="E589" s="3">
        <v>510</v>
      </c>
      <c r="F589" s="3"/>
      <c r="G589" s="3" t="s">
        <v>30</v>
      </c>
      <c r="H589" s="3">
        <v>0</v>
      </c>
      <c r="I589" s="3">
        <v>0</v>
      </c>
      <c r="J589" s="3">
        <v>0</v>
      </c>
      <c r="K589" s="3">
        <v>0</v>
      </c>
      <c r="L589" s="5">
        <v>4800000</v>
      </c>
      <c r="M589" s="5">
        <v>860000</v>
      </c>
      <c r="N589" s="5">
        <v>1291000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500</v>
      </c>
      <c r="W589" s="5">
        <v>817913</v>
      </c>
      <c r="X589" s="3">
        <v>0</v>
      </c>
      <c r="Y589" s="3">
        <v>0</v>
      </c>
      <c r="Z589" s="3">
        <v>0</v>
      </c>
      <c r="AA589" s="5">
        <v>430000</v>
      </c>
      <c r="AB589" s="6">
        <v>8199413</v>
      </c>
      <c r="AD589" s="2" t="str">
        <f>VLOOKUP(E589,'[1]Detailed Transfer Report (12)'!$K:$Y,14,FALSE)</f>
        <v>Sardar Tanveer Ilyas</v>
      </c>
      <c r="AE589" s="16"/>
    </row>
    <row r="590" spans="1:31" x14ac:dyDescent="0.25">
      <c r="A590" s="10">
        <v>289</v>
      </c>
      <c r="B590" s="4">
        <v>42969</v>
      </c>
      <c r="C590" s="3" t="s">
        <v>153</v>
      </c>
      <c r="D590" s="3" t="s">
        <v>881</v>
      </c>
      <c r="E590" s="3">
        <v>533</v>
      </c>
      <c r="F590" s="3"/>
      <c r="G590" s="3" t="s">
        <v>30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6">
        <v>8199413</v>
      </c>
      <c r="AD590" s="2" t="str">
        <f>VLOOKUP(E590,'[1]Detailed Transfer Report (12)'!$K:$Y,14,FALSE)</f>
        <v>Sardar Tanveer Ilyas</v>
      </c>
      <c r="AE590" s="16"/>
    </row>
    <row r="591" spans="1:31" x14ac:dyDescent="0.25">
      <c r="A591" s="7">
        <v>290</v>
      </c>
      <c r="B591" s="4">
        <v>42994</v>
      </c>
      <c r="C591" s="3" t="s">
        <v>882</v>
      </c>
      <c r="D591" s="3" t="s">
        <v>883</v>
      </c>
      <c r="E591" s="3">
        <v>62</v>
      </c>
      <c r="F591" s="3"/>
      <c r="G591" s="3" t="s">
        <v>41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8">
        <v>0</v>
      </c>
      <c r="AD591" s="2" t="str">
        <f>VLOOKUP(E591,'[1]Detailed Transfer Report (12)'!$K:$Y,14,FALSE)</f>
        <v>Sardar Tanveer Ilyas</v>
      </c>
      <c r="AE591" s="16"/>
    </row>
    <row r="592" spans="1:31" x14ac:dyDescent="0.25">
      <c r="A592" s="9">
        <v>290</v>
      </c>
      <c r="B592" s="4">
        <v>42994</v>
      </c>
      <c r="C592" s="3" t="s">
        <v>303</v>
      </c>
      <c r="D592" s="3" t="s">
        <v>884</v>
      </c>
      <c r="E592" s="3">
        <v>63</v>
      </c>
      <c r="F592" s="3"/>
      <c r="G592" s="3" t="s">
        <v>41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8">
        <v>0</v>
      </c>
      <c r="AD592" s="2" t="str">
        <f>VLOOKUP(E592,'[1]Detailed Transfer Report (12)'!$K:$Y,14,FALSE)</f>
        <v>Sardar Tanveer Ilyas</v>
      </c>
      <c r="AE592" s="16"/>
    </row>
    <row r="593" spans="1:31" x14ac:dyDescent="0.25">
      <c r="A593" s="10">
        <v>290</v>
      </c>
      <c r="B593" s="4">
        <v>42994</v>
      </c>
      <c r="C593" s="3" t="s">
        <v>885</v>
      </c>
      <c r="D593" s="3" t="s">
        <v>886</v>
      </c>
      <c r="E593" s="3">
        <v>64</v>
      </c>
      <c r="F593" s="3"/>
      <c r="G593" s="3" t="s">
        <v>41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8">
        <v>0</v>
      </c>
      <c r="AD593" s="2" t="str">
        <f>VLOOKUP(E593,'[1]Detailed Transfer Report (12)'!$K:$Y,14,FALSE)</f>
        <v>Sardar Tanveer Ilyas</v>
      </c>
      <c r="AE593" s="16"/>
    </row>
    <row r="594" spans="1:31" x14ac:dyDescent="0.25">
      <c r="A594" s="7">
        <v>291</v>
      </c>
      <c r="B594" s="4">
        <v>43015</v>
      </c>
      <c r="C594" s="3" t="s">
        <v>536</v>
      </c>
      <c r="D594" s="3" t="s">
        <v>887</v>
      </c>
      <c r="E594" s="3"/>
      <c r="F594" s="3">
        <v>23710</v>
      </c>
      <c r="G594" s="3" t="s">
        <v>30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8">
        <v>0</v>
      </c>
      <c r="AC594" s="2" t="str">
        <f>VLOOKUP(F594,'[1]Detailed Transfer Report (12)'!$L:$Y,12,FALSE)</f>
        <v>Malik M Akmal Awan</v>
      </c>
      <c r="AD594" s="2" t="str">
        <f>VLOOKUP(F594,'[1]Detailed Transfer Report (12)'!$L:$Y,13,FALSE)</f>
        <v>Sardar Tanveer Ilyas</v>
      </c>
      <c r="AE594" s="16">
        <f>VLOOKUP(F594,'[1]Detailed Transfer Report (12)'!$L:$Y,14,FALSE)</f>
        <v>43046</v>
      </c>
    </row>
    <row r="595" spans="1:31" x14ac:dyDescent="0.25">
      <c r="A595" s="10">
        <v>291</v>
      </c>
      <c r="B595" s="4">
        <v>43015</v>
      </c>
      <c r="C595" s="3" t="s">
        <v>888</v>
      </c>
      <c r="D595" s="3" t="s">
        <v>889</v>
      </c>
      <c r="E595" s="3">
        <v>3084</v>
      </c>
      <c r="F595" s="3">
        <v>23709</v>
      </c>
      <c r="G595" s="3" t="s">
        <v>30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8">
        <v>0</v>
      </c>
      <c r="AC595" s="2" t="str">
        <f>VLOOKUP(E595,'[1]Detailed Transfer Report (12)'!$K:$Y,13,FALSE)</f>
        <v>Abdul hafeez</v>
      </c>
      <c r="AD595" s="2" t="str">
        <f>VLOOKUP(E595,'[1]Detailed Transfer Report (12)'!$K:$Y,14,FALSE)</f>
        <v>Sardar Tanveer Ilyas</v>
      </c>
      <c r="AE595" s="16">
        <f>VLOOKUP(E595,'[1]Detailed Transfer Report (12)'!$K:$Y,15,FALSE)</f>
        <v>43046</v>
      </c>
    </row>
    <row r="596" spans="1:31" x14ac:dyDescent="0.25">
      <c r="A596" s="3">
        <v>292</v>
      </c>
      <c r="B596" s="4">
        <v>43028</v>
      </c>
      <c r="C596" s="3" t="s">
        <v>205</v>
      </c>
      <c r="D596" s="3" t="s">
        <v>890</v>
      </c>
      <c r="E596" s="3"/>
      <c r="F596" s="3">
        <v>22864</v>
      </c>
      <c r="G596" s="3" t="s">
        <v>30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8">
        <v>0</v>
      </c>
      <c r="AC596" s="2" t="str">
        <f>VLOOKUP(F596,'[1]Detailed Transfer Report (12)'!$L:$Y,12,FALSE)</f>
        <v>Shahzad Hussain</v>
      </c>
      <c r="AD596" s="2" t="str">
        <f>VLOOKUP(F596,'[1]Detailed Transfer Report (12)'!$L:$Y,13,FALSE)</f>
        <v>Sardar Tanveer Ilyas</v>
      </c>
      <c r="AE596" s="16">
        <f>VLOOKUP(F596,'[1]Detailed Transfer Report (12)'!$L:$Y,14,FALSE)</f>
        <v>43036</v>
      </c>
    </row>
    <row r="597" spans="1:31" x14ac:dyDescent="0.25">
      <c r="A597" s="3">
        <v>293</v>
      </c>
      <c r="B597" s="4">
        <v>43028</v>
      </c>
      <c r="C597" s="3" t="s">
        <v>84</v>
      </c>
      <c r="D597" s="3" t="s">
        <v>891</v>
      </c>
      <c r="E597" s="3"/>
      <c r="F597" s="3">
        <v>22709</v>
      </c>
      <c r="G597" s="3" t="s">
        <v>30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8">
        <v>0</v>
      </c>
      <c r="AC597" s="2" t="str">
        <f>VLOOKUP(F597,'[1]Detailed Transfer Report (12)'!$L:$Y,12,FALSE)</f>
        <v>Hassan Akhtar</v>
      </c>
      <c r="AD597" s="2" t="str">
        <f>VLOOKUP(F597,'[1]Detailed Transfer Report (12)'!$L:$Y,13,FALSE)</f>
        <v>Sardar Tanveer Ilyas</v>
      </c>
      <c r="AE597" s="16">
        <f>VLOOKUP(F597,'[1]Detailed Transfer Report (12)'!$L:$Y,14,FALSE)</f>
        <v>43034</v>
      </c>
    </row>
    <row r="598" spans="1:31" x14ac:dyDescent="0.25">
      <c r="A598" s="7">
        <v>294</v>
      </c>
      <c r="B598" s="4">
        <v>43113</v>
      </c>
      <c r="C598" s="3" t="s">
        <v>892</v>
      </c>
      <c r="D598" s="3" t="s">
        <v>893</v>
      </c>
      <c r="E598" s="3"/>
      <c r="F598" s="3">
        <v>19875</v>
      </c>
      <c r="G598" s="3" t="s">
        <v>30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5">
        <v>8510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5">
        <v>8000</v>
      </c>
      <c r="X598" s="3">
        <v>0</v>
      </c>
      <c r="Y598" s="3">
        <v>0</v>
      </c>
      <c r="Z598" s="5">
        <v>3000</v>
      </c>
      <c r="AA598" s="5">
        <v>43550</v>
      </c>
      <c r="AB598" s="6">
        <v>63060</v>
      </c>
      <c r="AC598" s="2" t="str">
        <f>VLOOKUP(F598,'[1]Detailed Transfer Report (12)'!$L:$Y,12,FALSE)</f>
        <v>Ruqaiya bibi</v>
      </c>
      <c r="AD598" s="2" t="str">
        <f>VLOOKUP(F598,'[1]Detailed Transfer Report (12)'!$L:$Y,13,FALSE)</f>
        <v>Sardar Tanveer Ilyas</v>
      </c>
      <c r="AE598" s="16">
        <f>VLOOKUP(F598,'[1]Detailed Transfer Report (12)'!$L:$Y,14,FALSE)</f>
        <v>43004</v>
      </c>
    </row>
    <row r="599" spans="1:31" x14ac:dyDescent="0.25">
      <c r="A599" s="10">
        <v>294</v>
      </c>
      <c r="B599" s="4">
        <v>43113</v>
      </c>
      <c r="C599" s="3" t="s">
        <v>264</v>
      </c>
      <c r="D599" s="3" t="s">
        <v>894</v>
      </c>
      <c r="E599" s="3"/>
      <c r="F599" s="3">
        <v>19847</v>
      </c>
      <c r="G599" s="3" t="s">
        <v>30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5">
        <v>3520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5">
        <v>6000</v>
      </c>
      <c r="X599" s="3">
        <v>0</v>
      </c>
      <c r="Y599" s="3">
        <v>0</v>
      </c>
      <c r="Z599" s="5">
        <v>3000</v>
      </c>
      <c r="AA599" s="5">
        <v>11060</v>
      </c>
      <c r="AB599" s="6">
        <v>86640</v>
      </c>
      <c r="AC599" s="2" t="str">
        <f>VLOOKUP(F599,'[1]Detailed Transfer Report (12)'!$L:$Y,12,FALSE)</f>
        <v>Khalida Bghum</v>
      </c>
      <c r="AD599" s="2" t="str">
        <f>VLOOKUP(F599,'[1]Detailed Transfer Report (12)'!$L:$Y,13,FALSE)</f>
        <v>Sardar Tanveer Ilyas</v>
      </c>
      <c r="AE599" s="16">
        <f>VLOOKUP(F599,'[1]Detailed Transfer Report (12)'!$L:$Y,14,FALSE)</f>
        <v>43004</v>
      </c>
    </row>
    <row r="600" spans="1:31" x14ac:dyDescent="0.25">
      <c r="A600" s="7">
        <v>295</v>
      </c>
      <c r="B600" s="4">
        <v>43216</v>
      </c>
      <c r="C600" s="3" t="s">
        <v>895</v>
      </c>
      <c r="D600" s="3" t="s">
        <v>896</v>
      </c>
      <c r="E600" s="3">
        <v>1065</v>
      </c>
      <c r="F600" s="3"/>
      <c r="G600" s="3" t="s">
        <v>30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5">
        <v>2660000</v>
      </c>
      <c r="N600" s="5">
        <v>3991000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5">
        <v>281161</v>
      </c>
      <c r="X600" s="3">
        <v>0</v>
      </c>
      <c r="Y600" s="3">
        <v>0</v>
      </c>
      <c r="Z600" s="3">
        <v>0</v>
      </c>
      <c r="AA600" s="5">
        <v>1330000</v>
      </c>
      <c r="AB600" s="6">
        <v>8262161</v>
      </c>
      <c r="AD600" s="2" t="str">
        <f>VLOOKUP(E600,'[1]Detailed Transfer Report (12)'!$K:$Y,14,FALSE)</f>
        <v>Sardar Tanveer Ilyas</v>
      </c>
      <c r="AE600" s="16"/>
    </row>
    <row r="601" spans="1:31" x14ac:dyDescent="0.25">
      <c r="A601" s="10">
        <v>295</v>
      </c>
      <c r="B601" s="4">
        <v>43179</v>
      </c>
      <c r="C601" s="3" t="s">
        <v>897</v>
      </c>
      <c r="D601" s="3" t="s">
        <v>898</v>
      </c>
      <c r="E601" s="3">
        <v>1060</v>
      </c>
      <c r="F601" s="3"/>
      <c r="G601" s="3" t="s">
        <v>30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5">
        <v>1350000</v>
      </c>
      <c r="N601" s="5">
        <v>2026000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5">
        <v>144500</v>
      </c>
      <c r="X601" s="3">
        <v>0</v>
      </c>
      <c r="Y601" s="3">
        <v>0</v>
      </c>
      <c r="Z601" s="3">
        <v>0</v>
      </c>
      <c r="AA601" s="5">
        <v>675000</v>
      </c>
      <c r="AB601" s="6">
        <v>12457661</v>
      </c>
      <c r="AD601" s="2" t="str">
        <f>VLOOKUP(E601,'[1]Detailed Transfer Report (12)'!$K:$Y,14,FALSE)</f>
        <v>Sardar Tanveer Ilyas</v>
      </c>
      <c r="AE601" s="16"/>
    </row>
    <row r="602" spans="1:31" x14ac:dyDescent="0.25">
      <c r="A602" s="3">
        <v>296</v>
      </c>
      <c r="B602" s="4">
        <v>43113</v>
      </c>
      <c r="C602" s="3" t="s">
        <v>899</v>
      </c>
      <c r="D602" s="3" t="s">
        <v>900</v>
      </c>
      <c r="E602" s="3"/>
      <c r="F602" s="3">
        <v>25037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5">
        <v>8000</v>
      </c>
      <c r="N602" s="5">
        <v>10100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5">
        <v>3000</v>
      </c>
      <c r="X602" s="3">
        <v>0</v>
      </c>
      <c r="Y602" s="3">
        <v>0</v>
      </c>
      <c r="Z602" s="3">
        <v>0</v>
      </c>
      <c r="AA602" s="5">
        <v>51500</v>
      </c>
      <c r="AB602" s="6">
        <v>72600</v>
      </c>
      <c r="AC602" s="2" t="str">
        <f>VLOOKUP(F602,'[1]Detailed Transfer Report (12)'!$L:$Y,12,FALSE)</f>
        <v>Raja Muhammad Ayub</v>
      </c>
      <c r="AD602" s="2" t="str">
        <f>VLOOKUP(F602,'[1]Detailed Transfer Report (12)'!$L:$Y,13,FALSE)</f>
        <v>Sardar Tanveer Ilyas</v>
      </c>
      <c r="AE602" s="16">
        <f>VLOOKUP(F602,'[1]Detailed Transfer Report (12)'!$L:$Y,14,FALSE)</f>
        <v>43061</v>
      </c>
    </row>
    <row r="603" spans="1:31" x14ac:dyDescent="0.25">
      <c r="A603" s="3">
        <v>297</v>
      </c>
      <c r="B603" s="4">
        <v>43060</v>
      </c>
      <c r="C603" s="3" t="s">
        <v>901</v>
      </c>
      <c r="D603" s="3" t="s">
        <v>902</v>
      </c>
      <c r="E603" s="3"/>
      <c r="F603" s="3">
        <v>26486</v>
      </c>
      <c r="G603" s="3" t="s">
        <v>30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8">
        <v>0</v>
      </c>
      <c r="AC603" s="2" t="str">
        <f>VLOOKUP(F603,'[1]Detailed Transfer Report (12)'!$L:$Y,12,FALSE)</f>
        <v>Iqbal Beghum</v>
      </c>
      <c r="AD603" s="2" t="str">
        <f>VLOOKUP(F603,'[1]Detailed Transfer Report (12)'!$L:$Y,13,FALSE)</f>
        <v>Sardar Tanveer Ilyas</v>
      </c>
      <c r="AE603" s="16">
        <f>VLOOKUP(F603,'[1]Detailed Transfer Report (12)'!$L:$Y,14,FALSE)</f>
        <v>43078</v>
      </c>
    </row>
    <row r="604" spans="1:31" x14ac:dyDescent="0.25">
      <c r="A604" s="7">
        <v>298</v>
      </c>
      <c r="B604" s="4">
        <v>43167</v>
      </c>
      <c r="C604" s="3" t="s">
        <v>141</v>
      </c>
      <c r="D604" s="3" t="s">
        <v>903</v>
      </c>
      <c r="E604" s="3">
        <v>92</v>
      </c>
      <c r="F604" s="3"/>
      <c r="G604" s="3" t="s">
        <v>41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5">
        <v>46000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5">
        <v>25500</v>
      </c>
      <c r="X604" s="3">
        <v>0</v>
      </c>
      <c r="Y604" s="3">
        <v>0</v>
      </c>
      <c r="Z604" s="3">
        <v>0</v>
      </c>
      <c r="AA604" s="5">
        <v>15000</v>
      </c>
      <c r="AB604" s="6">
        <v>86500</v>
      </c>
      <c r="AD604" s="2" t="str">
        <f>VLOOKUP(E604,'[1]Detailed Transfer Report (12)'!$K:$Y,14,FALSE)</f>
        <v>Sardar Tanveer Ilyas</v>
      </c>
      <c r="AE604" s="16"/>
    </row>
    <row r="605" spans="1:31" x14ac:dyDescent="0.25">
      <c r="A605" s="9">
        <v>298</v>
      </c>
      <c r="B605" s="4">
        <v>43167</v>
      </c>
      <c r="C605" s="3" t="s">
        <v>885</v>
      </c>
      <c r="D605" s="3" t="s">
        <v>904</v>
      </c>
      <c r="E605" s="3">
        <v>93</v>
      </c>
      <c r="F605" s="3"/>
      <c r="G605" s="3" t="s">
        <v>41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5">
        <v>34000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5">
        <v>14875</v>
      </c>
      <c r="X605" s="3">
        <v>0</v>
      </c>
      <c r="Y605" s="3">
        <v>0</v>
      </c>
      <c r="Z605" s="3">
        <v>0</v>
      </c>
      <c r="AA605" s="5">
        <v>11000</v>
      </c>
      <c r="AB605" s="6">
        <v>146375</v>
      </c>
      <c r="AD605" s="2" t="str">
        <f>VLOOKUP(E605,'[1]Detailed Transfer Report (12)'!$K:$Y,14,FALSE)</f>
        <v>Sardar Tanveer Ilyas</v>
      </c>
      <c r="AE605" s="16"/>
    </row>
    <row r="606" spans="1:31" x14ac:dyDescent="0.25">
      <c r="A606" s="9">
        <v>298</v>
      </c>
      <c r="B606" s="4">
        <v>43167</v>
      </c>
      <c r="C606" s="3" t="s">
        <v>905</v>
      </c>
      <c r="D606" s="3" t="s">
        <v>906</v>
      </c>
      <c r="E606" s="3">
        <v>94</v>
      </c>
      <c r="F606" s="3"/>
      <c r="G606" s="3" t="s">
        <v>41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5">
        <v>28000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5">
        <v>7556</v>
      </c>
      <c r="X606" s="3">
        <v>0</v>
      </c>
      <c r="Y606" s="3">
        <v>0</v>
      </c>
      <c r="Z606" s="3">
        <v>0</v>
      </c>
      <c r="AA606" s="5">
        <v>9000</v>
      </c>
      <c r="AB606" s="6">
        <v>190931</v>
      </c>
      <c r="AD606" s="2" t="str">
        <f>VLOOKUP(E606,'[1]Detailed Transfer Report (12)'!$K:$Y,14,FALSE)</f>
        <v>Sardar Tanveer Ilyas</v>
      </c>
      <c r="AE606" s="16"/>
    </row>
    <row r="607" spans="1:31" x14ac:dyDescent="0.25">
      <c r="A607" s="9">
        <v>298</v>
      </c>
      <c r="B607" s="4">
        <v>43167</v>
      </c>
      <c r="C607" s="3" t="s">
        <v>907</v>
      </c>
      <c r="D607" s="3" t="s">
        <v>908</v>
      </c>
      <c r="E607" s="3">
        <v>96</v>
      </c>
      <c r="F607" s="3"/>
      <c r="G607" s="3" t="s">
        <v>41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5">
        <v>283000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5">
        <v>80183</v>
      </c>
      <c r="X607" s="3">
        <v>0</v>
      </c>
      <c r="Y607" s="3">
        <v>0</v>
      </c>
      <c r="Z607" s="3">
        <v>0</v>
      </c>
      <c r="AA607" s="5">
        <v>94000</v>
      </c>
      <c r="AB607" s="6">
        <v>648114</v>
      </c>
      <c r="AD607" s="2" t="str">
        <f>VLOOKUP(E607,'[1]Detailed Transfer Report (12)'!$K:$Y,14,FALSE)</f>
        <v>Sardar Tanveer Ilyas</v>
      </c>
      <c r="AE607" s="16"/>
    </row>
    <row r="608" spans="1:31" x14ac:dyDescent="0.25">
      <c r="A608" s="9">
        <v>298</v>
      </c>
      <c r="B608" s="4">
        <v>42802</v>
      </c>
      <c r="C608" s="3" t="s">
        <v>909</v>
      </c>
      <c r="D608" s="3" t="s">
        <v>910</v>
      </c>
      <c r="E608" s="3">
        <v>102</v>
      </c>
      <c r="F608" s="3"/>
      <c r="G608" s="3" t="s">
        <v>41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5">
        <v>41500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5">
        <v>12278</v>
      </c>
      <c r="X608" s="3">
        <v>0</v>
      </c>
      <c r="Y608" s="3">
        <v>0</v>
      </c>
      <c r="Z608" s="3">
        <v>0</v>
      </c>
      <c r="AA608" s="5">
        <v>13500</v>
      </c>
      <c r="AB608" s="6">
        <v>715392</v>
      </c>
      <c r="AD608" s="2" t="str">
        <f>VLOOKUP(E608,'[1]Detailed Transfer Report (12)'!$K:$Y,14,FALSE)</f>
        <v>Sardar Tanveer Ilyas</v>
      </c>
      <c r="AE608" s="16"/>
    </row>
    <row r="609" spans="1:31" x14ac:dyDescent="0.25">
      <c r="A609" s="9">
        <v>298</v>
      </c>
      <c r="B609" s="4">
        <v>42802</v>
      </c>
      <c r="C609" s="3" t="s">
        <v>911</v>
      </c>
      <c r="D609" s="3" t="s">
        <v>912</v>
      </c>
      <c r="E609" s="3">
        <v>101</v>
      </c>
      <c r="F609" s="3"/>
      <c r="G609" s="3" t="s">
        <v>41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5">
        <v>20500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5">
        <v>10247</v>
      </c>
      <c r="X609" s="3">
        <v>0</v>
      </c>
      <c r="Y609" s="3">
        <v>0</v>
      </c>
      <c r="Z609" s="3">
        <v>0</v>
      </c>
      <c r="AA609" s="5">
        <v>6500</v>
      </c>
      <c r="AB609" s="6">
        <v>752639</v>
      </c>
      <c r="AD609" s="2" t="str">
        <f>VLOOKUP(E609,'[1]Detailed Transfer Report (12)'!$K:$Y,14,FALSE)</f>
        <v>Sardar Tanveer Ilyas</v>
      </c>
      <c r="AE609" s="16"/>
    </row>
    <row r="610" spans="1:31" x14ac:dyDescent="0.25">
      <c r="A610" s="9">
        <v>298</v>
      </c>
      <c r="B610" s="4">
        <v>42802</v>
      </c>
      <c r="C610" s="3" t="s">
        <v>305</v>
      </c>
      <c r="D610" s="3" t="s">
        <v>913</v>
      </c>
      <c r="E610" s="3">
        <v>103</v>
      </c>
      <c r="F610" s="3"/>
      <c r="G610" s="3" t="s">
        <v>41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5">
        <v>11000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5">
        <v>5242</v>
      </c>
      <c r="X610" s="3">
        <v>0</v>
      </c>
      <c r="Y610" s="3">
        <v>0</v>
      </c>
      <c r="Z610" s="3">
        <v>0</v>
      </c>
      <c r="AA610" s="5">
        <v>3500</v>
      </c>
      <c r="AB610" s="6">
        <v>772381</v>
      </c>
      <c r="AD610" s="2" t="str">
        <f>VLOOKUP(E610,'[1]Detailed Transfer Report (12)'!$K:$Y,14,FALSE)</f>
        <v>Sardar Tanveer Ilyas</v>
      </c>
      <c r="AE610" s="16"/>
    </row>
    <row r="611" spans="1:31" x14ac:dyDescent="0.25">
      <c r="A611" s="10">
        <v>298</v>
      </c>
      <c r="B611" s="4">
        <v>43167</v>
      </c>
      <c r="C611" s="3" t="s">
        <v>914</v>
      </c>
      <c r="D611" s="3" t="s">
        <v>915</v>
      </c>
      <c r="E611" s="3">
        <v>95</v>
      </c>
      <c r="F611" s="3"/>
      <c r="G611" s="3" t="s">
        <v>41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5">
        <v>19000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5">
        <v>5289</v>
      </c>
      <c r="X611" s="3">
        <v>0</v>
      </c>
      <c r="Y611" s="3">
        <v>0</v>
      </c>
      <c r="Z611" s="3">
        <v>0</v>
      </c>
      <c r="AA611" s="5">
        <v>6000</v>
      </c>
      <c r="AB611" s="6">
        <v>802670</v>
      </c>
      <c r="AD611" s="2" t="str">
        <f>VLOOKUP(E611,'[1]Detailed Transfer Report (12)'!$K:$Y,14,FALSE)</f>
        <v>Sardar Tanveer Ilyas</v>
      </c>
      <c r="AE611" s="16"/>
    </row>
    <row r="612" spans="1:31" x14ac:dyDescent="0.25">
      <c r="A612" s="7">
        <v>299</v>
      </c>
      <c r="B612" s="4">
        <v>43113</v>
      </c>
      <c r="C612" s="3" t="s">
        <v>840</v>
      </c>
      <c r="D612" s="3" t="s">
        <v>916</v>
      </c>
      <c r="E612" s="3"/>
      <c r="F612" s="3"/>
      <c r="G612" s="3" t="s">
        <v>30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8">
        <v>0</v>
      </c>
      <c r="AE612" s="16"/>
    </row>
    <row r="613" spans="1:31" x14ac:dyDescent="0.25">
      <c r="A613" s="9">
        <v>299</v>
      </c>
      <c r="B613" s="4">
        <v>43113</v>
      </c>
      <c r="C613" s="3" t="s">
        <v>917</v>
      </c>
      <c r="D613" s="3" t="s">
        <v>918</v>
      </c>
      <c r="E613" s="3">
        <v>883</v>
      </c>
      <c r="F613" s="3"/>
      <c r="G613" s="3" t="s">
        <v>30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5">
        <v>720000</v>
      </c>
      <c r="N613" s="5">
        <v>1080000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5">
        <v>177792</v>
      </c>
      <c r="X613" s="3">
        <v>0</v>
      </c>
      <c r="Y613" s="3">
        <v>0</v>
      </c>
      <c r="Z613" s="3">
        <v>0</v>
      </c>
      <c r="AA613" s="5">
        <v>360000</v>
      </c>
      <c r="AB613" s="6">
        <v>2337792</v>
      </c>
      <c r="AD613" s="2" t="str">
        <f>VLOOKUP(E613,'[1]Detailed Transfer Report (12)'!$K:$Y,14,FALSE)</f>
        <v>Sardar Tanveer Ilyas</v>
      </c>
      <c r="AE613" s="16"/>
    </row>
    <row r="614" spans="1:31" x14ac:dyDescent="0.25">
      <c r="A614" s="10">
        <v>299</v>
      </c>
      <c r="B614" s="4">
        <v>43113</v>
      </c>
      <c r="C614" s="3" t="s">
        <v>919</v>
      </c>
      <c r="D614" s="3" t="s">
        <v>920</v>
      </c>
      <c r="E614" s="3">
        <v>882</v>
      </c>
      <c r="F614" s="3"/>
      <c r="G614" s="3" t="s">
        <v>30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5">
        <v>230000</v>
      </c>
      <c r="N614" s="5">
        <v>345000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5">
        <v>57469</v>
      </c>
      <c r="X614" s="3">
        <v>0</v>
      </c>
      <c r="Y614" s="3">
        <v>0</v>
      </c>
      <c r="Z614" s="3">
        <v>0</v>
      </c>
      <c r="AA614" s="5">
        <v>115000</v>
      </c>
      <c r="AB614" s="6">
        <v>3085261</v>
      </c>
      <c r="AD614" s="2" t="str">
        <f>VLOOKUP(E614,'[1]Detailed Transfer Report (12)'!$K:$Y,14,FALSE)</f>
        <v>Sardar Tanveer Ilyas</v>
      </c>
      <c r="AE614" s="16"/>
    </row>
    <row r="615" spans="1:31" ht="45.75" x14ac:dyDescent="0.25">
      <c r="A615" s="3">
        <v>300</v>
      </c>
      <c r="B615" s="4">
        <v>43272</v>
      </c>
      <c r="C615" s="3" t="s">
        <v>46</v>
      </c>
      <c r="D615" s="3" t="s">
        <v>921</v>
      </c>
      <c r="E615" s="3" t="s">
        <v>922</v>
      </c>
      <c r="F615" s="3"/>
      <c r="G615" s="3" t="s">
        <v>30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8">
        <v>0</v>
      </c>
      <c r="AC615" s="2" t="str">
        <f>VLOOKUP(E615,'[1]Detailed Transfer Report (12)'!$K:$Y,13,FALSE)</f>
        <v>Saif Ullah</v>
      </c>
      <c r="AD615" s="2" t="str">
        <f>VLOOKUP(E615,'[1]Detailed Transfer Report (12)'!$K:$Y,14,FALSE)</f>
        <v>Sardar Tanveer Ilyas</v>
      </c>
      <c r="AE615" s="16"/>
    </row>
    <row r="616" spans="1:31" x14ac:dyDescent="0.25">
      <c r="A616" s="7">
        <v>301</v>
      </c>
      <c r="B616" s="4">
        <v>43473</v>
      </c>
      <c r="C616" s="3" t="s">
        <v>114</v>
      </c>
      <c r="D616" s="3" t="s">
        <v>923</v>
      </c>
      <c r="E616" s="3">
        <v>3093</v>
      </c>
      <c r="F616" s="3">
        <v>2321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8">
        <v>0</v>
      </c>
      <c r="AC616" s="2" t="str">
        <f>VLOOKUP(E616,'[1]Detailed Transfer Report (12)'!$K:$Y,13,FALSE)</f>
        <v>Noor al rehman</v>
      </c>
      <c r="AD616" s="2" t="str">
        <f>VLOOKUP(E616,'[1]Detailed Transfer Report (12)'!$K:$Y,14,FALSE)</f>
        <v>Sardar Tanveer Ilyas</v>
      </c>
      <c r="AE616" s="16">
        <f>VLOOKUP(E616,'[1]Detailed Transfer Report (12)'!$K:$Y,15,FALSE)</f>
        <v>43124</v>
      </c>
    </row>
    <row r="617" spans="1:31" x14ac:dyDescent="0.25">
      <c r="A617" s="9">
        <v>301</v>
      </c>
      <c r="B617" s="4">
        <v>43108</v>
      </c>
      <c r="C617" s="3" t="s">
        <v>534</v>
      </c>
      <c r="D617" s="3" t="s">
        <v>924</v>
      </c>
      <c r="E617" s="3">
        <v>3086</v>
      </c>
      <c r="F617" s="3">
        <v>2062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8">
        <v>0</v>
      </c>
      <c r="AC617" s="2" t="str">
        <f>VLOOKUP(E617,'[1]Detailed Transfer Report (12)'!$K:$Y,13,FALSE)</f>
        <v>M shakil</v>
      </c>
      <c r="AD617" s="2" t="str">
        <f>VLOOKUP(E617,'[1]Detailed Transfer Report (12)'!$K:$Y,14,FALSE)</f>
        <v>Sardar Tanveer Ilyas</v>
      </c>
      <c r="AE617" s="16">
        <f>VLOOKUP(E617,'[1]Detailed Transfer Report (12)'!$K:$Y,15,FALSE)</f>
        <v>43122</v>
      </c>
    </row>
    <row r="618" spans="1:31" x14ac:dyDescent="0.25">
      <c r="A618" s="9">
        <v>301</v>
      </c>
      <c r="B618" s="4">
        <v>43108</v>
      </c>
      <c r="C618" s="3" t="s">
        <v>153</v>
      </c>
      <c r="D618" s="3" t="s">
        <v>925</v>
      </c>
      <c r="E618" s="3">
        <v>3096</v>
      </c>
      <c r="F618" s="3">
        <v>2323</v>
      </c>
      <c r="G618" s="3" t="s">
        <v>30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8">
        <v>0</v>
      </c>
      <c r="AC618" s="2" t="str">
        <f>VLOOKUP(E618,'[1]Detailed Transfer Report (12)'!$K:$Y,13,FALSE)</f>
        <v>Gul Muhammad</v>
      </c>
      <c r="AD618" s="2" t="str">
        <f>VLOOKUP(E618,'[1]Detailed Transfer Report (12)'!$K:$Y,14,FALSE)</f>
        <v>Sardar Tanveer Ilyas</v>
      </c>
      <c r="AE618" s="16">
        <f>VLOOKUP(E618,'[1]Detailed Transfer Report (12)'!$K:$Y,15,FALSE)</f>
        <v>43124</v>
      </c>
    </row>
    <row r="619" spans="1:31" x14ac:dyDescent="0.25">
      <c r="A619" s="9">
        <v>301</v>
      </c>
      <c r="B619" s="4">
        <v>43473</v>
      </c>
      <c r="C619" s="3" t="s">
        <v>308</v>
      </c>
      <c r="D619" s="3" t="s">
        <v>926</v>
      </c>
      <c r="E619" s="3">
        <v>3092</v>
      </c>
      <c r="F619" s="3">
        <v>2324</v>
      </c>
      <c r="G619" s="3" t="s">
        <v>30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8">
        <v>0</v>
      </c>
      <c r="AC619" s="2" t="str">
        <f>VLOOKUP(E619,'[1]Detailed Transfer Report (12)'!$K:$Y,13,FALSE)</f>
        <v>Tamas khan</v>
      </c>
      <c r="AD619" s="2" t="str">
        <f>VLOOKUP(E619,'[1]Detailed Transfer Report (12)'!$K:$Y,14,FALSE)</f>
        <v>Sardar Tanveer Ilyas</v>
      </c>
      <c r="AE619" s="16">
        <f>VLOOKUP(E619,'[1]Detailed Transfer Report (12)'!$K:$Y,15,FALSE)</f>
        <v>43124</v>
      </c>
    </row>
    <row r="620" spans="1:31" x14ac:dyDescent="0.25">
      <c r="A620" s="9">
        <v>301</v>
      </c>
      <c r="B620" s="4">
        <v>43108</v>
      </c>
      <c r="C620" s="3" t="s">
        <v>534</v>
      </c>
      <c r="D620" s="3" t="s">
        <v>927</v>
      </c>
      <c r="E620" s="3">
        <v>3087</v>
      </c>
      <c r="F620" s="3">
        <v>1055</v>
      </c>
      <c r="G620" s="3" t="s">
        <v>30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8">
        <v>0</v>
      </c>
      <c r="AC620" s="2" t="str">
        <f>VLOOKUP(E620,'[1]Detailed Transfer Report (12)'!$K:$Y,13,FALSE)</f>
        <v>M basharat</v>
      </c>
      <c r="AD620" s="2" t="str">
        <f>VLOOKUP(E620,'[1]Detailed Transfer Report (12)'!$K:$Y,14,FALSE)</f>
        <v>Sardar Tanveer Ilyas</v>
      </c>
      <c r="AE620" s="16">
        <f>VLOOKUP(E620,'[1]Detailed Transfer Report (12)'!$K:$Y,15,FALSE)</f>
        <v>43111</v>
      </c>
    </row>
    <row r="621" spans="1:31" x14ac:dyDescent="0.25">
      <c r="A621" s="9">
        <v>301</v>
      </c>
      <c r="B621" s="4">
        <v>43108</v>
      </c>
      <c r="C621" s="3" t="s">
        <v>205</v>
      </c>
      <c r="D621" s="3" t="s">
        <v>928</v>
      </c>
      <c r="E621" s="3">
        <v>3088</v>
      </c>
      <c r="F621" s="3">
        <v>1158</v>
      </c>
      <c r="G621" s="3" t="s">
        <v>30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8">
        <v>0</v>
      </c>
      <c r="AC621" s="2" t="str">
        <f>VLOOKUP(E621,'[1]Detailed Transfer Report (12)'!$K:$Y,13,FALSE)</f>
        <v>M arif khan</v>
      </c>
      <c r="AD621" s="2" t="str">
        <f>VLOOKUP(E621,'[1]Detailed Transfer Report (12)'!$K:$Y,14,FALSE)</f>
        <v>Sardar Tanveer Ilyas</v>
      </c>
      <c r="AE621" s="16">
        <f>VLOOKUP(E621,'[1]Detailed Transfer Report (12)'!$K:$Y,15,FALSE)</f>
        <v>43113</v>
      </c>
    </row>
    <row r="622" spans="1:31" x14ac:dyDescent="0.25">
      <c r="A622" s="9">
        <v>301</v>
      </c>
      <c r="B622" s="4">
        <v>43108</v>
      </c>
      <c r="C622" s="3" t="s">
        <v>534</v>
      </c>
      <c r="D622" s="3" t="s">
        <v>929</v>
      </c>
      <c r="E622" s="3">
        <v>3095</v>
      </c>
      <c r="F622" s="3">
        <v>1058</v>
      </c>
      <c r="G622" s="3" t="s">
        <v>30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8">
        <v>0</v>
      </c>
      <c r="AC622" s="2" t="str">
        <f>VLOOKUP(E622,'[1]Detailed Transfer Report (12)'!$K:$Y,13,FALSE)</f>
        <v>M tanveer</v>
      </c>
      <c r="AD622" s="2" t="str">
        <f>VLOOKUP(E622,'[1]Detailed Transfer Report (12)'!$K:$Y,14,FALSE)</f>
        <v>Sardar Tanveer Ilyas</v>
      </c>
      <c r="AE622" s="16">
        <f>VLOOKUP(E622,'[1]Detailed Transfer Report (12)'!$K:$Y,15,FALSE)</f>
        <v>43111</v>
      </c>
    </row>
    <row r="623" spans="1:31" x14ac:dyDescent="0.25">
      <c r="A623" s="9">
        <v>301</v>
      </c>
      <c r="B623" s="4">
        <v>43108</v>
      </c>
      <c r="C623" s="3" t="s">
        <v>308</v>
      </c>
      <c r="D623" s="3" t="s">
        <v>930</v>
      </c>
      <c r="E623" s="3">
        <v>3089</v>
      </c>
      <c r="F623" s="3">
        <v>1096</v>
      </c>
      <c r="G623" s="3" t="s">
        <v>30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8">
        <v>0</v>
      </c>
      <c r="AC623" s="2" t="str">
        <f>VLOOKUP(E623,'[1]Detailed Transfer Report (12)'!$K:$Y,13,FALSE)</f>
        <v>azmeer khan</v>
      </c>
      <c r="AD623" s="2" t="str">
        <f>VLOOKUP(E623,'[1]Detailed Transfer Report (12)'!$K:$Y,14,FALSE)</f>
        <v>Sardar Tanveer Ilyas</v>
      </c>
      <c r="AE623" s="16">
        <f>VLOOKUP(E623,'[1]Detailed Transfer Report (12)'!$K:$Y,15,FALSE)</f>
        <v>43112</v>
      </c>
    </row>
    <row r="624" spans="1:31" x14ac:dyDescent="0.25">
      <c r="A624" s="10">
        <v>301</v>
      </c>
      <c r="B624" s="4">
        <v>43108</v>
      </c>
      <c r="C624" s="3" t="s">
        <v>931</v>
      </c>
      <c r="D624" s="3" t="s">
        <v>932</v>
      </c>
      <c r="E624" s="3">
        <v>3094</v>
      </c>
      <c r="F624" s="3">
        <v>2322</v>
      </c>
      <c r="G624" s="3" t="s">
        <v>30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8">
        <v>0</v>
      </c>
      <c r="AC624" s="2" t="str">
        <f>VLOOKUP(E624,'[1]Detailed Transfer Report (12)'!$K:$Y,13,FALSE)</f>
        <v>M yousaf</v>
      </c>
      <c r="AD624" s="2" t="str">
        <f>VLOOKUP(E624,'[1]Detailed Transfer Report (12)'!$K:$Y,14,FALSE)</f>
        <v>Sardar Tanveer Ilyas</v>
      </c>
      <c r="AE624" s="16">
        <f>VLOOKUP(E624,'[1]Detailed Transfer Report (12)'!$K:$Y,15,FALSE)</f>
        <v>43124</v>
      </c>
    </row>
    <row r="625" spans="1:31" x14ac:dyDescent="0.25">
      <c r="A625" s="7">
        <v>302</v>
      </c>
      <c r="B625" s="4">
        <v>43281</v>
      </c>
      <c r="C625" s="3" t="s">
        <v>139</v>
      </c>
      <c r="D625" s="3" t="s">
        <v>933</v>
      </c>
      <c r="E625" s="3">
        <v>3078</v>
      </c>
      <c r="F625" s="3">
        <v>6960</v>
      </c>
      <c r="G625" s="3" t="s">
        <v>30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8">
        <v>0</v>
      </c>
      <c r="AC625" s="2" t="str">
        <f>VLOOKUP(E625,'[1]Detailed Transfer Report (12)'!$K:$Y,13,FALSE)</f>
        <v>Hassan Akhtar</v>
      </c>
      <c r="AD625" s="2" t="str">
        <f>VLOOKUP(E625,'[1]Detailed Transfer Report (12)'!$K:$Y,14,FALSE)</f>
        <v>M idress khan</v>
      </c>
      <c r="AE625" s="16">
        <f>VLOOKUP(E625,'[1]Detailed Transfer Report (12)'!$K:$Y,15,FALSE)</f>
        <v>43173</v>
      </c>
    </row>
    <row r="626" spans="1:31" x14ac:dyDescent="0.25">
      <c r="A626" s="9">
        <v>302</v>
      </c>
      <c r="B626" s="4">
        <v>43281</v>
      </c>
      <c r="C626" s="3" t="s">
        <v>59</v>
      </c>
      <c r="D626" s="3" t="s">
        <v>934</v>
      </c>
      <c r="E626" s="3">
        <v>3076</v>
      </c>
      <c r="F626" s="3">
        <v>12483</v>
      </c>
      <c r="G626" s="3" t="s">
        <v>30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5">
        <v>500000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6">
        <v>500000</v>
      </c>
      <c r="AC626" s="2" t="str">
        <f>VLOOKUP(E626,'[1]Detailed Transfer Report (12)'!$K:$Y,13,FALSE)</f>
        <v>Hassan Akhtar</v>
      </c>
      <c r="AD626" s="2" t="str">
        <f>VLOOKUP(E626,'[1]Detailed Transfer Report (12)'!$K:$Y,14,FALSE)</f>
        <v>M idress khan</v>
      </c>
      <c r="AE626" s="16">
        <f>VLOOKUP(E626,'[1]Detailed Transfer Report (12)'!$K:$Y,15,FALSE)</f>
        <v>43229</v>
      </c>
    </row>
    <row r="627" spans="1:31" x14ac:dyDescent="0.25">
      <c r="A627" s="9">
        <v>302</v>
      </c>
      <c r="B627" s="4">
        <v>43281</v>
      </c>
      <c r="C627" s="3" t="s">
        <v>935</v>
      </c>
      <c r="D627" s="3" t="s">
        <v>936</v>
      </c>
      <c r="E627" s="3">
        <v>3079</v>
      </c>
      <c r="F627" s="3">
        <v>6959</v>
      </c>
      <c r="G627" s="3" t="s">
        <v>30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6">
        <v>500000</v>
      </c>
      <c r="AC627" s="2" t="str">
        <f>VLOOKUP(E627,'[1]Detailed Transfer Report (12)'!$K:$Y,13,FALSE)</f>
        <v>Hassan Akhtar</v>
      </c>
      <c r="AD627" s="2" t="str">
        <f>VLOOKUP(E627,'[1]Detailed Transfer Report (12)'!$K:$Y,14,FALSE)</f>
        <v>M idress khan</v>
      </c>
      <c r="AE627" s="16">
        <f>VLOOKUP(E627,'[1]Detailed Transfer Report (12)'!$K:$Y,15,FALSE)</f>
        <v>43173</v>
      </c>
    </row>
    <row r="628" spans="1:31" x14ac:dyDescent="0.25">
      <c r="A628" s="9">
        <v>302</v>
      </c>
      <c r="B628" s="4">
        <v>43281</v>
      </c>
      <c r="C628" s="3" t="s">
        <v>937</v>
      </c>
      <c r="D628" s="3" t="s">
        <v>938</v>
      </c>
      <c r="E628" s="3">
        <v>3097</v>
      </c>
      <c r="F628" s="3">
        <v>14375</v>
      </c>
      <c r="G628" s="3" t="s">
        <v>30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6">
        <v>500000</v>
      </c>
      <c r="AC628" s="2" t="str">
        <f>VLOOKUP(E628,'[1]Detailed Transfer Report (12)'!$K:$Y,13,FALSE)</f>
        <v>Mst shiraz bibi</v>
      </c>
      <c r="AD628" s="2" t="str">
        <f>VLOOKUP(E628,'[1]Detailed Transfer Report (12)'!$K:$Y,14,FALSE)</f>
        <v>M idress khan</v>
      </c>
      <c r="AE628" s="16">
        <f>VLOOKUP(E628,'[1]Detailed Transfer Report (12)'!$K:$Y,15,FALSE)</f>
        <v>43249</v>
      </c>
    </row>
    <row r="629" spans="1:31" x14ac:dyDescent="0.25">
      <c r="A629" s="9">
        <v>302</v>
      </c>
      <c r="B629" s="4">
        <v>43281</v>
      </c>
      <c r="C629" s="3" t="s">
        <v>939</v>
      </c>
      <c r="D629" s="3" t="s">
        <v>940</v>
      </c>
      <c r="E629" s="3">
        <v>3077</v>
      </c>
      <c r="F629" s="3">
        <v>14376</v>
      </c>
      <c r="G629" s="3" t="s">
        <v>30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6">
        <v>500000</v>
      </c>
      <c r="AC629" s="2" t="str">
        <f>VLOOKUP(E629,'[1]Detailed Transfer Report (12)'!$K:$Y,13,FALSE)</f>
        <v>Hassan Akhtar</v>
      </c>
      <c r="AD629" s="2" t="str">
        <f>VLOOKUP(E629,'[1]Detailed Transfer Report (12)'!$K:$Y,14,FALSE)</f>
        <v>M idress khan</v>
      </c>
      <c r="AE629" s="16">
        <f>VLOOKUP(E629,'[1]Detailed Transfer Report (12)'!$K:$Y,15,FALSE)</f>
        <v>43249</v>
      </c>
    </row>
    <row r="630" spans="1:31" x14ac:dyDescent="0.25">
      <c r="A630" s="9">
        <v>302</v>
      </c>
      <c r="B630" s="4">
        <v>43281</v>
      </c>
      <c r="C630" s="3" t="s">
        <v>941</v>
      </c>
      <c r="D630" s="3" t="s">
        <v>942</v>
      </c>
      <c r="E630" s="3">
        <v>3080</v>
      </c>
      <c r="F630" s="3">
        <v>7764</v>
      </c>
      <c r="G630" s="3" t="s">
        <v>30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6">
        <v>500000</v>
      </c>
      <c r="AC630" s="2" t="str">
        <f>VLOOKUP(E630,'[1]Detailed Transfer Report (12)'!$K:$Y,13,FALSE)</f>
        <v>Hassan Akhtar</v>
      </c>
      <c r="AD630" s="2" t="str">
        <f>VLOOKUP(E630,'[1]Detailed Transfer Report (12)'!$K:$Y,14,FALSE)</f>
        <v>M idress khan</v>
      </c>
      <c r="AE630" s="16">
        <f>VLOOKUP(E630,'[1]Detailed Transfer Report (12)'!$K:$Y,15,FALSE)</f>
        <v>43180</v>
      </c>
    </row>
    <row r="631" spans="1:31" x14ac:dyDescent="0.25">
      <c r="A631" s="10">
        <v>302</v>
      </c>
      <c r="B631" s="4">
        <v>43281</v>
      </c>
      <c r="C631" s="3" t="s">
        <v>943</v>
      </c>
      <c r="D631" s="3" t="s">
        <v>944</v>
      </c>
      <c r="E631" s="3">
        <v>1357</v>
      </c>
      <c r="F631" s="3"/>
      <c r="G631" s="3" t="s">
        <v>30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6">
        <v>500000</v>
      </c>
      <c r="AD631" s="2" t="str">
        <f>VLOOKUP(E631,'[1]Detailed Transfer Report (12)'!$K:$Y,14,FALSE)</f>
        <v>Sardar Tanveer Ilyas</v>
      </c>
      <c r="AE631" s="16"/>
    </row>
    <row r="632" spans="1:31" x14ac:dyDescent="0.25">
      <c r="A632" s="3">
        <v>303</v>
      </c>
      <c r="B632" s="4">
        <v>43117</v>
      </c>
      <c r="C632" s="3" t="s">
        <v>171</v>
      </c>
      <c r="D632" s="3" t="s">
        <v>945</v>
      </c>
      <c r="E632" s="3">
        <v>111</v>
      </c>
      <c r="F632" s="3"/>
      <c r="G632" s="3" t="s">
        <v>41</v>
      </c>
      <c r="H632" s="3">
        <v>0</v>
      </c>
      <c r="I632" s="3">
        <v>0</v>
      </c>
      <c r="J632" s="3">
        <v>0</v>
      </c>
      <c r="K632" s="3">
        <v>0</v>
      </c>
      <c r="L632" s="5">
        <v>350000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6">
        <v>350000</v>
      </c>
      <c r="AE632" s="16"/>
    </row>
    <row r="633" spans="1:31" x14ac:dyDescent="0.25">
      <c r="A633" s="7">
        <v>304</v>
      </c>
      <c r="B633" s="4">
        <v>43158</v>
      </c>
      <c r="C633" s="3" t="s">
        <v>946</v>
      </c>
      <c r="D633" s="3" t="s">
        <v>947</v>
      </c>
      <c r="E633" s="3">
        <v>115</v>
      </c>
      <c r="F633" s="3"/>
      <c r="G633" s="3" t="s">
        <v>41</v>
      </c>
      <c r="H633" s="3">
        <v>0</v>
      </c>
      <c r="I633" s="3">
        <v>0</v>
      </c>
      <c r="J633" s="3">
        <v>0</v>
      </c>
      <c r="K633" s="3">
        <v>0</v>
      </c>
      <c r="L633" s="5">
        <v>2645000</v>
      </c>
      <c r="M633" s="3">
        <v>0</v>
      </c>
      <c r="N633" s="5">
        <v>890500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5">
        <v>152575</v>
      </c>
      <c r="X633" s="3">
        <v>0</v>
      </c>
      <c r="Y633" s="3">
        <v>0</v>
      </c>
      <c r="Z633" s="3">
        <v>0</v>
      </c>
      <c r="AA633" s="5">
        <v>296500</v>
      </c>
      <c r="AB633" s="6">
        <v>3984575</v>
      </c>
      <c r="AD633" s="2" t="str">
        <f>VLOOKUP(E633,'[1]Detailed Transfer Report (12)'!$K:$Y,14,FALSE)</f>
        <v>Sardar Tanveer Ilyas</v>
      </c>
      <c r="AE633" s="16"/>
    </row>
    <row r="634" spans="1:31" x14ac:dyDescent="0.25">
      <c r="A634" s="10">
        <v>304</v>
      </c>
      <c r="B634" s="4">
        <v>43157</v>
      </c>
      <c r="C634" s="3" t="s">
        <v>948</v>
      </c>
      <c r="D634" s="3" t="s">
        <v>949</v>
      </c>
      <c r="E634" s="3">
        <v>116</v>
      </c>
      <c r="F634" s="3"/>
      <c r="G634" s="3" t="s">
        <v>41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5">
        <v>1732000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500</v>
      </c>
      <c r="W634" s="5">
        <v>297075</v>
      </c>
      <c r="X634" s="3">
        <v>0</v>
      </c>
      <c r="Y634" s="3">
        <v>0</v>
      </c>
      <c r="Z634" s="3">
        <v>0</v>
      </c>
      <c r="AA634" s="5">
        <v>577000</v>
      </c>
      <c r="AB634" s="6">
        <v>6591150</v>
      </c>
      <c r="AD634" s="2" t="str">
        <f>VLOOKUP(E634,'[1]Detailed Transfer Report (12)'!$K:$Y,14,FALSE)</f>
        <v>Sardar Tanveer Ilyas</v>
      </c>
      <c r="AE634" s="16"/>
    </row>
    <row r="635" spans="1:31" x14ac:dyDescent="0.25">
      <c r="A635" s="7">
        <v>305</v>
      </c>
      <c r="B635" s="4">
        <v>43211</v>
      </c>
      <c r="C635" s="3" t="s">
        <v>588</v>
      </c>
      <c r="D635" s="3" t="s">
        <v>950</v>
      </c>
      <c r="E635" s="3">
        <v>3082</v>
      </c>
      <c r="F635" s="3">
        <v>7885</v>
      </c>
      <c r="G635" s="3" t="s">
        <v>30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8">
        <v>0</v>
      </c>
      <c r="AC635" s="2" t="str">
        <f>VLOOKUP(E635,'[1]Detailed Transfer Report (12)'!$K:$Y,13,FALSE)</f>
        <v>Dilawar Khan</v>
      </c>
      <c r="AD635" s="2" t="str">
        <f>VLOOKUP(E635,'[1]Detailed Transfer Report (12)'!$K:$Y,14,FALSE)</f>
        <v>Sardar Tanveer Ilyas</v>
      </c>
      <c r="AE635" s="16">
        <f>VLOOKUP(E635,'[1]Detailed Transfer Report (12)'!$K:$Y,15,FALSE)</f>
        <v>43181</v>
      </c>
    </row>
    <row r="636" spans="1:31" x14ac:dyDescent="0.25">
      <c r="A636" s="9">
        <v>305</v>
      </c>
      <c r="B636" s="4">
        <v>43211</v>
      </c>
      <c r="C636" s="3" t="s">
        <v>673</v>
      </c>
      <c r="D636" s="3" t="s">
        <v>951</v>
      </c>
      <c r="E636" s="3">
        <v>1422</v>
      </c>
      <c r="F636" s="3"/>
      <c r="G636" s="3" t="s">
        <v>30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5">
        <v>25000</v>
      </c>
      <c r="N636" s="5">
        <v>39500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500</v>
      </c>
      <c r="U636" s="3">
        <v>0</v>
      </c>
      <c r="V636" s="3">
        <v>0</v>
      </c>
      <c r="W636" s="5">
        <v>4911</v>
      </c>
      <c r="X636" s="3">
        <v>0</v>
      </c>
      <c r="Y636" s="3">
        <v>0</v>
      </c>
      <c r="Z636" s="3">
        <v>0</v>
      </c>
      <c r="AA636" s="5">
        <v>12500</v>
      </c>
      <c r="AB636" s="6">
        <v>82411</v>
      </c>
      <c r="AD636" s="2" t="str">
        <f>VLOOKUP(E636,'[1]Detailed Transfer Report (12)'!$K:$Y,14,FALSE)</f>
        <v>Sardar Tanveer Ilyas</v>
      </c>
      <c r="AE636" s="16"/>
    </row>
    <row r="637" spans="1:31" x14ac:dyDescent="0.25">
      <c r="A637" s="9">
        <v>305</v>
      </c>
      <c r="B637" s="4">
        <v>43211</v>
      </c>
      <c r="C637" s="3" t="s">
        <v>205</v>
      </c>
      <c r="D637" s="3" t="s">
        <v>952</v>
      </c>
      <c r="E637" s="3">
        <v>1421</v>
      </c>
      <c r="F637" s="3"/>
      <c r="G637" s="3" t="s">
        <v>30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6">
        <v>82411</v>
      </c>
      <c r="AD637" s="2" t="str">
        <f>VLOOKUP(E637,'[1]Detailed Transfer Report (12)'!$K:$Y,14,FALSE)</f>
        <v>Sardar Tanveer Ilyas</v>
      </c>
      <c r="AE637" s="16"/>
    </row>
    <row r="638" spans="1:31" x14ac:dyDescent="0.25">
      <c r="A638" s="9">
        <v>305</v>
      </c>
      <c r="B638" s="4">
        <v>43370</v>
      </c>
      <c r="C638" s="3" t="s">
        <v>46</v>
      </c>
      <c r="D638" s="3" t="s">
        <v>953</v>
      </c>
      <c r="E638" s="3">
        <v>960</v>
      </c>
      <c r="F638" s="3"/>
      <c r="G638" s="3" t="s">
        <v>30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5">
        <v>46000</v>
      </c>
      <c r="N638" s="5">
        <v>71000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5">
        <v>25500</v>
      </c>
      <c r="X638" s="3">
        <v>0</v>
      </c>
      <c r="Y638" s="3">
        <v>0</v>
      </c>
      <c r="Z638" s="3">
        <v>0</v>
      </c>
      <c r="AA638" s="5">
        <v>23000</v>
      </c>
      <c r="AB638" s="6">
        <v>247911</v>
      </c>
      <c r="AD638" s="2" t="str">
        <f>VLOOKUP(E638,'[1]Detailed Transfer Report (12)'!$K:$Y,14,FALSE)</f>
        <v>Sardar Tanveer Ilyas</v>
      </c>
      <c r="AE638" s="16"/>
    </row>
    <row r="639" spans="1:31" x14ac:dyDescent="0.25">
      <c r="A639" s="10">
        <v>305</v>
      </c>
      <c r="B639" s="4">
        <v>43370</v>
      </c>
      <c r="C639" s="3" t="s">
        <v>44</v>
      </c>
      <c r="D639" s="3" t="s">
        <v>954</v>
      </c>
      <c r="E639" s="3">
        <v>962</v>
      </c>
      <c r="F639" s="3"/>
      <c r="G639" s="3" t="s">
        <v>30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6">
        <v>247911</v>
      </c>
      <c r="AD639" s="2" t="str">
        <f>VLOOKUP(E639,'[1]Detailed Transfer Report (12)'!$K:$Y,14,FALSE)</f>
        <v>Sardar Tanveer Ilyas</v>
      </c>
      <c r="AE639" s="16"/>
    </row>
    <row r="640" spans="1:31" x14ac:dyDescent="0.25">
      <c r="A640" s="3">
        <v>306</v>
      </c>
      <c r="B640" s="4">
        <v>43158</v>
      </c>
      <c r="C640" s="3" t="s">
        <v>955</v>
      </c>
      <c r="D640" s="3" t="s">
        <v>956</v>
      </c>
      <c r="E640" s="3">
        <v>114</v>
      </c>
      <c r="F640" s="3"/>
      <c r="G640" s="3" t="s">
        <v>41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5">
        <v>694000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5">
        <v>126461</v>
      </c>
      <c r="X640" s="3">
        <v>0</v>
      </c>
      <c r="Y640" s="3">
        <v>0</v>
      </c>
      <c r="Z640" s="3">
        <v>0</v>
      </c>
      <c r="AA640" s="5">
        <v>231000</v>
      </c>
      <c r="AB640" s="6">
        <v>1051461</v>
      </c>
      <c r="AD640" s="2" t="str">
        <f>VLOOKUP(E640,'[1]Detailed Transfer Report (12)'!$K:$Y,14,FALSE)</f>
        <v>Sardar Tanveer Ilyas</v>
      </c>
      <c r="AE640" s="16"/>
    </row>
    <row r="641" spans="1:31" x14ac:dyDescent="0.25">
      <c r="A641" s="3">
        <v>307</v>
      </c>
      <c r="B641" s="4">
        <v>43194</v>
      </c>
      <c r="C641" s="3" t="s">
        <v>46</v>
      </c>
      <c r="D641" s="3" t="s">
        <v>957</v>
      </c>
      <c r="E641" s="3">
        <v>1088</v>
      </c>
      <c r="F641" s="3"/>
      <c r="G641" s="3" t="s">
        <v>30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8">
        <v>0</v>
      </c>
      <c r="AD641" s="2" t="str">
        <f>VLOOKUP(E641,'[1]Detailed Transfer Report (12)'!$K:$Y,14,FALSE)</f>
        <v>Sardar Tanveer Ilyas</v>
      </c>
      <c r="AE641" s="16"/>
    </row>
    <row r="642" spans="1:31" x14ac:dyDescent="0.25">
      <c r="A642" s="3">
        <v>308</v>
      </c>
      <c r="B642" s="4">
        <v>43145</v>
      </c>
      <c r="C642" s="3" t="s">
        <v>153</v>
      </c>
      <c r="D642" s="3" t="s">
        <v>958</v>
      </c>
      <c r="E642" s="3">
        <v>4350</v>
      </c>
      <c r="F642" s="3"/>
      <c r="G642" s="3" t="s">
        <v>30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8">
        <v>0</v>
      </c>
      <c r="AE642" s="16"/>
    </row>
    <row r="643" spans="1:31" x14ac:dyDescent="0.25">
      <c r="A643" s="7">
        <v>309</v>
      </c>
      <c r="B643" s="4">
        <v>43242</v>
      </c>
      <c r="C643" s="3" t="s">
        <v>959</v>
      </c>
      <c r="D643" s="3" t="s">
        <v>960</v>
      </c>
      <c r="E643" s="3">
        <v>12184</v>
      </c>
      <c r="F643" s="3"/>
      <c r="G643" s="3" t="s">
        <v>30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8">
        <v>0</v>
      </c>
      <c r="AC643" s="2" t="str">
        <f>VLOOKUP(E643,'[1]Detailed Transfer Report (12)'!$K:$Y,13,FALSE)</f>
        <v>Saqib Mehmood</v>
      </c>
      <c r="AD643" s="2" t="str">
        <f>VLOOKUP(E643,'[1]Detailed Transfer Report (12)'!$K:$Y,14,FALSE)</f>
        <v>Sardar Tanveer Ilyas</v>
      </c>
      <c r="AE643" s="16"/>
    </row>
    <row r="644" spans="1:31" x14ac:dyDescent="0.25">
      <c r="A644" s="10">
        <v>309</v>
      </c>
      <c r="B644" s="4">
        <v>43242</v>
      </c>
      <c r="C644" s="3" t="s">
        <v>961</v>
      </c>
      <c r="D644" s="3" t="s">
        <v>962</v>
      </c>
      <c r="E644" s="3">
        <v>1008</v>
      </c>
      <c r="F644" s="3"/>
      <c r="G644" s="3" t="s">
        <v>30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5">
        <v>15600</v>
      </c>
      <c r="N644" s="5">
        <v>24400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5">
        <v>14450</v>
      </c>
      <c r="X644" s="3">
        <v>0</v>
      </c>
      <c r="Y644" s="3">
        <v>0</v>
      </c>
      <c r="Z644" s="3">
        <v>0</v>
      </c>
      <c r="AA644" s="5">
        <v>7800</v>
      </c>
      <c r="AB644" s="6">
        <v>62250</v>
      </c>
      <c r="AD644" s="2" t="str">
        <f>VLOOKUP(E644,'[1]Detailed Transfer Report (12)'!$K:$Y,14,FALSE)</f>
        <v>Sardar Tanveer Ilyas</v>
      </c>
      <c r="AE644" s="16"/>
    </row>
    <row r="645" spans="1:31" ht="34.5" x14ac:dyDescent="0.25">
      <c r="A645" s="3">
        <v>311</v>
      </c>
      <c r="B645" s="4">
        <v>43146</v>
      </c>
      <c r="C645" s="3" t="s">
        <v>963</v>
      </c>
      <c r="D645" s="3" t="s">
        <v>964</v>
      </c>
      <c r="E645" s="3" t="s">
        <v>965</v>
      </c>
      <c r="F645" s="3"/>
      <c r="G645" s="3" t="s">
        <v>30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8">
        <v>0</v>
      </c>
      <c r="AC645" s="2" t="str">
        <f>VLOOKUP(E645,'[1]Detailed Transfer Report (12)'!$K:$Y,13,FALSE)</f>
        <v>Shazia Paeveen</v>
      </c>
      <c r="AD645" s="2" t="str">
        <f>VLOOKUP(E645,'[1]Detailed Transfer Report (12)'!$K:$Y,14,FALSE)</f>
        <v>Sardar Tanveer Ilyas</v>
      </c>
      <c r="AE645" s="16"/>
    </row>
    <row r="646" spans="1:31" x14ac:dyDescent="0.25">
      <c r="A646" s="3">
        <v>312</v>
      </c>
      <c r="B646" s="4">
        <v>43246</v>
      </c>
      <c r="C646" s="3" t="s">
        <v>966</v>
      </c>
      <c r="D646" s="3" t="s">
        <v>967</v>
      </c>
      <c r="E646" s="3">
        <v>1006</v>
      </c>
      <c r="F646" s="3"/>
      <c r="G646" s="3" t="s">
        <v>30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5">
        <v>12800</v>
      </c>
      <c r="N646" s="5">
        <v>20200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5">
        <v>11900</v>
      </c>
      <c r="X646" s="3">
        <v>0</v>
      </c>
      <c r="Y646" s="3">
        <v>0</v>
      </c>
      <c r="Z646" s="3">
        <v>0</v>
      </c>
      <c r="AA646" s="5">
        <v>6400</v>
      </c>
      <c r="AB646" s="6">
        <v>51300</v>
      </c>
      <c r="AD646" s="2" t="str">
        <f>VLOOKUP(E646,'[1]Detailed Transfer Report (12)'!$K:$Y,14,FALSE)</f>
        <v>Sardar Tanveer Ilyas</v>
      </c>
      <c r="AE646" s="16"/>
    </row>
    <row r="647" spans="1:31" x14ac:dyDescent="0.25">
      <c r="A647" s="3">
        <v>313</v>
      </c>
      <c r="B647" s="4">
        <v>43152</v>
      </c>
      <c r="C647" s="3" t="s">
        <v>377</v>
      </c>
      <c r="D647" s="3" t="s">
        <v>968</v>
      </c>
      <c r="E647" s="3">
        <v>5254</v>
      </c>
      <c r="F647" s="3"/>
      <c r="G647" s="3" t="s">
        <v>30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8">
        <v>0</v>
      </c>
      <c r="AC647" s="2" t="str">
        <f>VLOOKUP(E647,'[1]Detailed Transfer Report (12)'!$K:$Y,13,FALSE)</f>
        <v>Yaqoob Awan</v>
      </c>
      <c r="AD647" s="2" t="str">
        <f>VLOOKUP(E647,'[1]Detailed Transfer Report (12)'!$K:$Y,14,FALSE)</f>
        <v>Sardar Tanveer Ilyas</v>
      </c>
      <c r="AE647" s="16"/>
    </row>
    <row r="648" spans="1:31" x14ac:dyDescent="0.25">
      <c r="A648" s="7">
        <v>314</v>
      </c>
      <c r="B648" s="4">
        <v>43152</v>
      </c>
      <c r="C648" s="3" t="s">
        <v>153</v>
      </c>
      <c r="D648" s="3" t="s">
        <v>969</v>
      </c>
      <c r="E648" s="3"/>
      <c r="F648" s="3"/>
      <c r="G648" s="3" t="s">
        <v>30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8">
        <v>0</v>
      </c>
      <c r="AE648" s="16"/>
    </row>
    <row r="649" spans="1:31" x14ac:dyDescent="0.25">
      <c r="A649" s="10">
        <v>314</v>
      </c>
      <c r="B649" s="4">
        <v>46077</v>
      </c>
      <c r="C649" s="3" t="s">
        <v>205</v>
      </c>
      <c r="D649" s="3" t="s">
        <v>822</v>
      </c>
      <c r="E649" s="3"/>
      <c r="F649" s="3"/>
      <c r="G649" s="3" t="s">
        <v>30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8">
        <v>0</v>
      </c>
      <c r="AE649" s="16"/>
    </row>
    <row r="650" spans="1:31" x14ac:dyDescent="0.25">
      <c r="A650" s="7">
        <v>315</v>
      </c>
      <c r="B650" s="4">
        <v>43046</v>
      </c>
      <c r="C650" s="3" t="s">
        <v>970</v>
      </c>
      <c r="D650" s="3" t="s">
        <v>971</v>
      </c>
      <c r="E650" s="3">
        <v>627</v>
      </c>
      <c r="F650" s="3"/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5">
        <v>3000</v>
      </c>
      <c r="N650" s="5">
        <v>5500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5">
        <v>2456</v>
      </c>
      <c r="X650" s="3">
        <v>0</v>
      </c>
      <c r="Y650" s="3">
        <v>0</v>
      </c>
      <c r="Z650" s="3">
        <v>0</v>
      </c>
      <c r="AA650" s="5">
        <v>1500</v>
      </c>
      <c r="AB650" s="6">
        <v>12456</v>
      </c>
      <c r="AD650" s="2" t="str">
        <f>VLOOKUP(E650,'[1]Detailed Transfer Report (12)'!$K:$Y,14,FALSE)</f>
        <v>Sardar Tanveer Ilyas</v>
      </c>
      <c r="AE650" s="16"/>
    </row>
    <row r="651" spans="1:31" x14ac:dyDescent="0.25">
      <c r="A651" s="9">
        <v>315</v>
      </c>
      <c r="B651" s="4">
        <v>43046</v>
      </c>
      <c r="C651" s="3" t="s">
        <v>972</v>
      </c>
      <c r="D651" s="3" t="s">
        <v>973</v>
      </c>
      <c r="E651" s="3" t="s">
        <v>974</v>
      </c>
      <c r="F651" s="3"/>
      <c r="G651" s="3" t="s">
        <v>30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5">
        <v>6300</v>
      </c>
      <c r="N651" s="5">
        <v>10450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5">
        <v>6044</v>
      </c>
      <c r="X651" s="3">
        <v>0</v>
      </c>
      <c r="Y651" s="3">
        <v>0</v>
      </c>
      <c r="Z651" s="3">
        <v>0</v>
      </c>
      <c r="AA651" s="5">
        <v>3150</v>
      </c>
      <c r="AB651" s="6">
        <v>38400</v>
      </c>
      <c r="AC651" s="2" t="str">
        <f>VLOOKUP(E651,'[1]Detailed Transfer Report (12)'!$K:$Y,13,FALSE)</f>
        <v>Noor Elahi</v>
      </c>
      <c r="AD651" s="2" t="str">
        <f>VLOOKUP(E651,'[1]Detailed Transfer Report (12)'!$K:$Y,14,FALSE)</f>
        <v>Sardar Tanveer Ilyas</v>
      </c>
      <c r="AE651" s="16"/>
    </row>
    <row r="652" spans="1:31" x14ac:dyDescent="0.25">
      <c r="A652" s="10">
        <v>315</v>
      </c>
      <c r="B652" s="4">
        <v>43046</v>
      </c>
      <c r="C652" s="3" t="s">
        <v>375</v>
      </c>
      <c r="D652" s="3" t="s">
        <v>975</v>
      </c>
      <c r="E652" s="3">
        <v>12184</v>
      </c>
      <c r="F652" s="3"/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6">
        <v>38400</v>
      </c>
      <c r="AC652" s="2" t="str">
        <f>VLOOKUP(E652,'[1]Detailed Transfer Report (12)'!$K:$Y,13,FALSE)</f>
        <v>Saqib Mehmood</v>
      </c>
      <c r="AD652" s="2" t="str">
        <f>VLOOKUP(E652,'[1]Detailed Transfer Report (12)'!$K:$Y,14,FALSE)</f>
        <v>Sardar Tanveer Ilyas</v>
      </c>
      <c r="AE652" s="16"/>
    </row>
    <row r="653" spans="1:31" x14ac:dyDescent="0.25">
      <c r="A653" s="7">
        <v>316</v>
      </c>
      <c r="B653" s="4">
        <v>43158</v>
      </c>
      <c r="C653" s="3" t="s">
        <v>976</v>
      </c>
      <c r="D653" s="3" t="s">
        <v>977</v>
      </c>
      <c r="E653" s="3">
        <v>1045</v>
      </c>
      <c r="F653" s="3"/>
      <c r="G653" s="3" t="s">
        <v>30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8">
        <v>0</v>
      </c>
      <c r="AD653" s="2" t="str">
        <f>VLOOKUP(E653,'[1]Detailed Transfer Report (12)'!$K:$Y,14,FALSE)</f>
        <v>Sardar Tanveer Ilyas</v>
      </c>
      <c r="AE653" s="16"/>
    </row>
    <row r="654" spans="1:31" x14ac:dyDescent="0.25">
      <c r="A654" s="10">
        <v>316</v>
      </c>
      <c r="B654" s="4">
        <v>43158</v>
      </c>
      <c r="C654" s="3" t="s">
        <v>978</v>
      </c>
      <c r="D654" s="3" t="s">
        <v>979</v>
      </c>
      <c r="E654" s="3">
        <v>1044</v>
      </c>
      <c r="F654" s="3"/>
      <c r="G654" s="3" t="s">
        <v>30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8">
        <v>0</v>
      </c>
      <c r="AD654" s="2" t="str">
        <f>VLOOKUP(E654,'[1]Detailed Transfer Report (12)'!$K:$Y,14,FALSE)</f>
        <v>Sardar Tanveer Ilyas</v>
      </c>
      <c r="AE654" s="16"/>
    </row>
    <row r="655" spans="1:31" x14ac:dyDescent="0.25">
      <c r="A655" s="7">
        <v>317</v>
      </c>
      <c r="B655" s="4">
        <v>43276</v>
      </c>
      <c r="C655" s="3" t="s">
        <v>205</v>
      </c>
      <c r="D655" s="3" t="s">
        <v>980</v>
      </c>
      <c r="E655" s="3">
        <v>1179</v>
      </c>
      <c r="F655" s="3"/>
      <c r="G655" s="3" t="s">
        <v>30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5">
        <v>4000</v>
      </c>
      <c r="N655" s="5">
        <v>7000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5">
        <v>2550</v>
      </c>
      <c r="X655" s="3">
        <v>0</v>
      </c>
      <c r="Y655" s="3">
        <v>0</v>
      </c>
      <c r="Z655" s="3">
        <v>0</v>
      </c>
      <c r="AA655" s="5">
        <v>2000</v>
      </c>
      <c r="AB655" s="6">
        <v>15550</v>
      </c>
      <c r="AD655" s="2" t="str">
        <f>VLOOKUP(E655,'[1]Detailed Transfer Report (12)'!$K:$Y,14,FALSE)</f>
        <v>Sardar Tanveer Ilyas</v>
      </c>
      <c r="AE655" s="16"/>
    </row>
    <row r="656" spans="1:31" x14ac:dyDescent="0.25">
      <c r="A656" s="10">
        <v>317</v>
      </c>
      <c r="B656" s="4">
        <v>43276</v>
      </c>
      <c r="C656" s="3" t="s">
        <v>153</v>
      </c>
      <c r="D656" s="3" t="s">
        <v>981</v>
      </c>
      <c r="E656" s="3">
        <v>1191</v>
      </c>
      <c r="F656" s="3"/>
      <c r="G656" s="3" t="s">
        <v>30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5">
        <v>4000</v>
      </c>
      <c r="N656" s="5">
        <v>7000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5">
        <v>2125</v>
      </c>
      <c r="X656" s="3">
        <v>0</v>
      </c>
      <c r="Y656" s="3">
        <v>0</v>
      </c>
      <c r="Z656" s="3">
        <v>0</v>
      </c>
      <c r="AA656" s="5">
        <v>2000</v>
      </c>
      <c r="AB656" s="6">
        <v>30675</v>
      </c>
      <c r="AD656" s="2" t="str">
        <f>VLOOKUP(E656,'[1]Detailed Transfer Report (12)'!$K:$Y,14,FALSE)</f>
        <v>Sardar Tanveer Ilyas</v>
      </c>
      <c r="AE656" s="16"/>
    </row>
    <row r="657" spans="1:31" x14ac:dyDescent="0.25">
      <c r="A657" s="3">
        <v>318</v>
      </c>
      <c r="B657" s="4">
        <v>43166</v>
      </c>
      <c r="C657" s="3" t="s">
        <v>377</v>
      </c>
      <c r="D657" s="3" t="s">
        <v>982</v>
      </c>
      <c r="E657" s="3">
        <v>1069</v>
      </c>
      <c r="F657" s="3"/>
      <c r="G657" s="3" t="s">
        <v>30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8">
        <v>0</v>
      </c>
      <c r="AD657" s="2" t="str">
        <f>VLOOKUP(E657,'[1]Detailed Transfer Report (12)'!$K:$Y,14,FALSE)</f>
        <v>Sardar Tanveer Ilyas</v>
      </c>
      <c r="AE657" s="16"/>
    </row>
    <row r="658" spans="1:31" x14ac:dyDescent="0.25">
      <c r="A658" s="3">
        <v>319</v>
      </c>
      <c r="B658" s="4">
        <v>43181</v>
      </c>
      <c r="C658" s="3" t="s">
        <v>42</v>
      </c>
      <c r="D658" s="3" t="s">
        <v>983</v>
      </c>
      <c r="E658" s="3">
        <v>146</v>
      </c>
      <c r="F658" s="3"/>
      <c r="G658" s="3" t="s">
        <v>41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5">
        <v>34425</v>
      </c>
      <c r="N658" s="5">
        <v>205000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5">
        <v>68000</v>
      </c>
      <c r="AB658" s="6">
        <v>307425</v>
      </c>
      <c r="AD658" s="2" t="str">
        <f>VLOOKUP(E658,'[1]Detailed Transfer Report (12)'!$K:$Y,14,FALSE)</f>
        <v>Sardar Tanveer Ilyas</v>
      </c>
      <c r="AE658" s="16"/>
    </row>
    <row r="659" spans="1:31" x14ac:dyDescent="0.25">
      <c r="A659" s="3">
        <v>321</v>
      </c>
      <c r="B659" s="4">
        <v>43207</v>
      </c>
      <c r="C659" s="3" t="s">
        <v>342</v>
      </c>
      <c r="D659" s="3" t="s">
        <v>984</v>
      </c>
      <c r="E659" s="3">
        <v>1143</v>
      </c>
      <c r="F659" s="3"/>
      <c r="G659" s="3" t="s">
        <v>30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5">
        <v>40000</v>
      </c>
      <c r="N659" s="5">
        <v>61000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5">
        <v>32300</v>
      </c>
      <c r="X659" s="3">
        <v>0</v>
      </c>
      <c r="Y659" s="3">
        <v>0</v>
      </c>
      <c r="Z659" s="3">
        <v>0</v>
      </c>
      <c r="AA659" s="5">
        <v>20000</v>
      </c>
      <c r="AB659" s="6">
        <v>153300</v>
      </c>
      <c r="AD659" s="2" t="str">
        <f>VLOOKUP(E659,'[1]Detailed Transfer Report (12)'!$K:$Y,14,FALSE)</f>
        <v>Sardar Tanveer Ilyas</v>
      </c>
      <c r="AE659" s="16"/>
    </row>
    <row r="660" spans="1:31" x14ac:dyDescent="0.25">
      <c r="A660" s="3">
        <v>323</v>
      </c>
      <c r="B660" s="4">
        <v>43208</v>
      </c>
      <c r="C660" s="3" t="s">
        <v>495</v>
      </c>
      <c r="D660" s="3" t="s">
        <v>985</v>
      </c>
      <c r="E660" s="3">
        <v>1151</v>
      </c>
      <c r="F660" s="3"/>
      <c r="G660" s="3" t="s">
        <v>30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5">
        <v>20000</v>
      </c>
      <c r="N660" s="5">
        <v>31000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5">
        <v>5525</v>
      </c>
      <c r="X660" s="3">
        <v>0</v>
      </c>
      <c r="Y660" s="3">
        <v>0</v>
      </c>
      <c r="Z660" s="3">
        <v>0</v>
      </c>
      <c r="AA660" s="5">
        <v>10000</v>
      </c>
      <c r="AB660" s="6">
        <v>66525</v>
      </c>
      <c r="AD660" s="2" t="str">
        <f>VLOOKUP(E660,'[1]Detailed Transfer Report (12)'!$K:$Y,14,FALSE)</f>
        <v>Sardar Tanveer Ilyas</v>
      </c>
      <c r="AE660" s="16"/>
    </row>
    <row r="661" spans="1:31" x14ac:dyDescent="0.25">
      <c r="A661" s="7">
        <v>324</v>
      </c>
      <c r="B661" s="4">
        <v>43209</v>
      </c>
      <c r="C661" s="3" t="s">
        <v>986</v>
      </c>
      <c r="D661" s="3" t="s">
        <v>987</v>
      </c>
      <c r="E661" s="3">
        <v>1146</v>
      </c>
      <c r="F661" s="3"/>
      <c r="G661" s="3" t="s">
        <v>30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5">
        <v>5400</v>
      </c>
      <c r="N661" s="5">
        <v>9100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5">
        <v>4950</v>
      </c>
      <c r="X661" s="3">
        <v>0</v>
      </c>
      <c r="Y661" s="3">
        <v>0</v>
      </c>
      <c r="Z661" s="3">
        <v>0</v>
      </c>
      <c r="AA661" s="5">
        <v>2700</v>
      </c>
      <c r="AB661" s="6">
        <v>22150</v>
      </c>
      <c r="AD661" s="2" t="str">
        <f>VLOOKUP(E661,'[1]Detailed Transfer Report (12)'!$K:$Y,14,FALSE)</f>
        <v>Sardar M Sagheer Khan</v>
      </c>
      <c r="AE661" s="16"/>
    </row>
    <row r="662" spans="1:31" x14ac:dyDescent="0.25">
      <c r="A662" s="9">
        <v>324</v>
      </c>
      <c r="B662" s="4">
        <v>43209</v>
      </c>
      <c r="C662" s="3" t="s">
        <v>988</v>
      </c>
      <c r="D662" s="3" t="s">
        <v>989</v>
      </c>
      <c r="E662" s="3">
        <v>1147</v>
      </c>
      <c r="F662" s="3"/>
      <c r="G662" s="3" t="s">
        <v>30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5">
        <v>3500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575</v>
      </c>
      <c r="X662" s="3">
        <v>0</v>
      </c>
      <c r="Y662" s="3">
        <v>0</v>
      </c>
      <c r="Z662" s="3">
        <v>0</v>
      </c>
      <c r="AA662" s="3">
        <v>500</v>
      </c>
      <c r="AB662" s="6">
        <v>26725</v>
      </c>
      <c r="AD662" s="2" t="str">
        <f>VLOOKUP(E662,'[1]Detailed Transfer Report (12)'!$K:$Y,14,FALSE)</f>
        <v>Sardar Tanveer Ilyas</v>
      </c>
      <c r="AE662" s="16"/>
    </row>
    <row r="663" spans="1:31" x14ac:dyDescent="0.25">
      <c r="A663" s="9">
        <v>324</v>
      </c>
      <c r="B663" s="4">
        <v>43209</v>
      </c>
      <c r="C663" s="3" t="s">
        <v>507</v>
      </c>
      <c r="D663" s="3" t="s">
        <v>990</v>
      </c>
      <c r="E663" s="3">
        <v>1156</v>
      </c>
      <c r="F663" s="3"/>
      <c r="G663" s="3" t="s">
        <v>30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5">
        <v>3500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5">
        <v>1000</v>
      </c>
      <c r="X663" s="3">
        <v>0</v>
      </c>
      <c r="Y663" s="3">
        <v>0</v>
      </c>
      <c r="Z663" s="3">
        <v>0</v>
      </c>
      <c r="AA663" s="3">
        <v>500</v>
      </c>
      <c r="AB663" s="6">
        <v>31725</v>
      </c>
      <c r="AD663" s="2" t="str">
        <f>VLOOKUP(E663,'[1]Detailed Transfer Report (12)'!$K:$Y,14,FALSE)</f>
        <v>Sardar Tanveer Ilyas</v>
      </c>
      <c r="AE663" s="16"/>
    </row>
    <row r="664" spans="1:31" x14ac:dyDescent="0.25">
      <c r="A664" s="10">
        <v>324</v>
      </c>
      <c r="B664" s="4">
        <v>43209</v>
      </c>
      <c r="C664" s="3" t="s">
        <v>991</v>
      </c>
      <c r="D664" s="3" t="s">
        <v>992</v>
      </c>
      <c r="E664" s="3">
        <v>1144</v>
      </c>
      <c r="F664" s="3"/>
      <c r="G664" s="3" t="s">
        <v>30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5">
        <v>6000</v>
      </c>
      <c r="N664" s="5">
        <v>10000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5">
        <v>1575</v>
      </c>
      <c r="X664" s="3">
        <v>0</v>
      </c>
      <c r="Y664" s="3">
        <v>0</v>
      </c>
      <c r="Z664" s="3">
        <v>0</v>
      </c>
      <c r="AA664" s="5">
        <v>3000</v>
      </c>
      <c r="AB664" s="6">
        <v>52300</v>
      </c>
      <c r="AD664" s="2" t="str">
        <f>VLOOKUP(E664,'[1]Detailed Transfer Report (12)'!$K:$Y,14,FALSE)</f>
        <v>Sardar Tanveer Ilyas</v>
      </c>
      <c r="AE664" s="16"/>
    </row>
    <row r="665" spans="1:31" x14ac:dyDescent="0.25">
      <c r="A665" s="7">
        <v>325</v>
      </c>
      <c r="B665" s="4">
        <v>43315</v>
      </c>
      <c r="C665" s="3" t="s">
        <v>993</v>
      </c>
      <c r="D665" s="3" t="s">
        <v>994</v>
      </c>
      <c r="E665" s="3">
        <v>215</v>
      </c>
      <c r="F665" s="3"/>
      <c r="G665" s="3" t="s">
        <v>41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8">
        <v>0</v>
      </c>
      <c r="AD665" s="2" t="str">
        <f>VLOOKUP(E665,'[1]Detailed Transfer Report (12)'!$K:$Y,14,FALSE)</f>
        <v>Sardar Tanveer Ilyas</v>
      </c>
      <c r="AE665" s="16"/>
    </row>
    <row r="666" spans="1:31" x14ac:dyDescent="0.25">
      <c r="A666" s="9">
        <v>325</v>
      </c>
      <c r="B666" s="4">
        <v>43315</v>
      </c>
      <c r="C666" s="3" t="s">
        <v>995</v>
      </c>
      <c r="D666" s="3" t="s">
        <v>994</v>
      </c>
      <c r="E666" s="3" t="s">
        <v>996</v>
      </c>
      <c r="F666" s="3"/>
      <c r="G666" s="3" t="s">
        <v>41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8">
        <v>0</v>
      </c>
      <c r="AE666" s="16"/>
    </row>
    <row r="667" spans="1:31" x14ac:dyDescent="0.25">
      <c r="A667" s="10">
        <v>325</v>
      </c>
      <c r="B667" s="4">
        <v>43315</v>
      </c>
      <c r="C667" s="3" t="s">
        <v>997</v>
      </c>
      <c r="D667" s="3" t="s">
        <v>994</v>
      </c>
      <c r="E667" s="3">
        <v>1392</v>
      </c>
      <c r="F667" s="3"/>
      <c r="G667" s="3" t="s">
        <v>30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8">
        <v>0</v>
      </c>
      <c r="AC667" s="2" t="str">
        <f>VLOOKUP(E667,'[1]Detailed Transfer Report (12)'!$K:$Y,13,FALSE)</f>
        <v>M.Iqbal</v>
      </c>
      <c r="AD667" s="2" t="str">
        <f>VLOOKUP(E667,'[1]Detailed Transfer Report (12)'!$K:$Y,14,FALSE)</f>
        <v>Sardar Tanveer Ilyas</v>
      </c>
      <c r="AE667" s="16"/>
    </row>
    <row r="668" spans="1:31" x14ac:dyDescent="0.25">
      <c r="A668" s="3">
        <v>326</v>
      </c>
      <c r="B668" s="4">
        <v>43228</v>
      </c>
      <c r="C668" s="3" t="s">
        <v>205</v>
      </c>
      <c r="D668" s="3" t="s">
        <v>998</v>
      </c>
      <c r="E668" s="3">
        <v>3081</v>
      </c>
      <c r="F668" s="3">
        <v>15384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8">
        <v>0</v>
      </c>
      <c r="AC668" s="2" t="str">
        <f>VLOOKUP(E668,'[1]Detailed Transfer Report (12)'!$K:$Y,13,FALSE)</f>
        <v>Meher Khan</v>
      </c>
      <c r="AD668" s="2" t="str">
        <f>VLOOKUP(E668,'[1]Detailed Transfer Report (12)'!$K:$Y,14,FALSE)</f>
        <v>Sardar Tanveer Ilyas</v>
      </c>
      <c r="AE668" s="16">
        <f>VLOOKUP(E668,'[1]Detailed Transfer Report (12)'!$K:$Y,15,FALSE)</f>
        <v>43264</v>
      </c>
    </row>
    <row r="669" spans="1:31" x14ac:dyDescent="0.25">
      <c r="A669" s="3">
        <v>327</v>
      </c>
      <c r="B669" s="4">
        <v>43258</v>
      </c>
      <c r="C669" s="3" t="s">
        <v>44</v>
      </c>
      <c r="D669" s="3" t="s">
        <v>999</v>
      </c>
      <c r="E669" s="3">
        <v>190</v>
      </c>
      <c r="F669" s="3"/>
      <c r="G669" s="3" t="s">
        <v>41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5">
        <v>38500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5">
        <v>8500</v>
      </c>
      <c r="X669" s="3">
        <v>0</v>
      </c>
      <c r="Y669" s="3">
        <v>0</v>
      </c>
      <c r="Z669" s="3">
        <v>0</v>
      </c>
      <c r="AA669" s="5">
        <v>12500</v>
      </c>
      <c r="AB669" s="6">
        <v>59500</v>
      </c>
      <c r="AD669" s="2" t="str">
        <f>VLOOKUP(E669,'[1]Detailed Transfer Report (12)'!$K:$Y,14,FALSE)</f>
        <v>Sardar Tanveer Ilyas</v>
      </c>
      <c r="AE669" s="16"/>
    </row>
    <row r="670" spans="1:31" x14ac:dyDescent="0.25">
      <c r="A670" s="7">
        <v>328</v>
      </c>
      <c r="B670" s="4">
        <v>43281</v>
      </c>
      <c r="C670" s="3" t="s">
        <v>588</v>
      </c>
      <c r="D670" s="3" t="s">
        <v>1000</v>
      </c>
      <c r="E670" s="3">
        <v>196</v>
      </c>
      <c r="F670" s="3"/>
      <c r="G670" s="3" t="s">
        <v>41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5">
        <v>55000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5">
        <v>10200</v>
      </c>
      <c r="X670" s="3">
        <v>0</v>
      </c>
      <c r="Y670" s="3">
        <v>0</v>
      </c>
      <c r="Z670" s="3">
        <v>0</v>
      </c>
      <c r="AA670" s="5">
        <v>18000</v>
      </c>
      <c r="AB670" s="6">
        <v>83200</v>
      </c>
      <c r="AD670" s="2" t="str">
        <f>VLOOKUP(E670,'[1]Detailed Transfer Report (12)'!$K:$Y,14,FALSE)</f>
        <v>Sardar Tanveer Ilyas</v>
      </c>
      <c r="AE670" s="16"/>
    </row>
    <row r="671" spans="1:31" x14ac:dyDescent="0.25">
      <c r="A671" s="9">
        <v>328</v>
      </c>
      <c r="B671" s="4">
        <v>43281</v>
      </c>
      <c r="C671" s="3" t="s">
        <v>1001</v>
      </c>
      <c r="D671" s="3" t="s">
        <v>1002</v>
      </c>
      <c r="E671" s="3">
        <v>199</v>
      </c>
      <c r="F671" s="3"/>
      <c r="G671" s="3" t="s">
        <v>41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5">
        <v>17500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500</v>
      </c>
      <c r="W671" s="5">
        <v>3211</v>
      </c>
      <c r="X671" s="3">
        <v>0</v>
      </c>
      <c r="Y671" s="3">
        <v>0</v>
      </c>
      <c r="Z671" s="3">
        <v>0</v>
      </c>
      <c r="AA671" s="5">
        <v>5500</v>
      </c>
      <c r="AB671" s="6">
        <v>109911</v>
      </c>
      <c r="AD671" s="2" t="str">
        <f>VLOOKUP(E671,'[1]Detailed Transfer Report (12)'!$K:$Y,14,FALSE)</f>
        <v>Sardar Tanveer Ilyas</v>
      </c>
      <c r="AE671" s="16"/>
    </row>
    <row r="672" spans="1:31" x14ac:dyDescent="0.25">
      <c r="A672" s="9">
        <v>328</v>
      </c>
      <c r="B672" s="4">
        <v>43281</v>
      </c>
      <c r="C672" s="3" t="s">
        <v>581</v>
      </c>
      <c r="D672" s="3" t="s">
        <v>1003</v>
      </c>
      <c r="E672" s="3">
        <v>201</v>
      </c>
      <c r="F672" s="3"/>
      <c r="G672" s="3" t="s">
        <v>41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6">
        <v>109911</v>
      </c>
      <c r="AD672" s="2" t="str">
        <f>VLOOKUP(E672,'[1]Detailed Transfer Report (12)'!$K:$Y,14,FALSE)</f>
        <v>Sardar Tanveer Ilyas</v>
      </c>
      <c r="AE672" s="16">
        <f>VLOOKUP(E672,'[1]Detailed Transfer Report (12)'!$K:$Y,15,FALSE)</f>
        <v>44566</v>
      </c>
    </row>
    <row r="673" spans="1:31" x14ac:dyDescent="0.25">
      <c r="A673" s="10">
        <v>328</v>
      </c>
      <c r="B673" s="4">
        <v>43281</v>
      </c>
      <c r="C673" s="3" t="s">
        <v>1004</v>
      </c>
      <c r="D673" s="3" t="s">
        <v>1005</v>
      </c>
      <c r="E673" s="3">
        <v>202</v>
      </c>
      <c r="F673" s="3"/>
      <c r="G673" s="3" t="s">
        <v>41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5">
        <v>300000</v>
      </c>
      <c r="Z673" s="3">
        <v>0</v>
      </c>
      <c r="AA673" s="3">
        <v>0</v>
      </c>
      <c r="AB673" s="6">
        <v>409911</v>
      </c>
      <c r="AD673" s="2" t="str">
        <f>VLOOKUP(E673,'[1]Detailed Transfer Report (12)'!$K:$Y,14,FALSE)</f>
        <v>Sardar Tanveer Ilyas</v>
      </c>
      <c r="AE673" s="16"/>
    </row>
    <row r="674" spans="1:31" x14ac:dyDescent="0.25">
      <c r="A674" s="7">
        <v>329</v>
      </c>
      <c r="B674" s="4">
        <v>43258</v>
      </c>
      <c r="C674" s="3" t="s">
        <v>46</v>
      </c>
      <c r="D674" s="3" t="s">
        <v>1006</v>
      </c>
      <c r="E674" s="3">
        <v>179</v>
      </c>
      <c r="F674" s="3"/>
      <c r="G674" s="3" t="s">
        <v>41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8">
        <v>0</v>
      </c>
      <c r="AD674" s="2" t="str">
        <f>VLOOKUP(E674,'[1]Detailed Transfer Report (12)'!$K:$Y,14,FALSE)</f>
        <v>Sardar Tanveer Ilyas</v>
      </c>
      <c r="AE674" s="16"/>
    </row>
    <row r="675" spans="1:31" x14ac:dyDescent="0.25">
      <c r="A675" s="10">
        <v>329</v>
      </c>
      <c r="B675" s="4">
        <v>43258</v>
      </c>
      <c r="C675" s="3" t="s">
        <v>1007</v>
      </c>
      <c r="D675" s="3" t="s">
        <v>1008</v>
      </c>
      <c r="E675" s="3">
        <v>182</v>
      </c>
      <c r="F675" s="3"/>
      <c r="G675" s="3" t="s">
        <v>41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5">
        <v>511000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500</v>
      </c>
      <c r="W675" s="5">
        <v>86936</v>
      </c>
      <c r="X675" s="3">
        <v>0</v>
      </c>
      <c r="Y675" s="3">
        <v>0</v>
      </c>
      <c r="Z675" s="3">
        <v>0</v>
      </c>
      <c r="AA675" s="5">
        <v>170000</v>
      </c>
      <c r="AB675" s="6">
        <v>768436</v>
      </c>
      <c r="AD675" s="2" t="str">
        <f>VLOOKUP(E675,'[1]Detailed Transfer Report (12)'!$K:$Y,14,FALSE)</f>
        <v>Sardar Tanveer Ilyas</v>
      </c>
      <c r="AE675" s="16"/>
    </row>
    <row r="676" spans="1:31" x14ac:dyDescent="0.25">
      <c r="A676" s="7">
        <v>330</v>
      </c>
      <c r="B676" s="4">
        <v>43258</v>
      </c>
      <c r="C676" s="3" t="s">
        <v>888</v>
      </c>
      <c r="D676" s="3" t="s">
        <v>1009</v>
      </c>
      <c r="E676" s="3">
        <v>181</v>
      </c>
      <c r="F676" s="3"/>
      <c r="G676" s="3" t="s">
        <v>41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5">
        <v>86500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5">
        <v>19078</v>
      </c>
      <c r="X676" s="3">
        <v>0</v>
      </c>
      <c r="Y676" s="3">
        <v>0</v>
      </c>
      <c r="Z676" s="3">
        <v>0</v>
      </c>
      <c r="AA676" s="5">
        <v>28500</v>
      </c>
      <c r="AB676" s="6">
        <v>134078</v>
      </c>
      <c r="AD676" s="2" t="str">
        <f>VLOOKUP(E676,'[1]Detailed Transfer Report (12)'!$K:$Y,14,FALSE)</f>
        <v>Sardar Tanveer Ilyas</v>
      </c>
      <c r="AE676" s="16"/>
    </row>
    <row r="677" spans="1:31" x14ac:dyDescent="0.25">
      <c r="A677" s="10">
        <v>330</v>
      </c>
      <c r="B677" s="4">
        <v>43258</v>
      </c>
      <c r="C677" s="3" t="s">
        <v>303</v>
      </c>
      <c r="D677" s="3" t="s">
        <v>1010</v>
      </c>
      <c r="E677" s="3">
        <v>204</v>
      </c>
      <c r="F677" s="3"/>
      <c r="G677" s="3" t="s">
        <v>41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6">
        <v>134078</v>
      </c>
      <c r="AD677" s="2" t="str">
        <f>VLOOKUP(E677,'[1]Detailed Transfer Report (12)'!$K:$Y,14,FALSE)</f>
        <v>Sardar Tanveer Ilyas</v>
      </c>
      <c r="AE677" s="16"/>
    </row>
    <row r="678" spans="1:31" x14ac:dyDescent="0.25">
      <c r="A678" s="7">
        <v>331</v>
      </c>
      <c r="B678" s="4">
        <v>43258</v>
      </c>
      <c r="C678" s="3" t="s">
        <v>1011</v>
      </c>
      <c r="D678" s="3" t="s">
        <v>1012</v>
      </c>
      <c r="E678" s="3">
        <v>1202</v>
      </c>
      <c r="F678" s="3"/>
      <c r="G678" s="3" t="s">
        <v>30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5">
        <v>2000</v>
      </c>
      <c r="N678" s="5">
        <v>4000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5">
        <v>1511</v>
      </c>
      <c r="X678" s="3">
        <v>0</v>
      </c>
      <c r="Y678" s="3">
        <v>0</v>
      </c>
      <c r="Z678" s="3">
        <v>0</v>
      </c>
      <c r="AA678" s="5">
        <v>1000</v>
      </c>
      <c r="AB678" s="6">
        <v>8511</v>
      </c>
      <c r="AD678" s="2" t="str">
        <f>VLOOKUP(E678,'[1]Detailed Transfer Report (12)'!$K:$Y,14,FALSE)</f>
        <v>Sardar Tanveer Ilyas</v>
      </c>
      <c r="AE678" s="16"/>
    </row>
    <row r="679" spans="1:31" x14ac:dyDescent="0.25">
      <c r="A679" s="10">
        <v>331</v>
      </c>
      <c r="B679" s="4">
        <v>43258</v>
      </c>
      <c r="C679" s="3" t="s">
        <v>1013</v>
      </c>
      <c r="D679" s="3" t="s">
        <v>1014</v>
      </c>
      <c r="E679" s="3">
        <v>1203</v>
      </c>
      <c r="F679" s="3"/>
      <c r="G679" s="3" t="s">
        <v>30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5">
        <v>24000</v>
      </c>
      <c r="N679" s="5">
        <v>37000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5">
        <v>22525</v>
      </c>
      <c r="X679" s="3">
        <v>0</v>
      </c>
      <c r="Y679" s="3">
        <v>0</v>
      </c>
      <c r="Z679" s="3">
        <v>0</v>
      </c>
      <c r="AA679" s="5">
        <v>12000</v>
      </c>
      <c r="AB679" s="6">
        <v>104036</v>
      </c>
      <c r="AD679" s="2" t="str">
        <f>VLOOKUP(E679,'[1]Detailed Transfer Report (12)'!$K:$Y,14,FALSE)</f>
        <v>Sardar Tanveer Ilyas</v>
      </c>
      <c r="AE679" s="16"/>
    </row>
    <row r="680" spans="1:31" x14ac:dyDescent="0.25">
      <c r="A680" s="3">
        <v>332</v>
      </c>
      <c r="B680" s="4">
        <v>43258</v>
      </c>
      <c r="C680" s="3" t="s">
        <v>1015</v>
      </c>
      <c r="D680" s="3" t="s">
        <v>1016</v>
      </c>
      <c r="E680" s="3">
        <v>188</v>
      </c>
      <c r="F680" s="3"/>
      <c r="G680" s="3" t="s">
        <v>41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5">
        <v>43000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5">
        <v>6847</v>
      </c>
      <c r="X680" s="3">
        <v>0</v>
      </c>
      <c r="Y680" s="3">
        <v>0</v>
      </c>
      <c r="Z680" s="3">
        <v>0</v>
      </c>
      <c r="AA680" s="5">
        <v>14000</v>
      </c>
      <c r="AB680" s="6">
        <v>63847</v>
      </c>
      <c r="AD680" s="2" t="str">
        <f>VLOOKUP(E680,'[1]Detailed Transfer Report (12)'!$K:$Y,14,FALSE)</f>
        <v>Sardar Tanveer Ilyas</v>
      </c>
      <c r="AE680" s="16"/>
    </row>
    <row r="681" spans="1:31" x14ac:dyDescent="0.25">
      <c r="A681" s="3">
        <v>333</v>
      </c>
      <c r="B681" s="4">
        <v>43258</v>
      </c>
      <c r="C681" s="3" t="s">
        <v>824</v>
      </c>
      <c r="D681" s="3" t="s">
        <v>1017</v>
      </c>
      <c r="E681" s="3">
        <v>187</v>
      </c>
      <c r="F681" s="3"/>
      <c r="G681" s="3" t="s">
        <v>41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5">
        <v>22000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500</v>
      </c>
      <c r="W681" s="5">
        <v>4439</v>
      </c>
      <c r="X681" s="3">
        <v>0</v>
      </c>
      <c r="Y681" s="3">
        <v>0</v>
      </c>
      <c r="Z681" s="3">
        <v>0</v>
      </c>
      <c r="AA681" s="5">
        <v>7000</v>
      </c>
      <c r="AB681" s="6">
        <v>33939</v>
      </c>
      <c r="AD681" s="2" t="str">
        <f>VLOOKUP(E681,'[1]Detailed Transfer Report (12)'!$K:$Y,14,FALSE)</f>
        <v>Sardar Tanveer Ilyas</v>
      </c>
      <c r="AE681" s="16"/>
    </row>
    <row r="682" spans="1:31" ht="57" x14ac:dyDescent="0.25">
      <c r="A682" s="3">
        <v>334</v>
      </c>
      <c r="B682" s="4">
        <v>43258</v>
      </c>
      <c r="C682" s="3" t="s">
        <v>153</v>
      </c>
      <c r="D682" s="3" t="s">
        <v>1018</v>
      </c>
      <c r="E682" s="3" t="s">
        <v>1019</v>
      </c>
      <c r="F682" s="3"/>
      <c r="G682" s="3" t="s">
        <v>30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8">
        <v>0</v>
      </c>
      <c r="AC682" s="2" t="str">
        <f>VLOOKUP(E682,'[1]Detailed Transfer Report (12)'!$K:$Y,13,FALSE)</f>
        <v>Jamshaid Khan</v>
      </c>
      <c r="AD682" s="2" t="str">
        <f>VLOOKUP(E682,'[1]Detailed Transfer Report (12)'!$K:$Y,14,FALSE)</f>
        <v>Sardar Tanveer Ilyas</v>
      </c>
      <c r="AE682" s="16"/>
    </row>
    <row r="683" spans="1:31" x14ac:dyDescent="0.25">
      <c r="A683" s="3">
        <v>335</v>
      </c>
      <c r="B683" s="4">
        <v>43281</v>
      </c>
      <c r="C683" s="3" t="s">
        <v>308</v>
      </c>
      <c r="D683" s="3" t="s">
        <v>1020</v>
      </c>
      <c r="E683" s="3">
        <v>3083</v>
      </c>
      <c r="F683" s="3">
        <v>16123</v>
      </c>
      <c r="G683" s="3" t="s">
        <v>30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8">
        <v>0</v>
      </c>
      <c r="AC683" s="2" t="str">
        <f>VLOOKUP(E683,'[1]Detailed Transfer Report (12)'!$K:$Y,13,FALSE)</f>
        <v>Rukia Beghum</v>
      </c>
      <c r="AD683" s="2" t="str">
        <f>VLOOKUP(E683,'[1]Detailed Transfer Report (12)'!$K:$Y,14,FALSE)</f>
        <v>Sardar Tanveer Ilyas</v>
      </c>
      <c r="AE683" s="16">
        <f>VLOOKUP(E683,'[1]Detailed Transfer Report (12)'!$K:$Y,15,FALSE)</f>
        <v>43284</v>
      </c>
    </row>
    <row r="684" spans="1:31" x14ac:dyDescent="0.25">
      <c r="A684" s="3">
        <v>336</v>
      </c>
      <c r="B684" s="4">
        <v>43370</v>
      </c>
      <c r="C684" s="3" t="s">
        <v>1021</v>
      </c>
      <c r="D684" s="3" t="s">
        <v>1022</v>
      </c>
      <c r="E684" s="3">
        <v>1218</v>
      </c>
      <c r="F684" s="3"/>
      <c r="G684" s="3" t="s">
        <v>30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5">
        <v>800000</v>
      </c>
      <c r="N684" s="5">
        <v>1201000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5">
        <v>119850</v>
      </c>
      <c r="X684" s="3">
        <v>0</v>
      </c>
      <c r="Y684" s="3">
        <v>0</v>
      </c>
      <c r="Z684" s="3">
        <v>0</v>
      </c>
      <c r="AA684" s="5">
        <v>400000</v>
      </c>
      <c r="AB684" s="6">
        <v>2520850</v>
      </c>
      <c r="AD684" s="2" t="str">
        <f>VLOOKUP(E684,'[1]Detailed Transfer Report (12)'!$K:$Y,14,FALSE)</f>
        <v>Sardar Tanveer Ilyas</v>
      </c>
      <c r="AE684" s="16"/>
    </row>
    <row r="685" spans="1:31" x14ac:dyDescent="0.25">
      <c r="A685" s="3">
        <v>337</v>
      </c>
      <c r="B685" s="4">
        <v>43287</v>
      </c>
      <c r="C685" s="3" t="s">
        <v>1023</v>
      </c>
      <c r="D685" s="3" t="s">
        <v>1024</v>
      </c>
      <c r="E685" s="3">
        <v>1282</v>
      </c>
      <c r="F685" s="3"/>
      <c r="G685" s="3" t="s">
        <v>30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5">
        <v>40000</v>
      </c>
      <c r="N685" s="5">
        <v>61000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5">
        <v>8547</v>
      </c>
      <c r="X685" s="3">
        <v>0</v>
      </c>
      <c r="Y685" s="3">
        <v>0</v>
      </c>
      <c r="Z685" s="3">
        <v>0</v>
      </c>
      <c r="AA685" s="5">
        <v>20000</v>
      </c>
      <c r="AB685" s="6">
        <v>129547</v>
      </c>
      <c r="AD685" s="2" t="str">
        <f>VLOOKUP(E685,'[1]Detailed Transfer Report (12)'!$K:$Y,14,FALSE)</f>
        <v>Sardar Tanveer Ilyas</v>
      </c>
      <c r="AE685" s="16"/>
    </row>
    <row r="686" spans="1:31" x14ac:dyDescent="0.25">
      <c r="A686" s="3">
        <v>338</v>
      </c>
      <c r="B686" s="4">
        <v>43391</v>
      </c>
      <c r="C686" s="3" t="s">
        <v>363</v>
      </c>
      <c r="D686" s="3" t="s">
        <v>1025</v>
      </c>
      <c r="E686" s="3">
        <v>1543</v>
      </c>
      <c r="F686" s="3"/>
      <c r="G686" s="3" t="s">
        <v>30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5">
        <v>140000</v>
      </c>
      <c r="N686" s="5">
        <v>211000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5">
        <v>29750</v>
      </c>
      <c r="X686" s="3">
        <v>0</v>
      </c>
      <c r="Y686" s="3">
        <v>0</v>
      </c>
      <c r="Z686" s="3">
        <v>0</v>
      </c>
      <c r="AA686" s="5">
        <v>70000</v>
      </c>
      <c r="AB686" s="6">
        <v>450750</v>
      </c>
      <c r="AD686" s="2" t="str">
        <f>VLOOKUP(E686,'[1]Detailed Transfer Report (12)'!$K:$Y,14,FALSE)</f>
        <v>Sardar Tanveer Ilyas</v>
      </c>
      <c r="AE686" s="16"/>
    </row>
    <row r="687" spans="1:31" x14ac:dyDescent="0.25">
      <c r="A687" s="7">
        <v>339</v>
      </c>
      <c r="B687" s="4">
        <v>43290</v>
      </c>
      <c r="C687" s="3" t="s">
        <v>1026</v>
      </c>
      <c r="D687" s="3" t="s">
        <v>1027</v>
      </c>
      <c r="E687" s="3">
        <v>1284</v>
      </c>
      <c r="F687" s="3"/>
      <c r="G687" s="3" t="s">
        <v>30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5">
        <v>40000</v>
      </c>
      <c r="N687" s="5">
        <v>61000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5">
        <v>8547</v>
      </c>
      <c r="X687" s="3">
        <v>0</v>
      </c>
      <c r="Y687" s="3">
        <v>0</v>
      </c>
      <c r="Z687" s="3">
        <v>0</v>
      </c>
      <c r="AA687" s="5">
        <v>20000</v>
      </c>
      <c r="AB687" s="6">
        <v>129547</v>
      </c>
      <c r="AD687" s="2" t="str">
        <f>VLOOKUP(E687,'[1]Detailed Transfer Report (12)'!$K:$Y,14,FALSE)</f>
        <v>Sardar Tanveer Ilyas</v>
      </c>
      <c r="AE687" s="16"/>
    </row>
    <row r="688" spans="1:31" x14ac:dyDescent="0.25">
      <c r="A688" s="10">
        <v>339</v>
      </c>
      <c r="B688" s="4">
        <v>43290</v>
      </c>
      <c r="C688" s="3" t="s">
        <v>1028</v>
      </c>
      <c r="D688" s="3" t="s">
        <v>1029</v>
      </c>
      <c r="E688" s="3">
        <v>1287</v>
      </c>
      <c r="F688" s="3"/>
      <c r="G688" s="3" t="s">
        <v>30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5">
        <v>28000</v>
      </c>
      <c r="N688" s="5">
        <v>43000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5">
        <v>22761</v>
      </c>
      <c r="X688" s="3">
        <v>0</v>
      </c>
      <c r="Y688" s="3">
        <v>0</v>
      </c>
      <c r="Z688" s="3">
        <v>0</v>
      </c>
      <c r="AA688" s="5">
        <v>14000</v>
      </c>
      <c r="AB688" s="6">
        <v>237308</v>
      </c>
      <c r="AD688" s="2" t="str">
        <f>VLOOKUP(E688,'[1]Detailed Transfer Report (12)'!$K:$Y,14,FALSE)</f>
        <v>Sardar Tanveer Ilyas</v>
      </c>
      <c r="AE688" s="16"/>
    </row>
    <row r="689" spans="1:31" x14ac:dyDescent="0.25">
      <c r="A689" s="3">
        <v>340</v>
      </c>
      <c r="B689" s="4">
        <v>43290</v>
      </c>
      <c r="C689" s="3" t="s">
        <v>153</v>
      </c>
      <c r="D689" s="3" t="s">
        <v>1030</v>
      </c>
      <c r="E689" s="3">
        <v>1286</v>
      </c>
      <c r="F689" s="3"/>
      <c r="G689" s="3" t="s">
        <v>30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5">
        <v>3000</v>
      </c>
      <c r="N689" s="5">
        <v>5500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5">
        <v>2125</v>
      </c>
      <c r="X689" s="3">
        <v>0</v>
      </c>
      <c r="Y689" s="3">
        <v>0</v>
      </c>
      <c r="Z689" s="3">
        <v>0</v>
      </c>
      <c r="AA689" s="5">
        <v>1500</v>
      </c>
      <c r="AB689" s="6">
        <v>12125</v>
      </c>
      <c r="AD689" s="2" t="str">
        <f>VLOOKUP(E689,'[1]Detailed Transfer Report (12)'!$K:$Y,14,FALSE)</f>
        <v>Sardar Tanveer Ilyas</v>
      </c>
      <c r="AE689" s="16"/>
    </row>
    <row r="690" spans="1:31" x14ac:dyDescent="0.25">
      <c r="A690" s="7">
        <v>342</v>
      </c>
      <c r="B690" s="4">
        <v>43314</v>
      </c>
      <c r="C690" s="3" t="s">
        <v>46</v>
      </c>
      <c r="D690" s="3" t="s">
        <v>1031</v>
      </c>
      <c r="E690" s="3">
        <v>1128</v>
      </c>
      <c r="F690" s="3"/>
      <c r="G690" s="3" t="s">
        <v>30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5">
        <v>128000</v>
      </c>
      <c r="N690" s="5">
        <v>193000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5">
        <v>17000</v>
      </c>
      <c r="X690" s="3">
        <v>0</v>
      </c>
      <c r="Y690" s="3">
        <v>0</v>
      </c>
      <c r="Z690" s="3">
        <v>0</v>
      </c>
      <c r="AA690" s="5">
        <v>64000</v>
      </c>
      <c r="AB690" s="6">
        <v>402000</v>
      </c>
      <c r="AD690" s="2" t="str">
        <f>VLOOKUP(E690,'[1]Detailed Transfer Report (12)'!$K:$Y,14,FALSE)</f>
        <v>Sardar Tanveer Ilyas</v>
      </c>
      <c r="AE690" s="16"/>
    </row>
    <row r="691" spans="1:31" x14ac:dyDescent="0.25">
      <c r="A691" s="10">
        <v>342</v>
      </c>
      <c r="B691" s="4">
        <v>43314</v>
      </c>
      <c r="C691" s="3" t="s">
        <v>141</v>
      </c>
      <c r="D691" s="3" t="s">
        <v>1032</v>
      </c>
      <c r="E691" s="3">
        <v>1320</v>
      </c>
      <c r="F691" s="3"/>
      <c r="G691" s="3" t="s">
        <v>30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5">
        <v>192000</v>
      </c>
      <c r="N691" s="5">
        <v>289000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5">
        <v>25500</v>
      </c>
      <c r="X691" s="3">
        <v>0</v>
      </c>
      <c r="Y691" s="3">
        <v>0</v>
      </c>
      <c r="Z691" s="3">
        <v>0</v>
      </c>
      <c r="AA691" s="5">
        <v>96000</v>
      </c>
      <c r="AB691" s="6">
        <v>1004500</v>
      </c>
      <c r="AD691" s="2" t="str">
        <f>VLOOKUP(E691,'[1]Detailed Transfer Report (12)'!$K:$Y,14,FALSE)</f>
        <v>Sardar Tanveer Ilyas</v>
      </c>
      <c r="AE691" s="16"/>
    </row>
    <row r="692" spans="1:31" x14ac:dyDescent="0.25">
      <c r="A692" s="7">
        <v>343</v>
      </c>
      <c r="B692" s="4">
        <v>43399</v>
      </c>
      <c r="C692" s="3" t="s">
        <v>153</v>
      </c>
      <c r="D692" s="3" t="s">
        <v>1033</v>
      </c>
      <c r="E692" s="3">
        <v>1281</v>
      </c>
      <c r="F692" s="3"/>
      <c r="G692" s="3" t="s">
        <v>30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8">
        <v>0</v>
      </c>
      <c r="AD692" s="2" t="str">
        <f>VLOOKUP(E692,'[1]Detailed Transfer Report (12)'!$K:$Y,14,FALSE)</f>
        <v>Sardar Tanveer Ilyas</v>
      </c>
      <c r="AE692" s="16"/>
    </row>
    <row r="693" spans="1:31" x14ac:dyDescent="0.25">
      <c r="A693" s="10">
        <v>343</v>
      </c>
      <c r="B693" s="4">
        <v>43399</v>
      </c>
      <c r="C693" s="3" t="s">
        <v>205</v>
      </c>
      <c r="D693" s="3" t="s">
        <v>1034</v>
      </c>
      <c r="E693" s="3">
        <v>1327</v>
      </c>
      <c r="F693" s="3"/>
      <c r="G693" s="3" t="s">
        <v>30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5">
        <v>3000</v>
      </c>
      <c r="N693" s="5">
        <v>5500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500</v>
      </c>
      <c r="W693" s="5">
        <v>2550</v>
      </c>
      <c r="X693" s="3">
        <v>0</v>
      </c>
      <c r="Y693" s="3">
        <v>0</v>
      </c>
      <c r="Z693" s="3">
        <v>0</v>
      </c>
      <c r="AA693" s="5">
        <v>1500</v>
      </c>
      <c r="AB693" s="6">
        <v>13050</v>
      </c>
      <c r="AD693" s="2" t="str">
        <f>VLOOKUP(E693,'[1]Detailed Transfer Report (12)'!$K:$Y,14,FALSE)</f>
        <v>Sardar Tanveer Ilyas</v>
      </c>
      <c r="AE693" s="16"/>
    </row>
    <row r="694" spans="1:31" x14ac:dyDescent="0.25">
      <c r="A694" s="3">
        <v>344</v>
      </c>
      <c r="B694" s="4">
        <v>43305</v>
      </c>
      <c r="C694" s="3" t="s">
        <v>57</v>
      </c>
      <c r="D694" s="3" t="s">
        <v>1035</v>
      </c>
      <c r="E694" s="3">
        <v>216</v>
      </c>
      <c r="F694" s="3"/>
      <c r="G694" s="3" t="s">
        <v>41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8">
        <v>0</v>
      </c>
      <c r="AD694" s="2" t="str">
        <f>VLOOKUP(E694,'[1]Detailed Transfer Report (12)'!$K:$Y,14,FALSE)</f>
        <v>Sardar Tanveer Ilyas</v>
      </c>
      <c r="AE694" s="16"/>
    </row>
    <row r="695" spans="1:31" x14ac:dyDescent="0.25">
      <c r="A695" s="3">
        <v>345</v>
      </c>
      <c r="B695" s="4">
        <v>43320</v>
      </c>
      <c r="C695" s="3" t="s">
        <v>137</v>
      </c>
      <c r="D695" s="3" t="s">
        <v>1036</v>
      </c>
      <c r="E695" s="3">
        <v>1348</v>
      </c>
      <c r="F695" s="3"/>
      <c r="G695" s="3" t="s">
        <v>30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8">
        <v>0</v>
      </c>
      <c r="AD695" s="2" t="str">
        <f>VLOOKUP(E695,'[1]Detailed Transfer Report (12)'!$K:$Y,14,FALSE)</f>
        <v>Sardar Tanveer Ilyas</v>
      </c>
      <c r="AE695" s="16"/>
    </row>
    <row r="696" spans="1:31" x14ac:dyDescent="0.25">
      <c r="A696" s="3">
        <v>346</v>
      </c>
      <c r="B696" s="4">
        <v>43321</v>
      </c>
      <c r="C696" s="3" t="s">
        <v>153</v>
      </c>
      <c r="D696" s="3" t="s">
        <v>1037</v>
      </c>
      <c r="E696" s="3">
        <v>1354</v>
      </c>
      <c r="F696" s="3"/>
      <c r="G696" s="3" t="s">
        <v>30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8">
        <v>0</v>
      </c>
      <c r="AD696" s="2" t="str">
        <f>VLOOKUP(E696,'[1]Detailed Transfer Report (12)'!$K:$Y,14,FALSE)</f>
        <v>Sardar Tanveer Ilyas</v>
      </c>
      <c r="AE696" s="16"/>
    </row>
    <row r="697" spans="1:31" x14ac:dyDescent="0.25">
      <c r="A697" s="7">
        <v>347</v>
      </c>
      <c r="B697" s="4">
        <v>43321</v>
      </c>
      <c r="C697" s="3" t="s">
        <v>84</v>
      </c>
      <c r="D697" s="3" t="s">
        <v>1038</v>
      </c>
      <c r="E697" s="3">
        <v>217</v>
      </c>
      <c r="F697" s="3"/>
      <c r="G697" s="3" t="s">
        <v>41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8">
        <v>0</v>
      </c>
      <c r="AD697" s="2" t="str">
        <f>VLOOKUP(E697,'[1]Detailed Transfer Report (12)'!$K:$Y,14,FALSE)</f>
        <v>Sardar Tanveer Ilyas</v>
      </c>
      <c r="AE697" s="16"/>
    </row>
    <row r="698" spans="1:31" x14ac:dyDescent="0.25">
      <c r="A698" s="10">
        <v>347</v>
      </c>
      <c r="B698" s="4">
        <v>43331</v>
      </c>
      <c r="C698" s="3" t="s">
        <v>84</v>
      </c>
      <c r="D698" s="3" t="s">
        <v>1038</v>
      </c>
      <c r="E698" s="3" t="s">
        <v>1039</v>
      </c>
      <c r="F698" s="3"/>
      <c r="G698" s="3" t="s">
        <v>41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8">
        <v>0</v>
      </c>
      <c r="AE698" s="16"/>
    </row>
    <row r="699" spans="1:31" x14ac:dyDescent="0.25">
      <c r="A699" s="3">
        <v>348</v>
      </c>
      <c r="B699" s="4">
        <v>43321</v>
      </c>
      <c r="C699" s="3" t="s">
        <v>199</v>
      </c>
      <c r="D699" s="3" t="s">
        <v>1040</v>
      </c>
      <c r="E699" s="3">
        <v>1361</v>
      </c>
      <c r="F699" s="3"/>
      <c r="G699" s="3" t="s">
        <v>30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8">
        <v>0</v>
      </c>
      <c r="AD699" s="2" t="str">
        <f>VLOOKUP(E699,'[1]Detailed Transfer Report (12)'!$K:$Y,14,FALSE)</f>
        <v>Sardar Tanveer Ilyas</v>
      </c>
      <c r="AE699" s="16"/>
    </row>
    <row r="700" spans="1:31" x14ac:dyDescent="0.25">
      <c r="A700" s="3">
        <v>349</v>
      </c>
      <c r="B700" s="4">
        <v>43321</v>
      </c>
      <c r="C700" s="3" t="s">
        <v>46</v>
      </c>
      <c r="D700" s="3" t="s">
        <v>1041</v>
      </c>
      <c r="E700" s="3">
        <v>1377</v>
      </c>
      <c r="F700" s="3"/>
      <c r="G700" s="3" t="s">
        <v>30</v>
      </c>
      <c r="H700" s="3">
        <v>0</v>
      </c>
      <c r="I700" s="3">
        <v>0</v>
      </c>
      <c r="J700" s="3">
        <v>0</v>
      </c>
      <c r="K700" s="3">
        <v>0</v>
      </c>
      <c r="L700" s="5">
        <v>50000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6">
        <v>50000</v>
      </c>
      <c r="AD700" s="2" t="str">
        <f>VLOOKUP(E700,'[1]Detailed Transfer Report (12)'!$K:$Y,14,FALSE)</f>
        <v>Sardar Tanveer Ilyas</v>
      </c>
      <c r="AE700" s="16"/>
    </row>
    <row r="701" spans="1:31" x14ac:dyDescent="0.25">
      <c r="A701" s="3">
        <v>350</v>
      </c>
      <c r="B701" s="4">
        <v>43325</v>
      </c>
      <c r="C701" s="3" t="s">
        <v>308</v>
      </c>
      <c r="D701" s="3" t="s">
        <v>1042</v>
      </c>
      <c r="E701" s="3">
        <v>1389</v>
      </c>
      <c r="F701" s="3"/>
      <c r="G701" s="3" t="s">
        <v>30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8">
        <v>0</v>
      </c>
      <c r="AC701" s="2" t="str">
        <f>VLOOKUP(E701,'[1]Detailed Transfer Report (12)'!$K:$Y,13,FALSE)</f>
        <v>Ghulab Jan</v>
      </c>
      <c r="AD701" s="2" t="str">
        <f>VLOOKUP(E701,'[1]Detailed Transfer Report (12)'!$K:$Y,14,FALSE)</f>
        <v>Sardar Tanveer Ilyas</v>
      </c>
      <c r="AE701" s="16"/>
    </row>
    <row r="702" spans="1:31" x14ac:dyDescent="0.25">
      <c r="A702" s="3">
        <v>352</v>
      </c>
      <c r="B702" s="4">
        <v>43332</v>
      </c>
      <c r="C702" s="3" t="s">
        <v>1043</v>
      </c>
      <c r="D702" s="3" t="s">
        <v>1044</v>
      </c>
      <c r="E702" s="3">
        <v>221</v>
      </c>
      <c r="F702" s="3"/>
      <c r="G702" s="3" t="s">
        <v>41</v>
      </c>
      <c r="H702" s="3">
        <v>0</v>
      </c>
      <c r="I702" s="3">
        <v>0</v>
      </c>
      <c r="J702" s="3">
        <v>0</v>
      </c>
      <c r="K702" s="3">
        <v>0</v>
      </c>
      <c r="L702" s="5">
        <v>4500000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6">
        <v>4500000</v>
      </c>
      <c r="AD702" s="2" t="str">
        <f>VLOOKUP(E702,'[1]Detailed Transfer Report (12)'!$K:$Y,14,FALSE)</f>
        <v>Sardar Tanveer Ilyas</v>
      </c>
      <c r="AE702" s="16"/>
    </row>
    <row r="703" spans="1:31" x14ac:dyDescent="0.25">
      <c r="A703" s="7">
        <v>353</v>
      </c>
      <c r="B703" s="4">
        <v>43370</v>
      </c>
      <c r="C703" s="3" t="s">
        <v>153</v>
      </c>
      <c r="D703" s="3" t="s">
        <v>1045</v>
      </c>
      <c r="E703" s="3">
        <v>1437</v>
      </c>
      <c r="F703" s="3"/>
      <c r="G703" s="3" t="s">
        <v>30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5">
        <v>12000</v>
      </c>
      <c r="N703" s="5">
        <v>19000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500</v>
      </c>
      <c r="W703" s="5">
        <v>2125</v>
      </c>
      <c r="X703" s="3">
        <v>0</v>
      </c>
      <c r="Y703" s="3">
        <v>0</v>
      </c>
      <c r="Z703" s="3">
        <v>0</v>
      </c>
      <c r="AA703" s="5">
        <v>6000</v>
      </c>
      <c r="AB703" s="6">
        <v>39625</v>
      </c>
      <c r="AD703" s="2" t="str">
        <f>VLOOKUP(E703,'[1]Detailed Transfer Report (12)'!$K:$Y,14,FALSE)</f>
        <v>Sardar Tanveer Ilyas</v>
      </c>
      <c r="AE703" s="16"/>
    </row>
    <row r="704" spans="1:31" x14ac:dyDescent="0.25">
      <c r="A704" s="10">
        <v>353</v>
      </c>
      <c r="B704" s="4">
        <v>43399</v>
      </c>
      <c r="C704" s="3" t="s">
        <v>153</v>
      </c>
      <c r="D704" s="3" t="s">
        <v>1046</v>
      </c>
      <c r="E704" s="3">
        <v>1549</v>
      </c>
      <c r="F704" s="3"/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5">
        <v>12000</v>
      </c>
      <c r="N704" s="5">
        <v>19000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500</v>
      </c>
      <c r="W704" s="5">
        <v>2125</v>
      </c>
      <c r="X704" s="3">
        <v>0</v>
      </c>
      <c r="Y704" s="3">
        <v>0</v>
      </c>
      <c r="Z704" s="3">
        <v>0</v>
      </c>
      <c r="AA704" s="5">
        <v>6000</v>
      </c>
      <c r="AB704" s="6">
        <v>79250</v>
      </c>
      <c r="AD704" s="2" t="str">
        <f>VLOOKUP(E704,'[1]Detailed Transfer Report (12)'!$K:$Y,14,FALSE)</f>
        <v>Sardar Tanveer Ilyas</v>
      </c>
      <c r="AE704" s="16"/>
    </row>
    <row r="705" spans="1:31" x14ac:dyDescent="0.25">
      <c r="A705" s="3">
        <v>354</v>
      </c>
      <c r="B705" s="4">
        <v>43370</v>
      </c>
      <c r="C705" s="3" t="s">
        <v>46</v>
      </c>
      <c r="D705" s="3" t="s">
        <v>1047</v>
      </c>
      <c r="E705" s="3">
        <v>1414</v>
      </c>
      <c r="F705" s="3"/>
      <c r="G705" s="3" t="s">
        <v>30</v>
      </c>
      <c r="H705" s="3">
        <v>0</v>
      </c>
      <c r="I705" s="3">
        <v>0</v>
      </c>
      <c r="J705" s="3">
        <v>0</v>
      </c>
      <c r="K705" s="3">
        <v>0</v>
      </c>
      <c r="L705" s="5">
        <v>200000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6">
        <v>200000</v>
      </c>
      <c r="AD705" s="2" t="str">
        <f>VLOOKUP(E705,'[1]Detailed Transfer Report (12)'!$K:$Y,14,FALSE)</f>
        <v>Sardar Tanveer Ilyas</v>
      </c>
      <c r="AE705" s="16"/>
    </row>
    <row r="706" spans="1:31" x14ac:dyDescent="0.25">
      <c r="A706" s="7">
        <v>355</v>
      </c>
      <c r="B706" s="4">
        <v>43370</v>
      </c>
      <c r="C706" s="3" t="s">
        <v>581</v>
      </c>
      <c r="D706" s="3" t="s">
        <v>1048</v>
      </c>
      <c r="E706" s="3">
        <v>1454</v>
      </c>
      <c r="F706" s="3"/>
      <c r="G706" s="3" t="s">
        <v>30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5">
        <v>30000</v>
      </c>
      <c r="N706" s="5">
        <v>46000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5">
        <v>5100</v>
      </c>
      <c r="X706" s="3">
        <v>0</v>
      </c>
      <c r="Y706" s="3">
        <v>0</v>
      </c>
      <c r="Z706" s="3">
        <v>0</v>
      </c>
      <c r="AA706" s="5">
        <v>15000</v>
      </c>
      <c r="AB706" s="6">
        <v>96100</v>
      </c>
      <c r="AD706" s="2" t="str">
        <f>VLOOKUP(E706,'[1]Detailed Transfer Report (12)'!$K:$Y,14,FALSE)</f>
        <v>Sardar Tanveer Ilyas</v>
      </c>
      <c r="AE706" s="16"/>
    </row>
    <row r="707" spans="1:31" x14ac:dyDescent="0.25">
      <c r="A707" s="10">
        <v>355</v>
      </c>
      <c r="B707" s="4">
        <v>43399</v>
      </c>
      <c r="C707" s="3" t="s">
        <v>536</v>
      </c>
      <c r="D707" s="3" t="s">
        <v>1049</v>
      </c>
      <c r="E707" s="3">
        <v>1544</v>
      </c>
      <c r="F707" s="3"/>
      <c r="G707" s="3" t="s">
        <v>30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5">
        <v>8000</v>
      </c>
      <c r="N707" s="5">
        <v>13000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500</v>
      </c>
      <c r="W707" s="5">
        <v>1275</v>
      </c>
      <c r="X707" s="3">
        <v>0</v>
      </c>
      <c r="Y707" s="3">
        <v>0</v>
      </c>
      <c r="Z707" s="3">
        <v>0</v>
      </c>
      <c r="AA707" s="5">
        <v>4000</v>
      </c>
      <c r="AB707" s="6">
        <v>122875</v>
      </c>
      <c r="AD707" s="2" t="str">
        <f>VLOOKUP(E707,'[1]Detailed Transfer Report (12)'!$K:$Y,14,FALSE)</f>
        <v>Sardar Tanveer Ilyas</v>
      </c>
      <c r="AE707" s="16"/>
    </row>
    <row r="708" spans="1:31" x14ac:dyDescent="0.25">
      <c r="A708" s="3">
        <v>356</v>
      </c>
      <c r="B708" s="4">
        <v>43356</v>
      </c>
      <c r="C708" s="3" t="s">
        <v>1050</v>
      </c>
      <c r="D708" s="3" t="s">
        <v>1051</v>
      </c>
      <c r="E708" s="3">
        <v>1384</v>
      </c>
      <c r="F708" s="3"/>
      <c r="G708" s="3" t="s">
        <v>30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8">
        <v>0</v>
      </c>
      <c r="AD708" s="2" t="str">
        <f>VLOOKUP(E708,'[1]Detailed Transfer Report (12)'!$K:$Y,14,FALSE)</f>
        <v>Sardar Tanveer Ilyas</v>
      </c>
      <c r="AE708" s="16"/>
    </row>
    <row r="709" spans="1:31" x14ac:dyDescent="0.25">
      <c r="A709" s="7">
        <v>357</v>
      </c>
      <c r="B709" s="4">
        <v>43399</v>
      </c>
      <c r="C709" s="3" t="s">
        <v>1052</v>
      </c>
      <c r="D709" s="3" t="s">
        <v>1053</v>
      </c>
      <c r="E709" s="3">
        <v>246</v>
      </c>
      <c r="F709" s="3"/>
      <c r="G709" s="3" t="s">
        <v>41</v>
      </c>
      <c r="H709" s="3">
        <v>0</v>
      </c>
      <c r="I709" s="3">
        <v>0</v>
      </c>
      <c r="J709" s="3">
        <v>0</v>
      </c>
      <c r="K709" s="3">
        <v>0</v>
      </c>
      <c r="L709" s="5">
        <v>292500</v>
      </c>
      <c r="M709" s="3">
        <v>0</v>
      </c>
      <c r="N709" s="5">
        <v>286000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500</v>
      </c>
      <c r="W709" s="5">
        <v>43350</v>
      </c>
      <c r="X709" s="3">
        <v>0</v>
      </c>
      <c r="Y709" s="3">
        <v>0</v>
      </c>
      <c r="Z709" s="3">
        <v>0</v>
      </c>
      <c r="AA709" s="5">
        <v>95000</v>
      </c>
      <c r="AB709" s="6">
        <v>717350</v>
      </c>
      <c r="AD709" s="2" t="str">
        <f>VLOOKUP(E709,'[1]Detailed Transfer Report (12)'!$K:$Y,14,FALSE)</f>
        <v>Sardar Tanveer Ilyas</v>
      </c>
      <c r="AE709" s="16"/>
    </row>
    <row r="710" spans="1:31" x14ac:dyDescent="0.25">
      <c r="A710" s="10">
        <v>357</v>
      </c>
      <c r="B710" s="4">
        <v>46077</v>
      </c>
      <c r="C710" s="3" t="s">
        <v>1054</v>
      </c>
      <c r="D710" s="3" t="s">
        <v>822</v>
      </c>
      <c r="E710" s="3">
        <v>1569</v>
      </c>
      <c r="F710" s="3"/>
      <c r="G710" s="3" t="s">
        <v>30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6">
        <v>717350</v>
      </c>
      <c r="AC710" s="2" t="str">
        <f>VLOOKUP(E710,'[1]Detailed Transfer Report (12)'!$K:$Y,13,FALSE)</f>
        <v>Fazal Akram</v>
      </c>
      <c r="AD710" s="2" t="str">
        <f>VLOOKUP(E710,'[1]Detailed Transfer Report (12)'!$K:$Y,14,FALSE)</f>
        <v>Sardar Tanveer Ilyas</v>
      </c>
      <c r="AE710" s="16"/>
    </row>
    <row r="711" spans="1:31" x14ac:dyDescent="0.25">
      <c r="A711" s="3">
        <v>358</v>
      </c>
      <c r="B711" s="4">
        <v>43376</v>
      </c>
      <c r="C711" s="3" t="s">
        <v>1055</v>
      </c>
      <c r="D711" s="3" t="s">
        <v>1056</v>
      </c>
      <c r="E711" s="3">
        <v>248</v>
      </c>
      <c r="F711" s="3"/>
      <c r="G711" s="3" t="s">
        <v>30</v>
      </c>
      <c r="H711" s="3">
        <v>0</v>
      </c>
      <c r="I711" s="3">
        <v>0</v>
      </c>
      <c r="J711" s="3">
        <v>0</v>
      </c>
      <c r="K711" s="3">
        <v>0</v>
      </c>
      <c r="L711" s="5">
        <v>30000</v>
      </c>
      <c r="M711" s="5">
        <v>10000</v>
      </c>
      <c r="N711" s="5">
        <v>16000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5">
        <v>1700</v>
      </c>
      <c r="X711" s="3">
        <v>0</v>
      </c>
      <c r="Y711" s="3">
        <v>0</v>
      </c>
      <c r="Z711" s="3">
        <v>0</v>
      </c>
      <c r="AA711" s="5">
        <v>5000</v>
      </c>
      <c r="AB711" s="6">
        <v>62700</v>
      </c>
      <c r="AD711" s="2" t="str">
        <f>VLOOKUP(E711,'[1]Detailed Transfer Report (12)'!$K:$Y,14,FALSE)</f>
        <v>Sardar Tanveer Ilyas</v>
      </c>
      <c r="AE711" s="16"/>
    </row>
    <row r="712" spans="1:31" x14ac:dyDescent="0.25">
      <c r="A712" s="3">
        <v>359</v>
      </c>
      <c r="B712" s="4">
        <v>43376</v>
      </c>
      <c r="C712" s="3" t="s">
        <v>153</v>
      </c>
      <c r="D712" s="3" t="s">
        <v>1057</v>
      </c>
      <c r="E712" s="3">
        <v>1470</v>
      </c>
      <c r="F712" s="3"/>
      <c r="G712" s="3" t="s">
        <v>30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8">
        <v>0</v>
      </c>
      <c r="AE712" s="16"/>
    </row>
    <row r="713" spans="1:31" x14ac:dyDescent="0.25">
      <c r="A713" s="7">
        <v>360</v>
      </c>
      <c r="B713" s="4">
        <v>45197</v>
      </c>
      <c r="C713" s="3" t="s">
        <v>672</v>
      </c>
      <c r="D713" s="3" t="s">
        <v>822</v>
      </c>
      <c r="E713" s="3">
        <v>1398</v>
      </c>
      <c r="F713" s="3"/>
      <c r="G713" s="3" t="s">
        <v>30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8">
        <v>0</v>
      </c>
      <c r="AC713" s="2" t="str">
        <f>VLOOKUP(E713,'[1]Detailed Transfer Report (12)'!$K:$Y,13,FALSE)</f>
        <v>Iftikhar Ahmed</v>
      </c>
      <c r="AD713" s="2" t="str">
        <f>VLOOKUP(E713,'[1]Detailed Transfer Report (12)'!$K:$Y,14,FALSE)</f>
        <v>Sardar Tanveer Ilyas</v>
      </c>
      <c r="AE713" s="16"/>
    </row>
    <row r="714" spans="1:31" x14ac:dyDescent="0.25">
      <c r="A714" s="9">
        <v>360</v>
      </c>
      <c r="B714" s="4">
        <v>45197</v>
      </c>
      <c r="C714" s="3" t="s">
        <v>137</v>
      </c>
      <c r="D714" s="3" t="s">
        <v>822</v>
      </c>
      <c r="E714" s="3">
        <v>1472</v>
      </c>
      <c r="F714" s="3"/>
      <c r="G714" s="3" t="s">
        <v>30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8">
        <v>0</v>
      </c>
      <c r="AC714" s="2" t="str">
        <f>VLOOKUP(E714,'[1]Detailed Transfer Report (12)'!$K:$Y,13,FALSE)</f>
        <v>Liaqat Ali</v>
      </c>
      <c r="AD714" s="2" t="str">
        <f>VLOOKUP(E714,'[1]Detailed Transfer Report (12)'!$K:$Y,14,FALSE)</f>
        <v>Sardar Tanveer Ilyas</v>
      </c>
      <c r="AE714" s="16"/>
    </row>
    <row r="715" spans="1:31" x14ac:dyDescent="0.25">
      <c r="A715" s="10">
        <v>360</v>
      </c>
      <c r="B715" s="4">
        <v>45197</v>
      </c>
      <c r="C715" s="3" t="s">
        <v>1058</v>
      </c>
      <c r="D715" s="3" t="s">
        <v>822</v>
      </c>
      <c r="E715" s="3">
        <v>1473</v>
      </c>
      <c r="F715" s="3"/>
      <c r="G715" s="3" t="s">
        <v>30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8">
        <v>0</v>
      </c>
      <c r="AC715" s="2" t="str">
        <f>VLOOKUP(E715,'[1]Detailed Transfer Report (12)'!$K:$Y,13,FALSE)</f>
        <v>Tariq Altaf</v>
      </c>
      <c r="AD715" s="2" t="str">
        <f>VLOOKUP(E715,'[1]Detailed Transfer Report (12)'!$K:$Y,14,FALSE)</f>
        <v>Sardar Tanveer Ilyas</v>
      </c>
      <c r="AE715" s="16"/>
    </row>
    <row r="716" spans="1:31" x14ac:dyDescent="0.25">
      <c r="A716" s="3">
        <v>361</v>
      </c>
      <c r="B716" s="4">
        <v>43399</v>
      </c>
      <c r="C716" s="3" t="s">
        <v>1059</v>
      </c>
      <c r="D716" s="3" t="s">
        <v>1060</v>
      </c>
      <c r="E716" s="3">
        <v>1516</v>
      </c>
      <c r="F716" s="3"/>
      <c r="G716" s="3" t="s">
        <v>30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5">
        <v>412000</v>
      </c>
      <c r="N716" s="5">
        <v>619000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5">
        <v>74800</v>
      </c>
      <c r="X716" s="3">
        <v>0</v>
      </c>
      <c r="Y716" s="3">
        <v>0</v>
      </c>
      <c r="Z716" s="3">
        <v>0</v>
      </c>
      <c r="AA716" s="5">
        <v>206000</v>
      </c>
      <c r="AB716" s="6">
        <v>1311800</v>
      </c>
      <c r="AD716" s="2" t="str">
        <f>VLOOKUP(E716,'[1]Detailed Transfer Report (12)'!$K:$Y,14,FALSE)</f>
        <v>Sardar Tanveer Ilyas</v>
      </c>
      <c r="AE716" s="16"/>
    </row>
    <row r="717" spans="1:31" x14ac:dyDescent="0.25">
      <c r="A717" s="3">
        <v>362</v>
      </c>
      <c r="B717" s="4">
        <v>43399</v>
      </c>
      <c r="C717" s="3" t="s">
        <v>153</v>
      </c>
      <c r="D717" s="3" t="s">
        <v>1061</v>
      </c>
      <c r="E717" s="3">
        <v>1532</v>
      </c>
      <c r="F717" s="3"/>
      <c r="G717" s="3" t="s">
        <v>30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5">
        <v>12000</v>
      </c>
      <c r="N717" s="5">
        <v>19000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500</v>
      </c>
      <c r="W717" s="5">
        <v>2125</v>
      </c>
      <c r="X717" s="3">
        <v>0</v>
      </c>
      <c r="Y717" s="3">
        <v>0</v>
      </c>
      <c r="Z717" s="3">
        <v>0</v>
      </c>
      <c r="AA717" s="5">
        <v>6000</v>
      </c>
      <c r="AB717" s="6">
        <v>39625</v>
      </c>
      <c r="AD717" s="2" t="str">
        <f>VLOOKUP(E717,'[1]Detailed Transfer Report (12)'!$K:$Y,14,FALSE)</f>
        <v>Sardar Tanveer Ilyas</v>
      </c>
      <c r="AE717" s="16"/>
    </row>
    <row r="718" spans="1:31" x14ac:dyDescent="0.25">
      <c r="A718" s="3">
        <v>364</v>
      </c>
      <c r="B718" s="4">
        <v>43399</v>
      </c>
      <c r="C718" s="3" t="s">
        <v>943</v>
      </c>
      <c r="D718" s="3" t="s">
        <v>1062</v>
      </c>
      <c r="E718" s="3">
        <v>244</v>
      </c>
      <c r="F718" s="3"/>
      <c r="G718" s="3" t="s">
        <v>41</v>
      </c>
      <c r="H718" s="3">
        <v>0</v>
      </c>
      <c r="I718" s="3">
        <v>0</v>
      </c>
      <c r="J718" s="3">
        <v>0</v>
      </c>
      <c r="K718" s="3">
        <v>0</v>
      </c>
      <c r="L718" s="5">
        <v>60000</v>
      </c>
      <c r="M718" s="3">
        <v>0</v>
      </c>
      <c r="N718" s="5">
        <v>61000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500</v>
      </c>
      <c r="W718" s="5">
        <v>9492</v>
      </c>
      <c r="X718" s="3">
        <v>0</v>
      </c>
      <c r="Y718" s="3">
        <v>0</v>
      </c>
      <c r="Z718" s="3">
        <v>0</v>
      </c>
      <c r="AA718" s="5">
        <v>20000</v>
      </c>
      <c r="AB718" s="6">
        <v>150992</v>
      </c>
      <c r="AD718" s="2" t="str">
        <f>VLOOKUP(E718,'[1]Detailed Transfer Report (12)'!$K:$Y,14,FALSE)</f>
        <v>Sardar Tanveer Ilyas</v>
      </c>
      <c r="AE718" s="16"/>
    </row>
    <row r="719" spans="1:31" x14ac:dyDescent="0.25">
      <c r="A719" s="7">
        <v>365</v>
      </c>
      <c r="B719" s="4">
        <v>43375</v>
      </c>
      <c r="C719" s="3" t="s">
        <v>1063</v>
      </c>
      <c r="D719" s="3" t="s">
        <v>1064</v>
      </c>
      <c r="E719" s="3">
        <v>237</v>
      </c>
      <c r="F719" s="3"/>
      <c r="G719" s="3" t="s">
        <v>41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5">
        <v>1860250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500</v>
      </c>
      <c r="U719" s="3">
        <v>0</v>
      </c>
      <c r="V719" s="3">
        <v>0</v>
      </c>
      <c r="W719" s="5">
        <v>284372</v>
      </c>
      <c r="X719" s="3">
        <v>0</v>
      </c>
      <c r="Y719" s="3">
        <v>0</v>
      </c>
      <c r="Z719" s="3">
        <v>0</v>
      </c>
      <c r="AA719" s="5">
        <v>619750</v>
      </c>
      <c r="AB719" s="6">
        <v>2764872</v>
      </c>
      <c r="AD719" s="2" t="str">
        <f>VLOOKUP(E719,'[1]Detailed Transfer Report (12)'!$K:$Y,14,FALSE)</f>
        <v>Sardar Tanveer Ilyas</v>
      </c>
      <c r="AE719" s="16"/>
    </row>
    <row r="720" spans="1:31" x14ac:dyDescent="0.25">
      <c r="A720" s="9">
        <v>365</v>
      </c>
      <c r="B720" s="4">
        <v>43375</v>
      </c>
      <c r="C720" s="3" t="s">
        <v>1065</v>
      </c>
      <c r="D720" s="3" t="s">
        <v>1064</v>
      </c>
      <c r="E720" s="3"/>
      <c r="F720" s="3"/>
      <c r="G720" s="3" t="s">
        <v>41</v>
      </c>
      <c r="H720" s="3">
        <v>0</v>
      </c>
      <c r="I720" s="3">
        <v>0</v>
      </c>
      <c r="J720" s="3">
        <v>0</v>
      </c>
      <c r="K720" s="3">
        <v>0</v>
      </c>
      <c r="L720" s="5">
        <v>3640000</v>
      </c>
      <c r="M720" s="3">
        <v>0</v>
      </c>
      <c r="N720" s="5">
        <v>102500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5">
        <v>48119</v>
      </c>
      <c r="X720" s="3">
        <v>0</v>
      </c>
      <c r="Y720" s="3">
        <v>0</v>
      </c>
      <c r="Z720" s="3">
        <v>0</v>
      </c>
      <c r="AA720" s="5">
        <v>33500</v>
      </c>
      <c r="AB720" s="6">
        <v>6588991</v>
      </c>
      <c r="AE720" s="16"/>
    </row>
    <row r="721" spans="1:31" x14ac:dyDescent="0.25">
      <c r="A721" s="9">
        <v>365</v>
      </c>
      <c r="B721" s="4">
        <v>43375</v>
      </c>
      <c r="C721" s="3" t="s">
        <v>1066</v>
      </c>
      <c r="D721" s="3" t="s">
        <v>1064</v>
      </c>
      <c r="E721" s="3">
        <v>223</v>
      </c>
      <c r="F721" s="3"/>
      <c r="G721" s="3" t="s">
        <v>41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5">
        <v>394000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5">
        <v>222606</v>
      </c>
      <c r="X721" s="3">
        <v>0</v>
      </c>
      <c r="Y721" s="3">
        <v>0</v>
      </c>
      <c r="Z721" s="3">
        <v>0</v>
      </c>
      <c r="AA721" s="5">
        <v>131000</v>
      </c>
      <c r="AB721" s="6">
        <v>7336597</v>
      </c>
      <c r="AD721" s="2" t="str">
        <f>VLOOKUP(E721,'[1]Detailed Transfer Report (12)'!$K:$Y,14,FALSE)</f>
        <v>Sardar Tanveer Ilyas</v>
      </c>
      <c r="AE721" s="16"/>
    </row>
    <row r="722" spans="1:31" x14ac:dyDescent="0.25">
      <c r="A722" s="9">
        <v>365</v>
      </c>
      <c r="B722" s="4">
        <v>43375</v>
      </c>
      <c r="C722" s="3" t="s">
        <v>514</v>
      </c>
      <c r="D722" s="3" t="s">
        <v>1064</v>
      </c>
      <c r="E722" s="3">
        <v>236</v>
      </c>
      <c r="F722" s="3"/>
      <c r="G722" s="3" t="s">
        <v>41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5">
        <v>37250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5">
        <v>20825</v>
      </c>
      <c r="X722" s="3">
        <v>0</v>
      </c>
      <c r="Y722" s="3">
        <v>0</v>
      </c>
      <c r="Z722" s="3">
        <v>0</v>
      </c>
      <c r="AA722" s="5">
        <v>12250</v>
      </c>
      <c r="AB722" s="6">
        <v>7406922</v>
      </c>
      <c r="AD722" s="2" t="str">
        <f>VLOOKUP(E722,'[1]Detailed Transfer Report (12)'!$K:$Y,14,FALSE)</f>
        <v>Sardar Tanveer Ilyas</v>
      </c>
      <c r="AE722" s="16"/>
    </row>
    <row r="723" spans="1:31" x14ac:dyDescent="0.25">
      <c r="A723" s="10">
        <v>365</v>
      </c>
      <c r="B723" s="4">
        <v>43375</v>
      </c>
      <c r="C723" s="3" t="s">
        <v>1067</v>
      </c>
      <c r="D723" s="3" t="s">
        <v>1064</v>
      </c>
      <c r="E723" s="3">
        <v>225</v>
      </c>
      <c r="F723" s="3"/>
      <c r="G723" s="3" t="s">
        <v>41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5">
        <v>17800</v>
      </c>
      <c r="O723" s="3">
        <v>0</v>
      </c>
      <c r="P723" s="3">
        <v>0</v>
      </c>
      <c r="Q723" s="5">
        <v>25500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5">
        <v>2503</v>
      </c>
      <c r="X723" s="3">
        <v>0</v>
      </c>
      <c r="Y723" s="3">
        <v>0</v>
      </c>
      <c r="Z723" s="3">
        <v>0</v>
      </c>
      <c r="AA723" s="5">
        <v>5600</v>
      </c>
      <c r="AB723" s="6">
        <v>7458325</v>
      </c>
      <c r="AD723" s="2" t="str">
        <f>VLOOKUP(E723,'[1]Detailed Transfer Report (12)'!$K:$Y,14,FALSE)</f>
        <v>Sardar Tanveer Ilyas</v>
      </c>
      <c r="AE723" s="16"/>
    </row>
    <row r="724" spans="1:31" x14ac:dyDescent="0.25">
      <c r="A724" s="7">
        <v>366</v>
      </c>
      <c r="B724" s="4">
        <v>43281</v>
      </c>
      <c r="C724" s="3" t="s">
        <v>1068</v>
      </c>
      <c r="D724" s="3" t="s">
        <v>1069</v>
      </c>
      <c r="E724" s="3">
        <v>901</v>
      </c>
      <c r="F724" s="3"/>
      <c r="G724" s="3" t="s">
        <v>30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8">
        <v>0</v>
      </c>
      <c r="AD724" s="2" t="str">
        <f>VLOOKUP(E724,'[1]Detailed Transfer Report (12)'!$K:$Y,14,FALSE)</f>
        <v>Sardar Tanveer Ilyas</v>
      </c>
      <c r="AE724" s="16"/>
    </row>
    <row r="725" spans="1:31" x14ac:dyDescent="0.25">
      <c r="A725" s="9">
        <v>366</v>
      </c>
      <c r="B725" s="4">
        <v>43281</v>
      </c>
      <c r="C725" s="3" t="s">
        <v>377</v>
      </c>
      <c r="D725" s="3" t="s">
        <v>1070</v>
      </c>
      <c r="E725" s="3">
        <v>1349</v>
      </c>
      <c r="F725" s="3"/>
      <c r="G725" s="3" t="s">
        <v>30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8">
        <v>0</v>
      </c>
      <c r="AD725" s="2" t="str">
        <f>VLOOKUP(E725,'[1]Detailed Transfer Report (12)'!$K:$Y,14,FALSE)</f>
        <v>Sardar Tanveer Ilyas</v>
      </c>
      <c r="AE725" s="16"/>
    </row>
    <row r="726" spans="1:31" x14ac:dyDescent="0.25">
      <c r="A726" s="9">
        <v>366</v>
      </c>
      <c r="B726" s="4">
        <v>43281</v>
      </c>
      <c r="C726" s="3" t="s">
        <v>153</v>
      </c>
      <c r="D726" s="3" t="s">
        <v>1071</v>
      </c>
      <c r="E726" s="3">
        <v>1180</v>
      </c>
      <c r="F726" s="3"/>
      <c r="G726" s="3" t="s">
        <v>30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8">
        <v>0</v>
      </c>
      <c r="AD726" s="2" t="str">
        <f>VLOOKUP(E726,'[1]Detailed Transfer Report (12)'!$K:$Y,14,FALSE)</f>
        <v>Sardar Tanveer Ilyas</v>
      </c>
      <c r="AE726" s="16"/>
    </row>
    <row r="727" spans="1:31" x14ac:dyDescent="0.25">
      <c r="A727" s="9">
        <v>366</v>
      </c>
      <c r="B727" s="4">
        <v>43281</v>
      </c>
      <c r="C727" s="3" t="s">
        <v>1072</v>
      </c>
      <c r="D727" s="3" t="s">
        <v>1073</v>
      </c>
      <c r="E727" s="3">
        <v>896</v>
      </c>
      <c r="F727" s="3"/>
      <c r="G727" s="3" t="s">
        <v>30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8">
        <v>0</v>
      </c>
      <c r="AD727" s="2" t="str">
        <f>VLOOKUP(E727,'[1]Detailed Transfer Report (12)'!$K:$Y,14,FALSE)</f>
        <v>Sardar Tanveer Ilyas</v>
      </c>
      <c r="AE727" s="16"/>
    </row>
    <row r="728" spans="1:31" x14ac:dyDescent="0.25">
      <c r="A728" s="9">
        <v>366</v>
      </c>
      <c r="B728" s="4">
        <v>43281</v>
      </c>
      <c r="C728" s="3" t="s">
        <v>1074</v>
      </c>
      <c r="D728" s="3" t="s">
        <v>1075</v>
      </c>
      <c r="E728" s="3">
        <v>895</v>
      </c>
      <c r="F728" s="3"/>
      <c r="G728" s="3" t="s">
        <v>30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8">
        <v>0</v>
      </c>
      <c r="AD728" s="2" t="str">
        <f>VLOOKUP(E728,'[1]Detailed Transfer Report (12)'!$K:$Y,14,FALSE)</f>
        <v>Sardar Tanveer Ilyas</v>
      </c>
      <c r="AE728" s="16"/>
    </row>
    <row r="729" spans="1:31" x14ac:dyDescent="0.25">
      <c r="A729" s="9">
        <v>366</v>
      </c>
      <c r="B729" s="4">
        <v>43370</v>
      </c>
      <c r="C729" s="3" t="s">
        <v>1076</v>
      </c>
      <c r="D729" s="3" t="s">
        <v>1077</v>
      </c>
      <c r="E729" s="3">
        <v>6956</v>
      </c>
      <c r="F729" s="3"/>
      <c r="G729" s="3" t="s">
        <v>30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8">
        <v>0</v>
      </c>
      <c r="AD729" s="2" t="str">
        <f>VLOOKUP(E729,'[1]Detailed Transfer Report (12)'!$K:$Y,14,FALSE)</f>
        <v>Sardar Tanveer Ilyas</v>
      </c>
      <c r="AE729" s="16"/>
    </row>
    <row r="730" spans="1:31" x14ac:dyDescent="0.25">
      <c r="A730" s="9">
        <v>366</v>
      </c>
      <c r="B730" s="4">
        <v>43281</v>
      </c>
      <c r="C730" s="3" t="s">
        <v>46</v>
      </c>
      <c r="D730" s="3" t="s">
        <v>1078</v>
      </c>
      <c r="E730" s="3">
        <v>903</v>
      </c>
      <c r="F730" s="3"/>
      <c r="G730" s="3" t="s">
        <v>30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8">
        <v>0</v>
      </c>
      <c r="AD730" s="2" t="str">
        <f>VLOOKUP(E730,'[1]Detailed Transfer Report (12)'!$K:$Y,14,FALSE)</f>
        <v>Sardar Tanveer Ilyas</v>
      </c>
      <c r="AE730" s="16"/>
    </row>
    <row r="731" spans="1:31" x14ac:dyDescent="0.25">
      <c r="A731" s="10">
        <v>366</v>
      </c>
      <c r="B731" s="4">
        <v>43281</v>
      </c>
      <c r="C731" s="3" t="s">
        <v>1079</v>
      </c>
      <c r="D731" s="3" t="s">
        <v>1080</v>
      </c>
      <c r="E731" s="3">
        <v>902</v>
      </c>
      <c r="F731" s="3"/>
      <c r="G731" s="3" t="s">
        <v>30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8">
        <v>0</v>
      </c>
      <c r="AD731" s="2" t="str">
        <f>VLOOKUP(E731,'[1]Detailed Transfer Report (12)'!$K:$Y,14,FALSE)</f>
        <v>Sardar Tanveer Ilyas</v>
      </c>
      <c r="AE731" s="16"/>
    </row>
    <row r="732" spans="1:31" x14ac:dyDescent="0.25">
      <c r="A732" s="7">
        <v>367</v>
      </c>
      <c r="B732" s="4">
        <v>43200</v>
      </c>
      <c r="C732" s="3" t="s">
        <v>284</v>
      </c>
      <c r="D732" s="3" t="s">
        <v>1081</v>
      </c>
      <c r="E732" s="3">
        <v>1528</v>
      </c>
      <c r="F732" s="3"/>
      <c r="G732" s="3" t="s">
        <v>30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5">
        <v>34000</v>
      </c>
      <c r="N732" s="5">
        <v>52000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500</v>
      </c>
      <c r="W732" s="5">
        <v>5667</v>
      </c>
      <c r="X732" s="3">
        <v>0</v>
      </c>
      <c r="Y732" s="3">
        <v>0</v>
      </c>
      <c r="Z732" s="3">
        <v>0</v>
      </c>
      <c r="AA732" s="5">
        <v>17000</v>
      </c>
      <c r="AB732" s="6">
        <v>109167</v>
      </c>
      <c r="AD732" s="2" t="str">
        <f>VLOOKUP(E732,'[1]Detailed Transfer Report (12)'!$K:$Y,14,FALSE)</f>
        <v>Sardar Tanveer Ilyas</v>
      </c>
      <c r="AE732" s="16"/>
    </row>
    <row r="733" spans="1:31" x14ac:dyDescent="0.25">
      <c r="A733" s="10">
        <v>367</v>
      </c>
      <c r="B733" s="4">
        <v>43200</v>
      </c>
      <c r="C733" s="3" t="s">
        <v>1082</v>
      </c>
      <c r="D733" s="3" t="s">
        <v>1083</v>
      </c>
      <c r="E733" s="3">
        <v>1527</v>
      </c>
      <c r="F733" s="3"/>
      <c r="G733" s="3" t="s">
        <v>30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5">
        <v>60000</v>
      </c>
      <c r="N733" s="5">
        <v>91000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5">
        <v>10719</v>
      </c>
      <c r="X733" s="3">
        <v>0</v>
      </c>
      <c r="Y733" s="3">
        <v>0</v>
      </c>
      <c r="Z733" s="3">
        <v>0</v>
      </c>
      <c r="AA733" s="5">
        <v>30000</v>
      </c>
      <c r="AB733" s="6">
        <v>300886</v>
      </c>
      <c r="AD733" s="2" t="str">
        <f>VLOOKUP(E733,'[1]Detailed Transfer Report (12)'!$K:$Y,14,FALSE)</f>
        <v>Sardar Tanveer Ilyas</v>
      </c>
      <c r="AE733" s="16"/>
    </row>
    <row r="734" spans="1:31" x14ac:dyDescent="0.25">
      <c r="A734" s="3">
        <v>369</v>
      </c>
      <c r="B734" s="4">
        <v>43564</v>
      </c>
      <c r="C734" s="3" t="s">
        <v>46</v>
      </c>
      <c r="D734" s="3" t="s">
        <v>1084</v>
      </c>
      <c r="E734" s="3">
        <v>1634</v>
      </c>
      <c r="F734" s="3"/>
      <c r="G734" s="3" t="s">
        <v>30</v>
      </c>
      <c r="H734" s="3">
        <v>0</v>
      </c>
      <c r="I734" s="3">
        <v>0</v>
      </c>
      <c r="J734" s="3">
        <v>0</v>
      </c>
      <c r="K734" s="3">
        <v>0</v>
      </c>
      <c r="L734" s="5">
        <v>100000</v>
      </c>
      <c r="M734" s="5">
        <v>100000</v>
      </c>
      <c r="N734" s="5">
        <v>151000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500</v>
      </c>
      <c r="W734" s="5">
        <v>17000</v>
      </c>
      <c r="X734" s="3">
        <v>0</v>
      </c>
      <c r="Y734" s="3">
        <v>0</v>
      </c>
      <c r="Z734" s="3">
        <v>0</v>
      </c>
      <c r="AA734" s="5">
        <v>50000</v>
      </c>
      <c r="AB734" s="6">
        <v>418500</v>
      </c>
      <c r="AD734" s="2" t="str">
        <f>VLOOKUP(E734,'[1]Detailed Transfer Report (12)'!$K:$Y,14,FALSE)</f>
        <v>Sardar Tanveer Ilyas</v>
      </c>
      <c r="AE734" s="16"/>
    </row>
    <row r="735" spans="1:31" x14ac:dyDescent="0.25">
      <c r="A735" s="3">
        <v>370</v>
      </c>
      <c r="B735" s="4">
        <v>43418</v>
      </c>
      <c r="C735" s="3" t="s">
        <v>1085</v>
      </c>
      <c r="D735" s="3" t="s">
        <v>1086</v>
      </c>
      <c r="E735" s="3">
        <v>1619</v>
      </c>
      <c r="F735" s="3"/>
      <c r="G735" s="3" t="s">
        <v>30</v>
      </c>
      <c r="H735" s="3">
        <v>0</v>
      </c>
      <c r="I735" s="3">
        <v>0</v>
      </c>
      <c r="J735" s="3">
        <v>0</v>
      </c>
      <c r="K735" s="3">
        <v>0</v>
      </c>
      <c r="L735" s="5">
        <v>186000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6">
        <v>186000</v>
      </c>
      <c r="AD735" s="2" t="str">
        <f>VLOOKUP(E735,'[1]Detailed Transfer Report (12)'!$K:$Y,14,FALSE)</f>
        <v>Sardar Tanveer Ilyas</v>
      </c>
      <c r="AE735" s="16"/>
    </row>
    <row r="736" spans="1:31" x14ac:dyDescent="0.25">
      <c r="A736" s="3">
        <v>371</v>
      </c>
      <c r="B736" s="4">
        <v>43420</v>
      </c>
      <c r="C736" s="3" t="s">
        <v>44</v>
      </c>
      <c r="D736" s="3" t="s">
        <v>1087</v>
      </c>
      <c r="E736" s="3">
        <v>1631</v>
      </c>
      <c r="F736" s="3"/>
      <c r="G736" s="3" t="s">
        <v>30</v>
      </c>
      <c r="H736" s="3">
        <v>0</v>
      </c>
      <c r="I736" s="3">
        <v>0</v>
      </c>
      <c r="J736" s="3">
        <v>0</v>
      </c>
      <c r="K736" s="3">
        <v>0</v>
      </c>
      <c r="L736" s="5">
        <v>50000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6">
        <v>50000</v>
      </c>
      <c r="AD736" s="2" t="str">
        <f>VLOOKUP(E736,'[1]Detailed Transfer Report (12)'!$K:$Y,14,FALSE)</f>
        <v>Sardar Tanveer Ilyas</v>
      </c>
      <c r="AE736" s="16"/>
    </row>
    <row r="737" spans="1:31" x14ac:dyDescent="0.25">
      <c r="A737" s="3">
        <v>372</v>
      </c>
      <c r="B737" s="4">
        <v>43424</v>
      </c>
      <c r="C737" s="3" t="s">
        <v>483</v>
      </c>
      <c r="D737" s="3" t="s">
        <v>1088</v>
      </c>
      <c r="E737" s="3">
        <v>1558</v>
      </c>
      <c r="F737" s="3"/>
      <c r="G737" s="3" t="s">
        <v>30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8">
        <v>0</v>
      </c>
      <c r="AD737" s="2" t="str">
        <f>VLOOKUP(E737,'[1]Detailed Transfer Report (12)'!$K:$Y,14,FALSE)</f>
        <v>Sardar Tanveer Ilyas</v>
      </c>
      <c r="AE737" s="16"/>
    </row>
    <row r="738" spans="1:31" x14ac:dyDescent="0.25">
      <c r="A738" s="7">
        <v>374</v>
      </c>
      <c r="B738" s="4">
        <v>43424</v>
      </c>
      <c r="C738" s="3" t="s">
        <v>106</v>
      </c>
      <c r="D738" s="3" t="s">
        <v>1089</v>
      </c>
      <c r="E738" s="3">
        <v>1579</v>
      </c>
      <c r="F738" s="3"/>
      <c r="G738" s="3" t="s">
        <v>30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8">
        <v>0</v>
      </c>
      <c r="AD738" s="2" t="str">
        <f>VLOOKUP(E738,'[1]Detailed Transfer Report (12)'!$K:$Y,14,FALSE)</f>
        <v>Sardar Tanveer Ilyas</v>
      </c>
      <c r="AE738" s="16"/>
    </row>
    <row r="739" spans="1:31" x14ac:dyDescent="0.25">
      <c r="A739" s="10">
        <v>374</v>
      </c>
      <c r="B739" s="4">
        <v>43424</v>
      </c>
      <c r="C739" s="3" t="s">
        <v>139</v>
      </c>
      <c r="D739" s="3" t="s">
        <v>1090</v>
      </c>
      <c r="E739" s="3">
        <v>575</v>
      </c>
      <c r="F739" s="3">
        <v>9888</v>
      </c>
      <c r="G739" s="3" t="s">
        <v>41</v>
      </c>
      <c r="H739" s="3">
        <v>0</v>
      </c>
      <c r="I739" s="3">
        <v>0</v>
      </c>
      <c r="J739" s="5">
        <v>11500</v>
      </c>
      <c r="K739" s="3">
        <v>0</v>
      </c>
      <c r="L739" s="3">
        <v>0</v>
      </c>
      <c r="M739" s="3">
        <v>0</v>
      </c>
      <c r="N739" s="5">
        <v>11500</v>
      </c>
      <c r="O739" s="3">
        <v>0</v>
      </c>
      <c r="P739" s="3">
        <v>0</v>
      </c>
      <c r="Q739" s="5">
        <v>12500</v>
      </c>
      <c r="R739" s="5">
        <v>23000</v>
      </c>
      <c r="S739" s="3">
        <v>0</v>
      </c>
      <c r="T739" s="3">
        <v>100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5">
        <v>2000</v>
      </c>
      <c r="AA739" s="5">
        <v>16000</v>
      </c>
      <c r="AB739" s="6">
        <v>76600</v>
      </c>
      <c r="AC739" s="2" t="str">
        <f>VLOOKUP(E739,'[1]Detailed Transfer Report (12)'!$K:$Y,13,FALSE)</f>
        <v>Muhammad Yasir</v>
      </c>
      <c r="AD739" s="2" t="str">
        <f>VLOOKUP(E739,'[1]Detailed Transfer Report (12)'!$K:$Y,14,FALSE)</f>
        <v>Sardar Yasir Ilyas</v>
      </c>
      <c r="AE739" s="16">
        <f>VLOOKUP(E739,'[1]Detailed Transfer Report (12)'!$K:$Y,15,FALSE)</f>
        <v>44709</v>
      </c>
    </row>
    <row r="740" spans="1:31" x14ac:dyDescent="0.25">
      <c r="A740" s="7">
        <v>375</v>
      </c>
      <c r="B740" s="4">
        <v>43565</v>
      </c>
      <c r="C740" s="3" t="s">
        <v>672</v>
      </c>
      <c r="D740" s="3" t="s">
        <v>1091</v>
      </c>
      <c r="E740" s="3">
        <v>1653</v>
      </c>
      <c r="F740" s="3"/>
      <c r="G740" s="3" t="s">
        <v>30</v>
      </c>
      <c r="H740" s="3">
        <v>0</v>
      </c>
      <c r="I740" s="3">
        <v>0</v>
      </c>
      <c r="J740" s="3">
        <v>0</v>
      </c>
      <c r="K740" s="3">
        <v>0</v>
      </c>
      <c r="L740" s="5">
        <v>30000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6">
        <v>30000</v>
      </c>
      <c r="AD740" s="2" t="str">
        <f>VLOOKUP(E740,'[1]Detailed Transfer Report (12)'!$K:$Y,14,FALSE)</f>
        <v>Sardar Tanveer Ilyas</v>
      </c>
      <c r="AE740" s="16"/>
    </row>
    <row r="741" spans="1:31" x14ac:dyDescent="0.25">
      <c r="A741" s="10">
        <v>375</v>
      </c>
      <c r="B741" s="4">
        <v>43565</v>
      </c>
      <c r="C741" s="3" t="s">
        <v>504</v>
      </c>
      <c r="D741" s="3" t="s">
        <v>1092</v>
      </c>
      <c r="E741" s="3">
        <v>1654</v>
      </c>
      <c r="F741" s="3"/>
      <c r="G741" s="3" t="s">
        <v>30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5">
        <v>54000</v>
      </c>
      <c r="N741" s="5">
        <v>83000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500</v>
      </c>
      <c r="W741" s="5">
        <v>5100</v>
      </c>
      <c r="X741" s="3">
        <v>0</v>
      </c>
      <c r="Y741" s="3">
        <v>0</v>
      </c>
      <c r="Z741" s="3">
        <v>0</v>
      </c>
      <c r="AA741" s="5">
        <v>27000</v>
      </c>
      <c r="AB741" s="6">
        <v>199600</v>
      </c>
      <c r="AD741" s="2" t="str">
        <f>VLOOKUP(E741,'[1]Detailed Transfer Report (12)'!$K:$Y,14,FALSE)</f>
        <v>Sardar Tanveer Ilyas</v>
      </c>
      <c r="AE741" s="16"/>
    </row>
    <row r="742" spans="1:31" x14ac:dyDescent="0.25">
      <c r="A742" s="3">
        <v>376</v>
      </c>
      <c r="B742" s="4">
        <v>43565</v>
      </c>
      <c r="C742" s="3" t="s">
        <v>153</v>
      </c>
      <c r="D742" s="3" t="s">
        <v>1093</v>
      </c>
      <c r="E742" s="3">
        <v>1617</v>
      </c>
      <c r="F742" s="3"/>
      <c r="G742" s="3" t="s">
        <v>30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5">
        <v>20000</v>
      </c>
      <c r="N742" s="5">
        <v>31000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500</v>
      </c>
      <c r="W742" s="5">
        <v>2125</v>
      </c>
      <c r="X742" s="3">
        <v>0</v>
      </c>
      <c r="Y742" s="3">
        <v>0</v>
      </c>
      <c r="Z742" s="3">
        <v>0</v>
      </c>
      <c r="AA742" s="5">
        <v>10000</v>
      </c>
      <c r="AB742" s="6">
        <v>63625</v>
      </c>
      <c r="AD742" s="2" t="str">
        <f>VLOOKUP(E742,'[1]Detailed Transfer Report (12)'!$K:$Y,14,FALSE)</f>
        <v>Sardar Tanveer Ilyas</v>
      </c>
      <c r="AE742" s="16"/>
    </row>
    <row r="743" spans="1:31" x14ac:dyDescent="0.25">
      <c r="A743" s="3">
        <v>377</v>
      </c>
      <c r="B743" s="4">
        <v>43489</v>
      </c>
      <c r="C743" s="3" t="s">
        <v>44</v>
      </c>
      <c r="D743" s="3" t="s">
        <v>1094</v>
      </c>
      <c r="E743" s="3">
        <v>1699</v>
      </c>
      <c r="F743" s="3"/>
      <c r="G743" s="3" t="s">
        <v>30</v>
      </c>
      <c r="H743" s="3">
        <v>0</v>
      </c>
      <c r="I743" s="3">
        <v>0</v>
      </c>
      <c r="J743" s="3">
        <v>0</v>
      </c>
      <c r="K743" s="3">
        <v>0</v>
      </c>
      <c r="L743" s="5">
        <v>50000</v>
      </c>
      <c r="M743" s="5">
        <v>50000</v>
      </c>
      <c r="N743" s="5">
        <v>76000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5">
        <v>8500</v>
      </c>
      <c r="X743" s="3">
        <v>0</v>
      </c>
      <c r="Y743" s="3">
        <v>0</v>
      </c>
      <c r="Z743" s="3">
        <v>0</v>
      </c>
      <c r="AA743" s="5">
        <v>25000</v>
      </c>
      <c r="AB743" s="6">
        <v>209500</v>
      </c>
      <c r="AD743" s="2" t="str">
        <f>VLOOKUP(E743,'[1]Detailed Transfer Report (12)'!$K:$Y,14,FALSE)</f>
        <v>Sardar Tanveer Ilyas</v>
      </c>
      <c r="AE743" s="16"/>
    </row>
    <row r="744" spans="1:31" x14ac:dyDescent="0.25">
      <c r="A744" s="3">
        <v>380</v>
      </c>
      <c r="B744" s="4">
        <v>43462</v>
      </c>
      <c r="C744" s="3" t="s">
        <v>137</v>
      </c>
      <c r="D744" s="3" t="s">
        <v>1095</v>
      </c>
      <c r="E744" s="3">
        <v>1591</v>
      </c>
      <c r="F744" s="3"/>
      <c r="G744" s="3" t="s">
        <v>30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5">
        <v>30000</v>
      </c>
      <c r="N744" s="5">
        <v>46000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500</v>
      </c>
      <c r="W744" s="5">
        <v>4250</v>
      </c>
      <c r="X744" s="3">
        <v>0</v>
      </c>
      <c r="Y744" s="3">
        <v>0</v>
      </c>
      <c r="Z744" s="3">
        <v>0</v>
      </c>
      <c r="AA744" s="5">
        <v>15000</v>
      </c>
      <c r="AB744" s="6">
        <v>95750</v>
      </c>
      <c r="AD744" s="2" t="str">
        <f>VLOOKUP(E744,'[1]Detailed Transfer Report (12)'!$K:$Y,14,FALSE)</f>
        <v>Sardar Tanveer Ilyas</v>
      </c>
      <c r="AE744" s="16"/>
    </row>
    <row r="745" spans="1:31" x14ac:dyDescent="0.25">
      <c r="A745" s="3">
        <v>381</v>
      </c>
      <c r="B745" s="4">
        <v>43536</v>
      </c>
      <c r="C745" s="3" t="s">
        <v>536</v>
      </c>
      <c r="D745" s="3" t="s">
        <v>1096</v>
      </c>
      <c r="E745" s="3">
        <v>281</v>
      </c>
      <c r="F745" s="3"/>
      <c r="G745" s="3" t="s">
        <v>41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5">
        <v>6500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500</v>
      </c>
      <c r="W745" s="5">
        <v>1275</v>
      </c>
      <c r="X745" s="3">
        <v>0</v>
      </c>
      <c r="Y745" s="3">
        <v>0</v>
      </c>
      <c r="Z745" s="3">
        <v>0</v>
      </c>
      <c r="AA745" s="5">
        <v>2000</v>
      </c>
      <c r="AB745" s="6">
        <v>10275</v>
      </c>
      <c r="AD745" s="2" t="str">
        <f>VLOOKUP(E745,'[1]Detailed Transfer Report (12)'!$K:$Y,14,FALSE)</f>
        <v>Sardar Tanveer Ilyas</v>
      </c>
      <c r="AE745" s="16"/>
    </row>
    <row r="746" spans="1:31" x14ac:dyDescent="0.25">
      <c r="A746" s="3">
        <v>383</v>
      </c>
      <c r="B746" s="4">
        <v>43489</v>
      </c>
      <c r="C746" s="3" t="s">
        <v>44</v>
      </c>
      <c r="D746" s="3" t="s">
        <v>1097</v>
      </c>
      <c r="E746" s="3">
        <v>1716</v>
      </c>
      <c r="F746" s="3"/>
      <c r="G746" s="3" t="s">
        <v>30</v>
      </c>
      <c r="H746" s="3">
        <v>0</v>
      </c>
      <c r="I746" s="3">
        <v>0</v>
      </c>
      <c r="J746" s="3">
        <v>0</v>
      </c>
      <c r="K746" s="3">
        <v>0</v>
      </c>
      <c r="L746" s="5">
        <v>50000</v>
      </c>
      <c r="M746" s="5">
        <v>50000</v>
      </c>
      <c r="N746" s="5">
        <v>76000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5">
        <v>8500</v>
      </c>
      <c r="X746" s="3">
        <v>0</v>
      </c>
      <c r="Y746" s="3">
        <v>0</v>
      </c>
      <c r="Z746" s="3">
        <v>0</v>
      </c>
      <c r="AA746" s="5">
        <v>25000</v>
      </c>
      <c r="AB746" s="6">
        <v>209500</v>
      </c>
      <c r="AD746" s="2" t="str">
        <f>VLOOKUP(E746,'[1]Detailed Transfer Report (12)'!$K:$Y,14,FALSE)</f>
        <v>Sardar Tanveer Ilyas</v>
      </c>
      <c r="AE746" s="16"/>
    </row>
    <row r="747" spans="1:31" x14ac:dyDescent="0.25">
      <c r="A747" s="7">
        <v>384</v>
      </c>
      <c r="B747" s="4">
        <v>43508</v>
      </c>
      <c r="C747" s="3" t="s">
        <v>1098</v>
      </c>
      <c r="D747" s="3" t="s">
        <v>1099</v>
      </c>
      <c r="E747" s="3">
        <v>1672</v>
      </c>
      <c r="F747" s="3"/>
      <c r="G747" s="3" t="s">
        <v>30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5">
        <v>79000</v>
      </c>
      <c r="N747" s="5">
        <v>118500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5">
        <v>12419</v>
      </c>
      <c r="X747" s="3">
        <v>0</v>
      </c>
      <c r="Y747" s="3">
        <v>0</v>
      </c>
      <c r="Z747" s="3">
        <v>0</v>
      </c>
      <c r="AA747" s="5">
        <v>39500</v>
      </c>
      <c r="AB747" s="6">
        <v>249419</v>
      </c>
      <c r="AD747" s="2" t="str">
        <f>VLOOKUP(E747,'[1]Detailed Transfer Report (12)'!$K:$Y,14,FALSE)</f>
        <v>Sardar Tanveer Ilyas</v>
      </c>
      <c r="AE747" s="16"/>
    </row>
    <row r="748" spans="1:31" x14ac:dyDescent="0.25">
      <c r="A748" s="10">
        <v>384</v>
      </c>
      <c r="B748" s="4">
        <v>43508</v>
      </c>
      <c r="C748" s="3" t="s">
        <v>1100</v>
      </c>
      <c r="D748" s="3" t="s">
        <v>1101</v>
      </c>
      <c r="E748" s="3">
        <v>1678</v>
      </c>
      <c r="F748" s="3"/>
      <c r="G748" s="3" t="s">
        <v>30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5">
        <v>170000</v>
      </c>
      <c r="N748" s="5">
        <v>255000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500</v>
      </c>
      <c r="W748" s="5">
        <v>21581</v>
      </c>
      <c r="X748" s="3">
        <v>0</v>
      </c>
      <c r="Y748" s="3">
        <v>0</v>
      </c>
      <c r="Z748" s="3">
        <v>0</v>
      </c>
      <c r="AA748" s="5">
        <v>85000</v>
      </c>
      <c r="AB748" s="6">
        <v>781500</v>
      </c>
      <c r="AD748" s="2" t="str">
        <f>VLOOKUP(E748,'[1]Detailed Transfer Report (12)'!$K:$Y,14,FALSE)</f>
        <v>Sardar Tanveer Ilyas</v>
      </c>
      <c r="AE748" s="16"/>
    </row>
    <row r="749" spans="1:31" x14ac:dyDescent="0.25">
      <c r="A749" s="7">
        <v>386</v>
      </c>
      <c r="B749" s="4">
        <v>43489</v>
      </c>
      <c r="C749" s="3" t="s">
        <v>1011</v>
      </c>
      <c r="D749" s="3" t="s">
        <v>1102</v>
      </c>
      <c r="E749" s="3">
        <v>1729</v>
      </c>
      <c r="F749" s="3"/>
      <c r="G749" s="3" t="s">
        <v>30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8">
        <v>0</v>
      </c>
      <c r="AD749" s="2" t="str">
        <f>VLOOKUP(E749,'[1]Detailed Transfer Report (12)'!$K:$Y,14,FALSE)</f>
        <v>Sardar Tanveer Ilyas</v>
      </c>
      <c r="AE749" s="16"/>
    </row>
    <row r="750" spans="1:31" x14ac:dyDescent="0.25">
      <c r="A750" s="10">
        <v>386</v>
      </c>
      <c r="B750" s="4">
        <v>43489</v>
      </c>
      <c r="C750" s="3" t="s">
        <v>153</v>
      </c>
      <c r="D750" s="3" t="s">
        <v>1103</v>
      </c>
      <c r="E750" s="3">
        <v>1728</v>
      </c>
      <c r="F750" s="3"/>
      <c r="G750" s="3" t="s">
        <v>30</v>
      </c>
      <c r="H750" s="3">
        <v>0</v>
      </c>
      <c r="I750" s="3">
        <v>0</v>
      </c>
      <c r="J750" s="3">
        <v>0</v>
      </c>
      <c r="K750" s="3">
        <v>0</v>
      </c>
      <c r="L750" s="5">
        <v>20000</v>
      </c>
      <c r="M750" s="5">
        <v>24600</v>
      </c>
      <c r="N750" s="5">
        <v>38900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500</v>
      </c>
      <c r="W750" s="5">
        <v>3494</v>
      </c>
      <c r="X750" s="3">
        <v>0</v>
      </c>
      <c r="Y750" s="3">
        <v>0</v>
      </c>
      <c r="Z750" s="3">
        <v>0</v>
      </c>
      <c r="AA750" s="5">
        <v>12300</v>
      </c>
      <c r="AB750" s="6">
        <v>99794</v>
      </c>
      <c r="AD750" s="2" t="str">
        <f>VLOOKUP(E750,'[1]Detailed Transfer Report (12)'!$K:$Y,14,FALSE)</f>
        <v>Sardar Tanveer Ilyas</v>
      </c>
      <c r="AE750" s="16"/>
    </row>
    <row r="751" spans="1:31" x14ac:dyDescent="0.25">
      <c r="A751" s="3">
        <v>387</v>
      </c>
      <c r="B751" s="4">
        <v>43489</v>
      </c>
      <c r="C751" s="3" t="s">
        <v>135</v>
      </c>
      <c r="D751" s="3" t="s">
        <v>1104</v>
      </c>
      <c r="E751" s="3">
        <v>1606</v>
      </c>
      <c r="F751" s="3"/>
      <c r="G751" s="3" t="s">
        <v>30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5">
        <v>100000</v>
      </c>
      <c r="N751" s="5">
        <v>151000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5">
        <v>12514</v>
      </c>
      <c r="X751" s="3">
        <v>0</v>
      </c>
      <c r="Y751" s="3">
        <v>0</v>
      </c>
      <c r="Z751" s="3">
        <v>0</v>
      </c>
      <c r="AA751" s="5">
        <v>50000</v>
      </c>
      <c r="AB751" s="6">
        <v>313514</v>
      </c>
      <c r="AD751" s="2" t="str">
        <f>VLOOKUP(E751,'[1]Detailed Transfer Report (12)'!$K:$Y,14,FALSE)</f>
        <v>Sardar Tanveer Ilyas</v>
      </c>
      <c r="AE751" s="16"/>
    </row>
    <row r="752" spans="1:31" x14ac:dyDescent="0.25">
      <c r="A752" s="3">
        <v>388</v>
      </c>
      <c r="B752" s="4">
        <v>43565</v>
      </c>
      <c r="C752" s="3" t="s">
        <v>143</v>
      </c>
      <c r="D752" s="3" t="s">
        <v>1105</v>
      </c>
      <c r="E752" s="3">
        <v>1681</v>
      </c>
      <c r="F752" s="3"/>
      <c r="G752" s="3" t="s">
        <v>30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5">
        <v>50000</v>
      </c>
      <c r="N752" s="5">
        <v>76000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500</v>
      </c>
      <c r="W752" s="5">
        <v>8925</v>
      </c>
      <c r="X752" s="3">
        <v>0</v>
      </c>
      <c r="Y752" s="3">
        <v>0</v>
      </c>
      <c r="Z752" s="3">
        <v>0</v>
      </c>
      <c r="AA752" s="5">
        <v>25000</v>
      </c>
      <c r="AB752" s="6">
        <v>160425</v>
      </c>
      <c r="AD752" s="2" t="str">
        <f>VLOOKUP(E752,'[1]Detailed Transfer Report (12)'!$K:$Y,14,FALSE)</f>
        <v>Sardar Tanveer Ilyas</v>
      </c>
      <c r="AE752" s="16"/>
    </row>
    <row r="753" spans="1:31" x14ac:dyDescent="0.25">
      <c r="A753" s="3">
        <v>389</v>
      </c>
      <c r="B753" s="4">
        <v>43508</v>
      </c>
      <c r="C753" s="3" t="s">
        <v>1106</v>
      </c>
      <c r="D753" s="3" t="s">
        <v>1107</v>
      </c>
      <c r="E753" s="3">
        <v>1489</v>
      </c>
      <c r="F753" s="3"/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5">
        <v>40000</v>
      </c>
      <c r="N753" s="5">
        <v>61000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500</v>
      </c>
      <c r="W753" s="5">
        <v>7697</v>
      </c>
      <c r="X753" s="3">
        <v>0</v>
      </c>
      <c r="Y753" s="3">
        <v>0</v>
      </c>
      <c r="Z753" s="3">
        <v>0</v>
      </c>
      <c r="AA753" s="5">
        <v>20000</v>
      </c>
      <c r="AB753" s="6">
        <v>129197</v>
      </c>
      <c r="AD753" s="2" t="str">
        <f>VLOOKUP(E753,'[1]Detailed Transfer Report (12)'!$K:$Y,14,FALSE)</f>
        <v>Sardar Tanveer Ilyas</v>
      </c>
      <c r="AE753" s="16"/>
    </row>
    <row r="754" spans="1:31" x14ac:dyDescent="0.25">
      <c r="A754" s="3">
        <v>390</v>
      </c>
      <c r="B754" s="4">
        <v>43489</v>
      </c>
      <c r="C754" s="3" t="s">
        <v>137</v>
      </c>
      <c r="D754" s="3" t="s">
        <v>1108</v>
      </c>
      <c r="E754" s="3">
        <v>1786</v>
      </c>
      <c r="F754" s="3"/>
      <c r="G754" s="3" t="s">
        <v>30</v>
      </c>
      <c r="H754" s="3">
        <v>0</v>
      </c>
      <c r="I754" s="3">
        <v>0</v>
      </c>
      <c r="J754" s="3">
        <v>0</v>
      </c>
      <c r="K754" s="3">
        <v>0</v>
      </c>
      <c r="L754" s="5">
        <v>90000</v>
      </c>
      <c r="M754" s="5">
        <v>40000</v>
      </c>
      <c r="N754" s="5">
        <v>61000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500</v>
      </c>
      <c r="W754" s="5">
        <v>4250</v>
      </c>
      <c r="X754" s="3">
        <v>0</v>
      </c>
      <c r="Y754" s="3">
        <v>0</v>
      </c>
      <c r="Z754" s="3">
        <v>0</v>
      </c>
      <c r="AA754" s="5">
        <v>20000</v>
      </c>
      <c r="AB754" s="6">
        <v>215750</v>
      </c>
      <c r="AD754" s="2" t="str">
        <f>VLOOKUP(E754,'[1]Detailed Transfer Report (12)'!$K:$Y,14,FALSE)</f>
        <v>Sardar Tanveer Ilyas</v>
      </c>
      <c r="AE754" s="16"/>
    </row>
    <row r="755" spans="1:31" x14ac:dyDescent="0.25">
      <c r="A755" s="7">
        <v>392</v>
      </c>
      <c r="B755" s="4">
        <v>43563</v>
      </c>
      <c r="C755" s="3" t="s">
        <v>1109</v>
      </c>
      <c r="D755" s="3" t="s">
        <v>1110</v>
      </c>
      <c r="E755" s="3">
        <v>265</v>
      </c>
      <c r="F755" s="3"/>
      <c r="G755" s="3" t="s">
        <v>41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5">
        <v>97000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5">
        <v>23705</v>
      </c>
      <c r="X755" s="3">
        <v>0</v>
      </c>
      <c r="Y755" s="3">
        <v>0</v>
      </c>
      <c r="Z755" s="3">
        <v>0</v>
      </c>
      <c r="AA755" s="5">
        <v>32000</v>
      </c>
      <c r="AB755" s="6">
        <v>152705</v>
      </c>
      <c r="AD755" s="2" t="str">
        <f>VLOOKUP(E755,'[1]Detailed Transfer Report (12)'!$K:$Y,14,FALSE)</f>
        <v>Sardar Tanveer Ilyas</v>
      </c>
      <c r="AE755" s="16"/>
    </row>
    <row r="756" spans="1:31" x14ac:dyDescent="0.25">
      <c r="A756" s="9">
        <v>392</v>
      </c>
      <c r="B756" s="4">
        <v>43563</v>
      </c>
      <c r="C756" s="3" t="s">
        <v>882</v>
      </c>
      <c r="D756" s="3" t="s">
        <v>1111</v>
      </c>
      <c r="E756" s="3">
        <v>264</v>
      </c>
      <c r="F756" s="3"/>
      <c r="G756" s="3" t="s">
        <v>41</v>
      </c>
      <c r="H756" s="3">
        <v>0</v>
      </c>
      <c r="I756" s="3">
        <v>0</v>
      </c>
      <c r="J756" s="3">
        <v>0</v>
      </c>
      <c r="K756" s="3">
        <v>0</v>
      </c>
      <c r="L756" s="5">
        <v>6909168</v>
      </c>
      <c r="M756" s="3">
        <v>0</v>
      </c>
      <c r="N756" s="5">
        <v>58000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5">
        <v>14497</v>
      </c>
      <c r="X756" s="3">
        <v>0</v>
      </c>
      <c r="Y756" s="3">
        <v>0</v>
      </c>
      <c r="Z756" s="3">
        <v>0</v>
      </c>
      <c r="AA756" s="5">
        <v>19000</v>
      </c>
      <c r="AB756" s="6">
        <v>7153370</v>
      </c>
      <c r="AD756" s="2" t="str">
        <f>VLOOKUP(E756,'[1]Detailed Transfer Report (12)'!$K:$Y,14,FALSE)</f>
        <v>Sardar Tanveer Ilyas</v>
      </c>
      <c r="AE756" s="16"/>
    </row>
    <row r="757" spans="1:31" x14ac:dyDescent="0.25">
      <c r="A757" s="9">
        <v>392</v>
      </c>
      <c r="B757" s="4">
        <v>43563</v>
      </c>
      <c r="C757" s="3" t="s">
        <v>1112</v>
      </c>
      <c r="D757" s="3" t="s">
        <v>1113</v>
      </c>
      <c r="E757" s="3">
        <v>294</v>
      </c>
      <c r="F757" s="3"/>
      <c r="G757" s="3" t="s">
        <v>41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5">
        <v>13100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5">
        <v>3600</v>
      </c>
      <c r="X757" s="3">
        <v>0</v>
      </c>
      <c r="Y757" s="3">
        <v>0</v>
      </c>
      <c r="Z757" s="3">
        <v>0</v>
      </c>
      <c r="AA757" s="5">
        <v>4200</v>
      </c>
      <c r="AB757" s="6">
        <v>7174270</v>
      </c>
      <c r="AD757" s="2" t="str">
        <f>VLOOKUP(E757,'[1]Detailed Transfer Report (12)'!$K:$Y,14,FALSE)</f>
        <v>Sardar Tanveer Ilyas</v>
      </c>
      <c r="AE757" s="16"/>
    </row>
    <row r="758" spans="1:31" x14ac:dyDescent="0.25">
      <c r="A758" s="9">
        <v>392</v>
      </c>
      <c r="B758" s="4">
        <v>43563</v>
      </c>
      <c r="C758" s="3" t="s">
        <v>1114</v>
      </c>
      <c r="D758" s="3" t="s">
        <v>1115</v>
      </c>
      <c r="E758" s="3">
        <v>293</v>
      </c>
      <c r="F758" s="3"/>
      <c r="G758" s="3" t="s">
        <v>41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5">
        <v>97000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5">
        <v>24225</v>
      </c>
      <c r="X758" s="3">
        <v>0</v>
      </c>
      <c r="Y758" s="3">
        <v>0</v>
      </c>
      <c r="Z758" s="3">
        <v>0</v>
      </c>
      <c r="AA758" s="5">
        <v>32000</v>
      </c>
      <c r="AB758" s="6">
        <v>7327495</v>
      </c>
      <c r="AD758" s="2" t="str">
        <f>VLOOKUP(E758,'[1]Detailed Transfer Report (12)'!$K:$Y,14,FALSE)</f>
        <v>Sardar Tanveer Ilyas</v>
      </c>
      <c r="AE758" s="16"/>
    </row>
    <row r="759" spans="1:31" x14ac:dyDescent="0.25">
      <c r="A759" s="9">
        <v>392</v>
      </c>
      <c r="B759" s="4">
        <v>43563</v>
      </c>
      <c r="C759" s="3" t="s">
        <v>377</v>
      </c>
      <c r="D759" s="3" t="s">
        <v>1116</v>
      </c>
      <c r="E759" s="3">
        <v>291</v>
      </c>
      <c r="F759" s="3"/>
      <c r="G759" s="3" t="s">
        <v>41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5">
        <v>16000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5">
        <v>3400</v>
      </c>
      <c r="X759" s="3">
        <v>0</v>
      </c>
      <c r="Y759" s="3">
        <v>0</v>
      </c>
      <c r="Z759" s="3">
        <v>0</v>
      </c>
      <c r="AA759" s="5">
        <v>5000</v>
      </c>
      <c r="AB759" s="6">
        <v>7351895</v>
      </c>
      <c r="AD759" s="2" t="str">
        <f>VLOOKUP(E759,'[1]Detailed Transfer Report (12)'!$K:$Y,14,FALSE)</f>
        <v>Sardar Tanveer Ilyas</v>
      </c>
      <c r="AE759" s="16"/>
    </row>
    <row r="760" spans="1:31" x14ac:dyDescent="0.25">
      <c r="A760" s="9">
        <v>392</v>
      </c>
      <c r="B760" s="4">
        <v>43563</v>
      </c>
      <c r="C760" s="3" t="s">
        <v>313</v>
      </c>
      <c r="D760" s="3" t="s">
        <v>1117</v>
      </c>
      <c r="E760" s="3">
        <v>290</v>
      </c>
      <c r="F760" s="3"/>
      <c r="G760" s="3" t="s">
        <v>41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5">
        <v>12500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500</v>
      </c>
      <c r="W760" s="5">
        <v>5808</v>
      </c>
      <c r="X760" s="3">
        <v>0</v>
      </c>
      <c r="Y760" s="3">
        <v>0</v>
      </c>
      <c r="Z760" s="3">
        <v>0</v>
      </c>
      <c r="AA760" s="5">
        <v>4000</v>
      </c>
      <c r="AB760" s="6">
        <v>7374703</v>
      </c>
      <c r="AD760" s="2" t="str">
        <f>VLOOKUP(E760,'[1]Detailed Transfer Report (12)'!$K:$Y,14,FALSE)</f>
        <v>Sardar Tanveer Ilyas</v>
      </c>
      <c r="AE760" s="16"/>
    </row>
    <row r="761" spans="1:31" x14ac:dyDescent="0.25">
      <c r="A761" s="10">
        <v>392</v>
      </c>
      <c r="B761" s="4">
        <v>43563</v>
      </c>
      <c r="C761" s="3" t="s">
        <v>354</v>
      </c>
      <c r="D761" s="3" t="s">
        <v>1118</v>
      </c>
      <c r="E761" s="3" t="s">
        <v>996</v>
      </c>
      <c r="F761" s="3"/>
      <c r="G761" s="3" t="s">
        <v>41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6">
        <v>7374703</v>
      </c>
      <c r="AE761" s="16"/>
    </row>
    <row r="762" spans="1:31" x14ac:dyDescent="0.25">
      <c r="A762" s="7">
        <v>393</v>
      </c>
      <c r="B762" s="4">
        <v>43641</v>
      </c>
      <c r="C762" s="3" t="s">
        <v>1119</v>
      </c>
      <c r="D762" s="3" t="s">
        <v>1120</v>
      </c>
      <c r="E762" s="3">
        <v>285</v>
      </c>
      <c r="F762" s="3"/>
      <c r="G762" s="3" t="s">
        <v>41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378</v>
      </c>
      <c r="N762" s="5">
        <v>2300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600</v>
      </c>
      <c r="AB762" s="6">
        <v>3278</v>
      </c>
      <c r="AD762" s="2" t="str">
        <f>VLOOKUP(E762,'[1]Detailed Transfer Report (12)'!$K:$Y,14,FALSE)</f>
        <v>Sardar Tanveer Ilyas</v>
      </c>
      <c r="AE762" s="16"/>
    </row>
    <row r="763" spans="1:31" x14ac:dyDescent="0.25">
      <c r="A763" s="10">
        <v>393</v>
      </c>
      <c r="B763" s="4">
        <v>43641</v>
      </c>
      <c r="C763" s="3" t="s">
        <v>133</v>
      </c>
      <c r="D763" s="3" t="s">
        <v>1121</v>
      </c>
      <c r="E763" s="3">
        <v>348</v>
      </c>
      <c r="F763" s="3"/>
      <c r="G763" s="3" t="s">
        <v>41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6">
        <v>3278</v>
      </c>
      <c r="AD763" s="2" t="str">
        <f>VLOOKUP(E763,'[1]Detailed Transfer Report (12)'!$K:$Y,14,FALSE)</f>
        <v>Sardar Tanveer Ilyas</v>
      </c>
      <c r="AE763" s="16"/>
    </row>
    <row r="764" spans="1:31" x14ac:dyDescent="0.25">
      <c r="A764" s="3">
        <v>397</v>
      </c>
      <c r="B764" s="4">
        <v>43565</v>
      </c>
      <c r="C764" s="3" t="s">
        <v>536</v>
      </c>
      <c r="D764" s="3" t="s">
        <v>1122</v>
      </c>
      <c r="E764" s="3">
        <v>1749</v>
      </c>
      <c r="F764" s="3"/>
      <c r="G764" s="3" t="s">
        <v>30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5">
        <v>8000</v>
      </c>
      <c r="N764" s="5">
        <v>13000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500</v>
      </c>
      <c r="W764" s="5">
        <v>1275</v>
      </c>
      <c r="X764" s="3">
        <v>0</v>
      </c>
      <c r="Y764" s="3">
        <v>0</v>
      </c>
      <c r="Z764" s="3">
        <v>0</v>
      </c>
      <c r="AA764" s="5">
        <v>4000</v>
      </c>
      <c r="AB764" s="6">
        <v>26775</v>
      </c>
      <c r="AD764" s="2" t="str">
        <f>VLOOKUP(E764,'[1]Detailed Transfer Report (12)'!$K:$Y,14,FALSE)</f>
        <v>Sardar Tanveer Ilyas</v>
      </c>
      <c r="AE764" s="16"/>
    </row>
    <row r="765" spans="1:31" x14ac:dyDescent="0.25">
      <c r="A765" s="3">
        <v>400</v>
      </c>
      <c r="B765" s="4">
        <v>43538</v>
      </c>
      <c r="C765" s="3" t="s">
        <v>1123</v>
      </c>
      <c r="D765" s="3" t="s">
        <v>1124</v>
      </c>
      <c r="E765" s="3">
        <v>1879</v>
      </c>
      <c r="F765" s="3"/>
      <c r="G765" s="3" t="s">
        <v>30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8">
        <v>0</v>
      </c>
      <c r="AD765" s="2" t="str">
        <f>VLOOKUP(E765,'[1]Detailed Transfer Report (12)'!$K:$Y,14,FALSE)</f>
        <v>Sardar Tanveer Ilyas</v>
      </c>
      <c r="AE765" s="16"/>
    </row>
    <row r="766" spans="1:31" x14ac:dyDescent="0.25">
      <c r="A766" s="3">
        <v>401</v>
      </c>
      <c r="B766" s="4">
        <v>43525</v>
      </c>
      <c r="C766" s="3" t="s">
        <v>153</v>
      </c>
      <c r="D766" s="3" t="s">
        <v>1125</v>
      </c>
      <c r="E766" s="3">
        <v>1853</v>
      </c>
      <c r="F766" s="3"/>
      <c r="G766" s="3" t="s">
        <v>30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8">
        <v>0</v>
      </c>
      <c r="AD766" s="2" t="str">
        <f>VLOOKUP(E766,'[1]Detailed Transfer Report (12)'!$K:$Y,14,FALSE)</f>
        <v>Sardar Tanveer Ilyas</v>
      </c>
      <c r="AE766" s="16"/>
    </row>
    <row r="767" spans="1:31" x14ac:dyDescent="0.25">
      <c r="A767" s="7">
        <v>403</v>
      </c>
      <c r="B767" s="4">
        <v>43536</v>
      </c>
      <c r="C767" s="3" t="s">
        <v>667</v>
      </c>
      <c r="D767" s="3" t="s">
        <v>1126</v>
      </c>
      <c r="E767" s="3">
        <v>1885</v>
      </c>
      <c r="F767" s="3"/>
      <c r="G767" s="3" t="s">
        <v>30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8">
        <v>0</v>
      </c>
      <c r="AD767" s="2" t="str">
        <f>VLOOKUP(E767,'[1]Detailed Transfer Report (12)'!$K:$Y,14,FALSE)</f>
        <v>Sardar Tanveer Ilyas</v>
      </c>
      <c r="AE767" s="16"/>
    </row>
    <row r="768" spans="1:31" x14ac:dyDescent="0.25">
      <c r="A768" s="10">
        <v>403</v>
      </c>
      <c r="B768" s="4">
        <v>43640</v>
      </c>
      <c r="C768" s="3" t="s">
        <v>153</v>
      </c>
      <c r="D768" s="3" t="s">
        <v>1127</v>
      </c>
      <c r="E768" s="3">
        <v>1884</v>
      </c>
      <c r="F768" s="3"/>
      <c r="G768" s="3" t="s">
        <v>30</v>
      </c>
      <c r="H768" s="3">
        <v>0</v>
      </c>
      <c r="I768" s="3">
        <v>0</v>
      </c>
      <c r="J768" s="3">
        <v>0</v>
      </c>
      <c r="K768" s="3">
        <v>0</v>
      </c>
      <c r="L768" s="5">
        <v>164000</v>
      </c>
      <c r="M768" s="5">
        <v>80000</v>
      </c>
      <c r="N768" s="5">
        <v>122000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5">
        <v>3683</v>
      </c>
      <c r="X768" s="3">
        <v>0</v>
      </c>
      <c r="Y768" s="3">
        <v>0</v>
      </c>
      <c r="Z768" s="3">
        <v>0</v>
      </c>
      <c r="AA768" s="5">
        <v>40000</v>
      </c>
      <c r="AB768" s="6">
        <v>409683</v>
      </c>
      <c r="AD768" s="2" t="str">
        <f>VLOOKUP(E768,'[1]Detailed Transfer Report (12)'!$K:$Y,14,FALSE)</f>
        <v>Sardar Tanveer Ilyas</v>
      </c>
      <c r="AE768" s="16"/>
    </row>
    <row r="769" spans="1:31" x14ac:dyDescent="0.25">
      <c r="A769" s="3">
        <v>404</v>
      </c>
      <c r="B769" s="4">
        <v>43732</v>
      </c>
      <c r="C769" s="3" t="s">
        <v>1050</v>
      </c>
      <c r="D769" s="3" t="s">
        <v>1128</v>
      </c>
      <c r="E769" s="3">
        <v>1835</v>
      </c>
      <c r="F769" s="3"/>
      <c r="G769" s="3" t="s">
        <v>30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5">
        <v>4000</v>
      </c>
      <c r="N769" s="5">
        <v>7000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5">
        <v>1039</v>
      </c>
      <c r="X769" s="3">
        <v>0</v>
      </c>
      <c r="Y769" s="3">
        <v>0</v>
      </c>
      <c r="Z769" s="3">
        <v>0</v>
      </c>
      <c r="AA769" s="5">
        <v>2000</v>
      </c>
      <c r="AB769" s="6">
        <v>14039</v>
      </c>
      <c r="AD769" s="2" t="str">
        <f>VLOOKUP(E769,'[1]Detailed Transfer Report (12)'!$K:$Y,14,FALSE)</f>
        <v>Sardar Tanveer Ilyas</v>
      </c>
      <c r="AE769" s="16"/>
    </row>
    <row r="770" spans="1:31" x14ac:dyDescent="0.25">
      <c r="A770" s="3">
        <v>406</v>
      </c>
      <c r="B770" s="4">
        <v>43643</v>
      </c>
      <c r="C770" s="3" t="s">
        <v>1129</v>
      </c>
      <c r="D770" s="3" t="s">
        <v>1130</v>
      </c>
      <c r="E770" s="3">
        <v>314</v>
      </c>
      <c r="F770" s="3"/>
      <c r="G770" s="3" t="s">
        <v>41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5">
        <v>151000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5">
        <v>35700</v>
      </c>
      <c r="X770" s="3">
        <v>0</v>
      </c>
      <c r="Y770" s="3">
        <v>0</v>
      </c>
      <c r="Z770" s="3">
        <v>0</v>
      </c>
      <c r="AA770" s="5">
        <v>50000</v>
      </c>
      <c r="AB770" s="6">
        <v>236700</v>
      </c>
      <c r="AD770" s="2" t="str">
        <f>VLOOKUP(E770,'[1]Detailed Transfer Report (12)'!$K:$Y,14,FALSE)</f>
        <v>Sardar Tanveer Ilyas</v>
      </c>
      <c r="AE770" s="16"/>
    </row>
    <row r="771" spans="1:31" x14ac:dyDescent="0.25">
      <c r="A771" s="3">
        <v>407</v>
      </c>
      <c r="B771" s="4">
        <v>43887</v>
      </c>
      <c r="C771" s="3" t="s">
        <v>1131</v>
      </c>
      <c r="D771" s="3" t="s">
        <v>1132</v>
      </c>
      <c r="E771" s="3">
        <v>1889</v>
      </c>
      <c r="F771" s="3"/>
      <c r="G771" s="3" t="s">
        <v>30</v>
      </c>
      <c r="H771" s="3">
        <v>0</v>
      </c>
      <c r="I771" s="3">
        <v>0</v>
      </c>
      <c r="J771" s="3">
        <v>0</v>
      </c>
      <c r="K771" s="3">
        <v>0</v>
      </c>
      <c r="L771" s="5">
        <v>400000</v>
      </c>
      <c r="M771" s="5">
        <v>280000</v>
      </c>
      <c r="N771" s="5">
        <v>421000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5">
        <v>140000</v>
      </c>
      <c r="W771" s="5">
        <v>48400</v>
      </c>
      <c r="X771" s="3">
        <v>0</v>
      </c>
      <c r="Y771" s="3">
        <v>0</v>
      </c>
      <c r="Z771" s="3">
        <v>0</v>
      </c>
      <c r="AA771" s="3">
        <v>0</v>
      </c>
      <c r="AB771" s="6">
        <v>1289400</v>
      </c>
      <c r="AD771" s="2" t="str">
        <f>VLOOKUP(E771,'[1]Detailed Transfer Report (12)'!$K:$Y,14,FALSE)</f>
        <v>Sardar Tanveer Ilyas</v>
      </c>
      <c r="AE771" s="16"/>
    </row>
    <row r="772" spans="1:31" x14ac:dyDescent="0.25">
      <c r="A772" s="3">
        <v>409</v>
      </c>
      <c r="B772" s="4">
        <v>43551</v>
      </c>
      <c r="C772" s="3" t="s">
        <v>278</v>
      </c>
      <c r="D772" s="3" t="s">
        <v>1133</v>
      </c>
      <c r="E772" s="3">
        <v>1911</v>
      </c>
      <c r="F772" s="3"/>
      <c r="G772" s="3" t="s">
        <v>30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5">
        <v>200000</v>
      </c>
      <c r="N772" s="5">
        <v>301000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5">
        <v>100000</v>
      </c>
      <c r="W772" s="5">
        <v>27500</v>
      </c>
      <c r="X772" s="3">
        <v>0</v>
      </c>
      <c r="Y772" s="3">
        <v>0</v>
      </c>
      <c r="Z772" s="3">
        <v>0</v>
      </c>
      <c r="AA772" s="5">
        <v>100000</v>
      </c>
      <c r="AB772" s="6">
        <v>728500</v>
      </c>
      <c r="AD772" s="2" t="str">
        <f>VLOOKUP(E772,'[1]Detailed Transfer Report (12)'!$K:$Y,14,FALSE)</f>
        <v>Sardar Tanveer Ilyas</v>
      </c>
      <c r="AE772" s="16"/>
    </row>
    <row r="773" spans="1:31" x14ac:dyDescent="0.25">
      <c r="A773" s="3">
        <v>410</v>
      </c>
      <c r="B773" s="4">
        <v>43640</v>
      </c>
      <c r="C773" s="3" t="s">
        <v>1134</v>
      </c>
      <c r="D773" s="3" t="s">
        <v>1135</v>
      </c>
      <c r="E773" s="3">
        <v>1910</v>
      </c>
      <c r="F773" s="3"/>
      <c r="G773" s="3" t="s">
        <v>30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5">
        <v>160000</v>
      </c>
      <c r="N773" s="5">
        <v>241000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500</v>
      </c>
      <c r="W773" s="5">
        <v>19975</v>
      </c>
      <c r="X773" s="3">
        <v>0</v>
      </c>
      <c r="Y773" s="3">
        <v>0</v>
      </c>
      <c r="Z773" s="3">
        <v>0</v>
      </c>
      <c r="AA773" s="5">
        <v>80000</v>
      </c>
      <c r="AB773" s="6">
        <v>501475</v>
      </c>
      <c r="AD773" s="2" t="str">
        <f>VLOOKUP(E773,'[1]Detailed Transfer Report (12)'!$K:$Y,14,FALSE)</f>
        <v>Sardar Tanveer Ilyas</v>
      </c>
      <c r="AE773" s="16"/>
    </row>
    <row r="774" spans="1:31" x14ac:dyDescent="0.25">
      <c r="A774" s="3">
        <v>411</v>
      </c>
      <c r="B774" s="4">
        <v>43640</v>
      </c>
      <c r="C774" s="3" t="s">
        <v>114</v>
      </c>
      <c r="D774" s="3" t="s">
        <v>1136</v>
      </c>
      <c r="E774" s="3">
        <v>1886</v>
      </c>
      <c r="F774" s="3"/>
      <c r="G774" s="3" t="s">
        <v>30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5">
        <v>30000</v>
      </c>
      <c r="N774" s="5">
        <v>46000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5">
        <v>1700</v>
      </c>
      <c r="X774" s="3">
        <v>0</v>
      </c>
      <c r="Y774" s="3">
        <v>0</v>
      </c>
      <c r="Z774" s="3">
        <v>0</v>
      </c>
      <c r="AA774" s="5">
        <v>15000</v>
      </c>
      <c r="AB774" s="6">
        <v>92700</v>
      </c>
      <c r="AD774" s="2" t="str">
        <f>VLOOKUP(E774,'[1]Detailed Transfer Report (12)'!$K:$Y,14,FALSE)</f>
        <v>Sardar Tanveer Ilyas</v>
      </c>
      <c r="AE774" s="16"/>
    </row>
    <row r="775" spans="1:31" x14ac:dyDescent="0.25">
      <c r="A775" s="3">
        <v>412</v>
      </c>
      <c r="B775" s="4">
        <v>43641</v>
      </c>
      <c r="C775" s="3" t="s">
        <v>153</v>
      </c>
      <c r="D775" s="3" t="s">
        <v>1137</v>
      </c>
      <c r="E775" s="3">
        <v>3983</v>
      </c>
      <c r="F775" s="3"/>
      <c r="G775" s="3" t="s">
        <v>756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5">
        <v>9500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5">
        <v>2125</v>
      </c>
      <c r="X775" s="3">
        <v>0</v>
      </c>
      <c r="Y775" s="3">
        <v>0</v>
      </c>
      <c r="Z775" s="3">
        <v>0</v>
      </c>
      <c r="AA775" s="5">
        <v>3000</v>
      </c>
      <c r="AB775" s="6">
        <v>14625</v>
      </c>
      <c r="AD775" s="2" t="str">
        <f>VLOOKUP(E775,'[1]Detailed Transfer Report (12)'!$K:$Y,14,FALSE)</f>
        <v>Sardar Tanveer Ilyas</v>
      </c>
      <c r="AE775" s="16"/>
    </row>
    <row r="776" spans="1:31" x14ac:dyDescent="0.25">
      <c r="A776" s="3">
        <v>413</v>
      </c>
      <c r="B776" s="4">
        <v>43560</v>
      </c>
      <c r="C776" s="3" t="s">
        <v>536</v>
      </c>
      <c r="D776" s="3" t="s">
        <v>1138</v>
      </c>
      <c r="E776" s="3">
        <v>345</v>
      </c>
      <c r="F776" s="3"/>
      <c r="G776" s="3" t="s">
        <v>41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8">
        <v>0</v>
      </c>
      <c r="AC776" s="2" t="str">
        <f>VLOOKUP(E776,'[1]Detailed Transfer Report (12)'!$K:$Y,13,FALSE)</f>
        <v>Azhar Mehmood</v>
      </c>
      <c r="AD776" s="2" t="str">
        <f>VLOOKUP(E776,'[1]Detailed Transfer Report (12)'!$K:$Y,14,FALSE)</f>
        <v>Sardar Tanveer Ilyas</v>
      </c>
      <c r="AE776" s="16"/>
    </row>
    <row r="777" spans="1:31" x14ac:dyDescent="0.25">
      <c r="A777" s="3">
        <v>414</v>
      </c>
      <c r="B777" s="4">
        <v>43646</v>
      </c>
      <c r="C777" s="3" t="s">
        <v>899</v>
      </c>
      <c r="D777" s="3" t="s">
        <v>1139</v>
      </c>
      <c r="E777" s="3">
        <v>1990</v>
      </c>
      <c r="F777" s="3"/>
      <c r="G777" s="3" t="s">
        <v>30</v>
      </c>
      <c r="H777" s="3">
        <v>0</v>
      </c>
      <c r="I777" s="3">
        <v>0</v>
      </c>
      <c r="J777" s="3">
        <v>0</v>
      </c>
      <c r="K777" s="3">
        <v>0</v>
      </c>
      <c r="L777" s="5">
        <v>62000</v>
      </c>
      <c r="M777" s="5">
        <v>60000</v>
      </c>
      <c r="N777" s="5">
        <v>91000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5">
        <v>13700</v>
      </c>
      <c r="X777" s="3">
        <v>0</v>
      </c>
      <c r="Y777" s="3">
        <v>0</v>
      </c>
      <c r="Z777" s="3">
        <v>0</v>
      </c>
      <c r="AA777" s="5">
        <v>30000</v>
      </c>
      <c r="AB777" s="6">
        <v>256700</v>
      </c>
      <c r="AD777" s="2" t="str">
        <f>VLOOKUP(E777,'[1]Detailed Transfer Report (12)'!$K:$Y,14,FALSE)</f>
        <v>Sardar Tanveer Ilyas</v>
      </c>
      <c r="AE777" s="16"/>
    </row>
    <row r="778" spans="1:31" x14ac:dyDescent="0.25">
      <c r="A778" s="7">
        <v>415</v>
      </c>
      <c r="B778" s="4">
        <v>43887</v>
      </c>
      <c r="C778" s="3" t="s">
        <v>137</v>
      </c>
      <c r="D778" s="3" t="s">
        <v>1140</v>
      </c>
      <c r="E778" s="3">
        <v>1945</v>
      </c>
      <c r="F778" s="3"/>
      <c r="G778" s="3" t="s">
        <v>30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5">
        <v>66000</v>
      </c>
      <c r="N778" s="5">
        <v>100000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5">
        <v>5500</v>
      </c>
      <c r="X778" s="3">
        <v>0</v>
      </c>
      <c r="Y778" s="3">
        <v>0</v>
      </c>
      <c r="Z778" s="3">
        <v>0</v>
      </c>
      <c r="AA778" s="5">
        <v>33000</v>
      </c>
      <c r="AB778" s="6">
        <v>204500</v>
      </c>
      <c r="AD778" s="2" t="str">
        <f>VLOOKUP(E778,'[1]Detailed Transfer Report (12)'!$K:$Y,14,FALSE)</f>
        <v>Sardar Tanveer Ilyas</v>
      </c>
      <c r="AE778" s="16"/>
    </row>
    <row r="779" spans="1:31" x14ac:dyDescent="0.25">
      <c r="A779" s="10">
        <v>415</v>
      </c>
      <c r="B779" s="4">
        <v>43887</v>
      </c>
      <c r="C779" s="3" t="s">
        <v>313</v>
      </c>
      <c r="D779" s="3" t="s">
        <v>1141</v>
      </c>
      <c r="E779" s="3">
        <v>1946</v>
      </c>
      <c r="F779" s="3"/>
      <c r="G779" s="3" t="s">
        <v>30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5">
        <v>76000</v>
      </c>
      <c r="N779" s="5">
        <v>115000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5">
        <v>7700</v>
      </c>
      <c r="X779" s="3">
        <v>0</v>
      </c>
      <c r="Y779" s="3">
        <v>0</v>
      </c>
      <c r="Z779" s="3">
        <v>0</v>
      </c>
      <c r="AA779" s="5">
        <v>38000</v>
      </c>
      <c r="AB779" s="6">
        <v>441200</v>
      </c>
      <c r="AD779" s="2" t="str">
        <f>VLOOKUP(E779,'[1]Detailed Transfer Report (12)'!$K:$Y,14,FALSE)</f>
        <v>Sardar Tanveer Ilyas</v>
      </c>
      <c r="AE779" s="16"/>
    </row>
    <row r="780" spans="1:31" x14ac:dyDescent="0.25">
      <c r="A780" s="7">
        <v>416</v>
      </c>
      <c r="B780" s="4">
        <v>43673</v>
      </c>
      <c r="C780" s="3" t="s">
        <v>207</v>
      </c>
      <c r="D780" s="3" t="s">
        <v>1142</v>
      </c>
      <c r="E780" s="3">
        <v>322</v>
      </c>
      <c r="F780" s="3"/>
      <c r="G780" s="3" t="s">
        <v>41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5">
        <v>167980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500</v>
      </c>
      <c r="W780" s="5">
        <v>42500</v>
      </c>
      <c r="X780" s="3">
        <v>0</v>
      </c>
      <c r="Y780" s="3">
        <v>0</v>
      </c>
      <c r="Z780" s="3">
        <v>0</v>
      </c>
      <c r="AA780" s="5">
        <v>55660</v>
      </c>
      <c r="AB780" s="6">
        <v>266640</v>
      </c>
      <c r="AD780" s="2" t="str">
        <f>VLOOKUP(E780,'[1]Detailed Transfer Report (12)'!$K:$Y,14,FALSE)</f>
        <v>Sardar Tanveer Ilyas</v>
      </c>
      <c r="AE780" s="16"/>
    </row>
    <row r="781" spans="1:31" x14ac:dyDescent="0.25">
      <c r="A781" s="10">
        <v>416</v>
      </c>
      <c r="B781" s="4">
        <v>43671</v>
      </c>
      <c r="C781" s="3" t="s">
        <v>44</v>
      </c>
      <c r="D781" s="3" t="s">
        <v>1143</v>
      </c>
      <c r="E781" s="3">
        <v>327</v>
      </c>
      <c r="F781" s="3"/>
      <c r="G781" s="3" t="s">
        <v>41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5">
        <v>35500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5">
        <v>8500</v>
      </c>
      <c r="X781" s="3">
        <v>0</v>
      </c>
      <c r="Y781" s="3">
        <v>0</v>
      </c>
      <c r="Z781" s="3">
        <v>0</v>
      </c>
      <c r="AA781" s="5">
        <v>11500</v>
      </c>
      <c r="AB781" s="6">
        <v>322140</v>
      </c>
      <c r="AD781" s="2" t="str">
        <f>VLOOKUP(E781,'[1]Detailed Transfer Report (12)'!$K:$Y,14,FALSE)</f>
        <v>Sardar Tanveer Ilyas</v>
      </c>
      <c r="AE781" s="16"/>
    </row>
    <row r="782" spans="1:31" x14ac:dyDescent="0.25">
      <c r="A782" s="7">
        <v>417</v>
      </c>
      <c r="B782" s="4">
        <v>43671</v>
      </c>
      <c r="C782" s="3" t="s">
        <v>1144</v>
      </c>
      <c r="D782" s="3" t="s">
        <v>1145</v>
      </c>
      <c r="E782" s="3">
        <v>272</v>
      </c>
      <c r="F782" s="3"/>
      <c r="G782" s="3" t="s">
        <v>41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5">
        <v>20500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5">
        <v>4628</v>
      </c>
      <c r="X782" s="3">
        <v>0</v>
      </c>
      <c r="Y782" s="3">
        <v>0</v>
      </c>
      <c r="Z782" s="3">
        <v>0</v>
      </c>
      <c r="AA782" s="5">
        <v>6500</v>
      </c>
      <c r="AB782" s="6">
        <v>31628</v>
      </c>
      <c r="AD782" s="2" t="str">
        <f>VLOOKUP(E782,'[1]Detailed Transfer Report (12)'!$K:$Y,14,FALSE)</f>
        <v>Sardar Tanveer Ilyas</v>
      </c>
      <c r="AE782" s="16"/>
    </row>
    <row r="783" spans="1:31" x14ac:dyDescent="0.25">
      <c r="A783" s="9">
        <v>417</v>
      </c>
      <c r="B783" s="4">
        <v>43671</v>
      </c>
      <c r="C783" s="3" t="s">
        <v>1144</v>
      </c>
      <c r="D783" s="3" t="s">
        <v>1146</v>
      </c>
      <c r="E783" s="3">
        <v>275</v>
      </c>
      <c r="F783" s="3"/>
      <c r="G783" s="3" t="s">
        <v>41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5">
        <v>20500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5">
        <v>4628</v>
      </c>
      <c r="X783" s="3">
        <v>0</v>
      </c>
      <c r="Y783" s="3">
        <v>0</v>
      </c>
      <c r="Z783" s="3">
        <v>0</v>
      </c>
      <c r="AA783" s="5">
        <v>6500</v>
      </c>
      <c r="AB783" s="6">
        <v>63256</v>
      </c>
      <c r="AD783" s="2" t="str">
        <f>VLOOKUP(E783,'[1]Detailed Transfer Report (12)'!$K:$Y,14,FALSE)</f>
        <v>Sardar Tanveer Ilyas</v>
      </c>
      <c r="AE783" s="16"/>
    </row>
    <row r="784" spans="1:31" x14ac:dyDescent="0.25">
      <c r="A784" s="10">
        <v>417</v>
      </c>
      <c r="B784" s="4">
        <v>43671</v>
      </c>
      <c r="C784" s="3" t="s">
        <v>1026</v>
      </c>
      <c r="D784" s="3" t="s">
        <v>1147</v>
      </c>
      <c r="E784" s="3">
        <v>326</v>
      </c>
      <c r="F784" s="3"/>
      <c r="G784" s="3" t="s">
        <v>41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5">
        <v>36100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5">
        <v>8736</v>
      </c>
      <c r="X784" s="3">
        <v>0</v>
      </c>
      <c r="Y784" s="3">
        <v>0</v>
      </c>
      <c r="Z784" s="3">
        <v>0</v>
      </c>
      <c r="AA784" s="5">
        <v>11700</v>
      </c>
      <c r="AB784" s="6">
        <v>119792</v>
      </c>
      <c r="AD784" s="2" t="str">
        <f>VLOOKUP(E784,'[1]Detailed Transfer Report (12)'!$K:$Y,14,FALSE)</f>
        <v>Sardar Tanveer Ilyas</v>
      </c>
      <c r="AE784" s="16"/>
    </row>
    <row r="785" spans="1:31" x14ac:dyDescent="0.25">
      <c r="A785" s="3">
        <v>418</v>
      </c>
      <c r="B785" s="4">
        <v>43646</v>
      </c>
      <c r="C785" s="3" t="s">
        <v>68</v>
      </c>
      <c r="D785" s="3" t="s">
        <v>1148</v>
      </c>
      <c r="E785" s="3">
        <v>1989</v>
      </c>
      <c r="F785" s="3"/>
      <c r="G785" s="3" t="s">
        <v>30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5">
        <v>60000</v>
      </c>
      <c r="N785" s="5">
        <v>91000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5">
        <v>16500</v>
      </c>
      <c r="X785" s="3">
        <v>0</v>
      </c>
      <c r="Y785" s="3">
        <v>0</v>
      </c>
      <c r="Z785" s="3">
        <v>0</v>
      </c>
      <c r="AA785" s="5">
        <v>30000</v>
      </c>
      <c r="AB785" s="6">
        <v>197500</v>
      </c>
      <c r="AD785" s="2" t="str">
        <f>VLOOKUP(E785,'[1]Detailed Transfer Report (12)'!$K:$Y,14,FALSE)</f>
        <v>Sardar Tanveer Ilyas</v>
      </c>
      <c r="AE785" s="16"/>
    </row>
    <row r="786" spans="1:31" x14ac:dyDescent="0.25">
      <c r="A786" s="3">
        <v>419</v>
      </c>
      <c r="B786" s="4">
        <v>43646</v>
      </c>
      <c r="C786" s="3" t="s">
        <v>137</v>
      </c>
      <c r="D786" s="3" t="s">
        <v>1149</v>
      </c>
      <c r="E786" s="3">
        <v>2054</v>
      </c>
      <c r="F786" s="3"/>
      <c r="G786" s="3" t="s">
        <v>30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5">
        <v>30000</v>
      </c>
      <c r="N786" s="5">
        <v>46000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5">
        <v>5500</v>
      </c>
      <c r="X786" s="3">
        <v>0</v>
      </c>
      <c r="Y786" s="3">
        <v>0</v>
      </c>
      <c r="Z786" s="3">
        <v>0</v>
      </c>
      <c r="AA786" s="5">
        <v>15000</v>
      </c>
      <c r="AB786" s="6">
        <v>96500</v>
      </c>
      <c r="AD786" s="2" t="str">
        <f>VLOOKUP(E786,'[1]Detailed Transfer Report (12)'!$K:$Y,14,FALSE)</f>
        <v>Sardar Tanveer Ilyas</v>
      </c>
      <c r="AE786" s="16"/>
    </row>
    <row r="787" spans="1:31" x14ac:dyDescent="0.25">
      <c r="A787" s="3">
        <v>420</v>
      </c>
      <c r="B787" s="4">
        <v>43671</v>
      </c>
      <c r="C787" s="3" t="s">
        <v>308</v>
      </c>
      <c r="D787" s="3" t="s">
        <v>1150</v>
      </c>
      <c r="E787" s="3">
        <v>2028</v>
      </c>
      <c r="F787" s="3"/>
      <c r="G787" s="3" t="s">
        <v>30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5">
        <v>36000</v>
      </c>
      <c r="N787" s="5">
        <v>55000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5">
        <v>3850</v>
      </c>
      <c r="X787" s="3">
        <v>0</v>
      </c>
      <c r="Y787" s="3">
        <v>0</v>
      </c>
      <c r="Z787" s="3">
        <v>0</v>
      </c>
      <c r="AA787" s="5">
        <v>18000</v>
      </c>
      <c r="AB787" s="6">
        <v>112850</v>
      </c>
      <c r="AD787" s="2" t="str">
        <f>VLOOKUP(E787,'[1]Detailed Transfer Report (12)'!$K:$Y,14,FALSE)</f>
        <v>Sardar Tanveer Ilyas</v>
      </c>
      <c r="AE787" s="16"/>
    </row>
    <row r="788" spans="1:31" x14ac:dyDescent="0.25">
      <c r="A788" s="3">
        <v>421</v>
      </c>
      <c r="B788" s="4">
        <v>44572</v>
      </c>
      <c r="C788" s="3" t="s">
        <v>137</v>
      </c>
      <c r="D788" s="3" t="s">
        <v>1151</v>
      </c>
      <c r="E788" s="3">
        <v>2032</v>
      </c>
      <c r="F788" s="3"/>
      <c r="G788" s="3" t="s">
        <v>30</v>
      </c>
      <c r="H788" s="3">
        <v>0</v>
      </c>
      <c r="I788" s="3">
        <v>0</v>
      </c>
      <c r="J788" s="5">
        <v>30000</v>
      </c>
      <c r="K788" s="3">
        <v>0</v>
      </c>
      <c r="L788" s="3">
        <v>0</v>
      </c>
      <c r="M788" s="3">
        <v>0</v>
      </c>
      <c r="N788" s="5">
        <v>30000</v>
      </c>
      <c r="O788" s="3">
        <v>0</v>
      </c>
      <c r="P788" s="3">
        <v>0</v>
      </c>
      <c r="Q788" s="5">
        <v>90000</v>
      </c>
      <c r="R788" s="5">
        <v>60000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5">
        <v>10000</v>
      </c>
      <c r="AB788" s="6">
        <v>220000</v>
      </c>
      <c r="AD788" s="2" t="str">
        <f>VLOOKUP(E788,'[1]Detailed Transfer Report (12)'!$K:$Y,14,FALSE)</f>
        <v>Sardar Tanveer Ilyas</v>
      </c>
      <c r="AE788" s="16"/>
    </row>
    <row r="789" spans="1:31" x14ac:dyDescent="0.25">
      <c r="A789" s="7">
        <v>422</v>
      </c>
      <c r="B789" s="4">
        <v>43887</v>
      </c>
      <c r="C789" s="3" t="s">
        <v>153</v>
      </c>
      <c r="D789" s="3" t="s">
        <v>1152</v>
      </c>
      <c r="E789" s="3">
        <v>2033</v>
      </c>
      <c r="F789" s="3"/>
      <c r="G789" s="3" t="s">
        <v>30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5">
        <v>30000</v>
      </c>
      <c r="N789" s="5">
        <v>46000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500</v>
      </c>
      <c r="W789" s="5">
        <v>2750</v>
      </c>
      <c r="X789" s="3">
        <v>0</v>
      </c>
      <c r="Y789" s="3">
        <v>0</v>
      </c>
      <c r="Z789" s="3">
        <v>0</v>
      </c>
      <c r="AA789" s="5">
        <v>15000</v>
      </c>
      <c r="AB789" s="6">
        <v>94250</v>
      </c>
      <c r="AD789" s="2" t="str">
        <f>VLOOKUP(E789,'[1]Detailed Transfer Report (12)'!$K:$Y,14,FALSE)</f>
        <v>Sardar Tanveer Ilyas</v>
      </c>
      <c r="AE789" s="16"/>
    </row>
    <row r="790" spans="1:31" x14ac:dyDescent="0.25">
      <c r="A790" s="10">
        <v>422</v>
      </c>
      <c r="B790" s="4">
        <v>43887</v>
      </c>
      <c r="C790" s="3" t="s">
        <v>153</v>
      </c>
      <c r="D790" s="3" t="s">
        <v>1153</v>
      </c>
      <c r="E790" s="3">
        <v>2000</v>
      </c>
      <c r="F790" s="3"/>
      <c r="G790" s="3" t="s">
        <v>30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5">
        <v>14000</v>
      </c>
      <c r="N790" s="5">
        <v>22000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5">
        <v>2750</v>
      </c>
      <c r="X790" s="3">
        <v>0</v>
      </c>
      <c r="Y790" s="3">
        <v>0</v>
      </c>
      <c r="Z790" s="3">
        <v>0</v>
      </c>
      <c r="AA790" s="5">
        <v>7000</v>
      </c>
      <c r="AB790" s="6">
        <v>140000</v>
      </c>
      <c r="AD790" s="2" t="str">
        <f>VLOOKUP(E790,'[1]Detailed Transfer Report (12)'!$K:$Y,14,FALSE)</f>
        <v>Sardar Tanveer Ilyas</v>
      </c>
      <c r="AE790" s="16"/>
    </row>
    <row r="791" spans="1:31" x14ac:dyDescent="0.25">
      <c r="A791" s="3">
        <v>423</v>
      </c>
      <c r="B791" s="4">
        <v>43606</v>
      </c>
      <c r="C791" s="3" t="s">
        <v>153</v>
      </c>
      <c r="D791" s="3" t="s">
        <v>1154</v>
      </c>
      <c r="E791" s="3">
        <v>2036</v>
      </c>
      <c r="F791" s="3"/>
      <c r="G791" s="3" t="s">
        <v>30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8">
        <v>0</v>
      </c>
      <c r="AE791" s="16"/>
    </row>
    <row r="792" spans="1:31" x14ac:dyDescent="0.25">
      <c r="A792" s="7">
        <v>425</v>
      </c>
      <c r="B792" s="4">
        <v>43646</v>
      </c>
      <c r="C792" s="3" t="s">
        <v>143</v>
      </c>
      <c r="D792" s="3" t="s">
        <v>1155</v>
      </c>
      <c r="E792" s="3">
        <v>2078</v>
      </c>
      <c r="F792" s="3"/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5">
        <v>60000</v>
      </c>
      <c r="N792" s="5">
        <v>91000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5">
        <v>11550</v>
      </c>
      <c r="X792" s="3">
        <v>0</v>
      </c>
      <c r="Y792" s="3">
        <v>0</v>
      </c>
      <c r="Z792" s="3">
        <v>0</v>
      </c>
      <c r="AA792" s="5">
        <v>30000</v>
      </c>
      <c r="AB792" s="6">
        <v>192550</v>
      </c>
      <c r="AD792" s="2" t="str">
        <f>VLOOKUP(E792,'[1]Detailed Transfer Report (12)'!$K:$Y,14,FALSE)</f>
        <v>Sardar Tanveer Ilyas</v>
      </c>
      <c r="AE792" s="16"/>
    </row>
    <row r="793" spans="1:31" x14ac:dyDescent="0.25">
      <c r="A793" s="10">
        <v>425</v>
      </c>
      <c r="B793" s="4">
        <v>43646</v>
      </c>
      <c r="C793" s="3" t="s">
        <v>137</v>
      </c>
      <c r="D793" s="3" t="s">
        <v>1156</v>
      </c>
      <c r="E793" s="3">
        <v>2079</v>
      </c>
      <c r="F793" s="3"/>
      <c r="G793" s="3" t="s">
        <v>30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5">
        <v>30000</v>
      </c>
      <c r="N793" s="5">
        <v>46000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500</v>
      </c>
      <c r="W793" s="5">
        <v>5500</v>
      </c>
      <c r="X793" s="3">
        <v>0</v>
      </c>
      <c r="Y793" s="3">
        <v>0</v>
      </c>
      <c r="Z793" s="3">
        <v>0</v>
      </c>
      <c r="AA793" s="5">
        <v>15000</v>
      </c>
      <c r="AB793" s="6">
        <v>289550</v>
      </c>
      <c r="AD793" s="2" t="str">
        <f>VLOOKUP(E793,'[1]Detailed Transfer Report (12)'!$K:$Y,14,FALSE)</f>
        <v>Sardar Tanveer Ilyas</v>
      </c>
      <c r="AE793" s="16"/>
    </row>
    <row r="794" spans="1:31" ht="45.75" x14ac:dyDescent="0.25">
      <c r="A794" s="3">
        <v>426</v>
      </c>
      <c r="B794" s="4">
        <v>43617</v>
      </c>
      <c r="C794" s="3" t="s">
        <v>700</v>
      </c>
      <c r="D794" s="3" t="s">
        <v>1157</v>
      </c>
      <c r="E794" s="3" t="s">
        <v>1158</v>
      </c>
      <c r="F794" s="3"/>
      <c r="G794" s="3" t="s">
        <v>41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8">
        <v>0</v>
      </c>
      <c r="AE794" s="16"/>
    </row>
    <row r="795" spans="1:31" x14ac:dyDescent="0.25">
      <c r="A795" s="7">
        <v>427</v>
      </c>
      <c r="B795" s="4">
        <v>43760</v>
      </c>
      <c r="C795" s="3" t="s">
        <v>1159</v>
      </c>
      <c r="D795" s="3" t="s">
        <v>1160</v>
      </c>
      <c r="E795" s="3">
        <v>2249</v>
      </c>
      <c r="F795" s="3"/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5">
        <v>300000</v>
      </c>
      <c r="N795" s="5">
        <v>451000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5">
        <v>132550</v>
      </c>
      <c r="X795" s="3">
        <v>0</v>
      </c>
      <c r="Y795" s="3">
        <v>0</v>
      </c>
      <c r="Z795" s="3">
        <v>0</v>
      </c>
      <c r="AA795" s="5">
        <v>150000</v>
      </c>
      <c r="AB795" s="6">
        <v>1033550</v>
      </c>
      <c r="AD795" s="2" t="str">
        <f>VLOOKUP(E795,'[1]Detailed Transfer Report (12)'!$K:$Y,14,FALSE)</f>
        <v>Sardar Tanveer Ilyas</v>
      </c>
      <c r="AE795" s="16"/>
    </row>
    <row r="796" spans="1:31" x14ac:dyDescent="0.25">
      <c r="A796" s="10">
        <v>427</v>
      </c>
      <c r="B796" s="4">
        <v>43760</v>
      </c>
      <c r="C796" s="3" t="s">
        <v>1159</v>
      </c>
      <c r="D796" s="3" t="s">
        <v>1161</v>
      </c>
      <c r="E796" s="3">
        <v>2250</v>
      </c>
      <c r="F796" s="3"/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5">
        <v>1200000</v>
      </c>
      <c r="M796" s="5">
        <v>300000</v>
      </c>
      <c r="N796" s="5">
        <v>451000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500</v>
      </c>
      <c r="W796" s="5">
        <v>132550</v>
      </c>
      <c r="X796" s="3">
        <v>0</v>
      </c>
      <c r="Y796" s="3">
        <v>0</v>
      </c>
      <c r="Z796" s="3">
        <v>0</v>
      </c>
      <c r="AA796" s="5">
        <v>150000</v>
      </c>
      <c r="AB796" s="6">
        <v>3267600</v>
      </c>
      <c r="AD796" s="2" t="str">
        <f>VLOOKUP(E796,'[1]Detailed Transfer Report (12)'!$K:$Y,14,FALSE)</f>
        <v>Sardar Tanveer Ilyas</v>
      </c>
      <c r="AE796" s="16"/>
    </row>
    <row r="797" spans="1:31" x14ac:dyDescent="0.25">
      <c r="A797" s="3">
        <v>428</v>
      </c>
      <c r="B797" s="4">
        <v>44243</v>
      </c>
      <c r="C797" s="3" t="s">
        <v>1162</v>
      </c>
      <c r="D797" s="3" t="s">
        <v>1163</v>
      </c>
      <c r="E797" s="3">
        <v>2096</v>
      </c>
      <c r="F797" s="3"/>
      <c r="G797" s="3" t="s">
        <v>30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8">
        <v>0</v>
      </c>
      <c r="AD797" s="2" t="str">
        <f>VLOOKUP(E797,'[1]Detailed Transfer Report (12)'!$K:$Y,14,FALSE)</f>
        <v>Sardar Tanveer Ilyas</v>
      </c>
      <c r="AE797" s="16"/>
    </row>
    <row r="798" spans="1:31" x14ac:dyDescent="0.25">
      <c r="A798" s="3">
        <v>429</v>
      </c>
      <c r="B798" s="4">
        <v>43658</v>
      </c>
      <c r="C798" s="3" t="s">
        <v>137</v>
      </c>
      <c r="D798" s="3" t="s">
        <v>1164</v>
      </c>
      <c r="E798" s="3">
        <v>2170</v>
      </c>
      <c r="F798" s="3"/>
      <c r="G798" s="3" t="s">
        <v>30</v>
      </c>
      <c r="H798" s="3">
        <v>0</v>
      </c>
      <c r="I798" s="3">
        <v>0</v>
      </c>
      <c r="J798" s="3">
        <v>0</v>
      </c>
      <c r="K798" s="3">
        <v>0</v>
      </c>
      <c r="L798" s="5">
        <v>25000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6">
        <v>25000</v>
      </c>
      <c r="AD798" s="2" t="str">
        <f>VLOOKUP(E798,'[1]Detailed Transfer Report (12)'!$K:$Y,14,FALSE)</f>
        <v>Sardar Tanveer Ilyas</v>
      </c>
      <c r="AE798" s="16"/>
    </row>
    <row r="799" spans="1:31" x14ac:dyDescent="0.25">
      <c r="A799" s="3">
        <v>430</v>
      </c>
      <c r="B799" s="4">
        <v>43715</v>
      </c>
      <c r="C799" s="3" t="s">
        <v>153</v>
      </c>
      <c r="D799" s="3" t="s">
        <v>1165</v>
      </c>
      <c r="E799" s="3">
        <v>2183</v>
      </c>
      <c r="F799" s="3"/>
      <c r="G799" s="3" t="s">
        <v>30</v>
      </c>
      <c r="H799" s="3">
        <v>0</v>
      </c>
      <c r="I799" s="3">
        <v>0</v>
      </c>
      <c r="J799" s="3">
        <v>0</v>
      </c>
      <c r="K799" s="3">
        <v>0</v>
      </c>
      <c r="L799" s="5">
        <v>31000</v>
      </c>
      <c r="M799" s="5">
        <v>15000</v>
      </c>
      <c r="N799" s="5">
        <v>22500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500</v>
      </c>
      <c r="W799" s="5">
        <v>2125</v>
      </c>
      <c r="X799" s="3">
        <v>0</v>
      </c>
      <c r="Y799" s="3">
        <v>0</v>
      </c>
      <c r="Z799" s="3">
        <v>0</v>
      </c>
      <c r="AA799" s="5">
        <v>7500</v>
      </c>
      <c r="AB799" s="6">
        <v>78625</v>
      </c>
      <c r="AD799" s="2" t="str">
        <f>VLOOKUP(E799,'[1]Detailed Transfer Report (12)'!$K:$Y,14,FALSE)</f>
        <v>Sardar Tanveer Ilyas</v>
      </c>
      <c r="AE799" s="16"/>
    </row>
    <row r="800" spans="1:31" x14ac:dyDescent="0.25">
      <c r="A800" s="3">
        <v>431</v>
      </c>
      <c r="B800" s="4">
        <v>43717</v>
      </c>
      <c r="C800" s="3" t="s">
        <v>344</v>
      </c>
      <c r="D800" s="3" t="s">
        <v>1166</v>
      </c>
      <c r="E800" s="3">
        <v>2182</v>
      </c>
      <c r="F800" s="3"/>
      <c r="G800" s="3" t="s">
        <v>30</v>
      </c>
      <c r="H800" s="3">
        <v>0</v>
      </c>
      <c r="I800" s="3">
        <v>0</v>
      </c>
      <c r="J800" s="3">
        <v>0</v>
      </c>
      <c r="K800" s="3">
        <v>0</v>
      </c>
      <c r="L800" s="5">
        <v>155000</v>
      </c>
      <c r="M800" s="5">
        <v>75000</v>
      </c>
      <c r="N800" s="5">
        <v>112500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5">
        <v>13750</v>
      </c>
      <c r="X800" s="3">
        <v>0</v>
      </c>
      <c r="Y800" s="3">
        <v>0</v>
      </c>
      <c r="Z800" s="3">
        <v>0</v>
      </c>
      <c r="AA800" s="5">
        <v>37500</v>
      </c>
      <c r="AB800" s="6">
        <v>393750</v>
      </c>
      <c r="AD800" s="2" t="str">
        <f>VLOOKUP(E800,'[1]Detailed Transfer Report (12)'!$K:$Y,14,FALSE)</f>
        <v>Sardar Tanveer Ilyas</v>
      </c>
      <c r="AE800" s="16"/>
    </row>
    <row r="801" spans="1:31" x14ac:dyDescent="0.25">
      <c r="A801" s="3">
        <v>432</v>
      </c>
      <c r="B801" s="4">
        <v>43658</v>
      </c>
      <c r="C801" s="3" t="s">
        <v>1167</v>
      </c>
      <c r="D801" s="3" t="s">
        <v>1168</v>
      </c>
      <c r="E801" s="3">
        <v>2171</v>
      </c>
      <c r="F801" s="3"/>
      <c r="G801" s="3" t="s">
        <v>30</v>
      </c>
      <c r="H801" s="3">
        <v>0</v>
      </c>
      <c r="I801" s="3">
        <v>0</v>
      </c>
      <c r="J801" s="3">
        <v>0</v>
      </c>
      <c r="K801" s="3">
        <v>0</v>
      </c>
      <c r="L801" s="5">
        <v>60874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5">
        <v>2200000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6">
        <v>2260874</v>
      </c>
      <c r="AD801" s="2" t="str">
        <f>VLOOKUP(E801,'[1]Detailed Transfer Report (12)'!$K:$Y,14,FALSE)</f>
        <v>Sardar Tanveer Ilyas</v>
      </c>
      <c r="AE801" s="16"/>
    </row>
    <row r="802" spans="1:31" x14ac:dyDescent="0.25">
      <c r="A802" s="7">
        <v>433</v>
      </c>
      <c r="B802" s="4">
        <v>43664</v>
      </c>
      <c r="C802" s="3" t="s">
        <v>1169</v>
      </c>
      <c r="D802" s="3" t="s">
        <v>1170</v>
      </c>
      <c r="E802" s="3">
        <v>365</v>
      </c>
      <c r="F802" s="3"/>
      <c r="G802" s="3" t="s">
        <v>41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8">
        <v>0</v>
      </c>
      <c r="AD802" s="2" t="str">
        <f>VLOOKUP(E802,'[1]Detailed Transfer Report (12)'!$K:$Y,14,FALSE)</f>
        <v>Sardar Tanveer Ilyas</v>
      </c>
      <c r="AE802" s="16"/>
    </row>
    <row r="803" spans="1:31" x14ac:dyDescent="0.25">
      <c r="A803" s="9">
        <v>433</v>
      </c>
      <c r="B803" s="4">
        <v>43664</v>
      </c>
      <c r="C803" s="3" t="s">
        <v>161</v>
      </c>
      <c r="D803" s="3" t="s">
        <v>1171</v>
      </c>
      <c r="E803" s="3">
        <v>364</v>
      </c>
      <c r="F803" s="3"/>
      <c r="G803" s="3" t="s">
        <v>41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8">
        <v>0</v>
      </c>
      <c r="AD803" s="2" t="str">
        <f>VLOOKUP(E803,'[1]Detailed Transfer Report (12)'!$K:$Y,14,FALSE)</f>
        <v>Sardar Tanveer Ilyas</v>
      </c>
      <c r="AE803" s="16"/>
    </row>
    <row r="804" spans="1:31" x14ac:dyDescent="0.25">
      <c r="A804" s="9">
        <v>433</v>
      </c>
      <c r="B804" s="4">
        <v>43664</v>
      </c>
      <c r="C804" s="3" t="s">
        <v>700</v>
      </c>
      <c r="D804" s="3" t="s">
        <v>1172</v>
      </c>
      <c r="E804" s="3">
        <v>366</v>
      </c>
      <c r="F804" s="3"/>
      <c r="G804" s="3" t="s">
        <v>41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8">
        <v>0</v>
      </c>
      <c r="AD804" s="2" t="str">
        <f>VLOOKUP(E804,'[1]Detailed Transfer Report (12)'!$K:$Y,14,FALSE)</f>
        <v>Sardar Tanveer Ilyas</v>
      </c>
      <c r="AE804" s="16"/>
    </row>
    <row r="805" spans="1:31" x14ac:dyDescent="0.25">
      <c r="A805" s="10">
        <v>433</v>
      </c>
      <c r="B805" s="4">
        <v>43664</v>
      </c>
      <c r="C805" s="3" t="s">
        <v>536</v>
      </c>
      <c r="D805" s="3" t="s">
        <v>1173</v>
      </c>
      <c r="E805" s="3">
        <v>361</v>
      </c>
      <c r="F805" s="3"/>
      <c r="G805" s="3" t="s">
        <v>41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8">
        <v>0</v>
      </c>
      <c r="AD805" s="2" t="str">
        <f>VLOOKUP(E805,'[1]Detailed Transfer Report (12)'!$K:$Y,14,FALSE)</f>
        <v>Sardar Tanveer Ilyas</v>
      </c>
      <c r="AE805" s="16"/>
    </row>
    <row r="806" spans="1:31" x14ac:dyDescent="0.25">
      <c r="A806" s="7">
        <v>434</v>
      </c>
      <c r="B806" s="4">
        <v>43664</v>
      </c>
      <c r="C806" s="3" t="s">
        <v>301</v>
      </c>
      <c r="D806" s="3" t="s">
        <v>1174</v>
      </c>
      <c r="E806" s="3">
        <v>332</v>
      </c>
      <c r="F806" s="3"/>
      <c r="G806" s="3" t="s">
        <v>41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8">
        <v>0</v>
      </c>
      <c r="AE806" s="16"/>
    </row>
    <row r="807" spans="1:31" x14ac:dyDescent="0.25">
      <c r="A807" s="10">
        <v>434</v>
      </c>
      <c r="B807" s="4">
        <v>43664</v>
      </c>
      <c r="C807" s="3" t="s">
        <v>198</v>
      </c>
      <c r="D807" s="3" t="s">
        <v>1175</v>
      </c>
      <c r="E807" s="3">
        <v>333</v>
      </c>
      <c r="F807" s="3"/>
      <c r="G807" s="3" t="s">
        <v>41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8">
        <v>0</v>
      </c>
      <c r="AE807" s="16"/>
    </row>
    <row r="808" spans="1:31" x14ac:dyDescent="0.25">
      <c r="A808" s="3">
        <v>435</v>
      </c>
      <c r="B808" s="4">
        <v>43715</v>
      </c>
      <c r="C808" s="3" t="s">
        <v>137</v>
      </c>
      <c r="D808" s="3" t="s">
        <v>1176</v>
      </c>
      <c r="E808" s="3">
        <v>2181</v>
      </c>
      <c r="F808" s="3"/>
      <c r="G808" s="3" t="s">
        <v>30</v>
      </c>
      <c r="H808" s="3">
        <v>0</v>
      </c>
      <c r="I808" s="3">
        <v>0</v>
      </c>
      <c r="J808" s="3">
        <v>0</v>
      </c>
      <c r="K808" s="3">
        <v>0</v>
      </c>
      <c r="L808" s="5">
        <v>25000</v>
      </c>
      <c r="M808" s="5">
        <v>24000</v>
      </c>
      <c r="N808" s="5">
        <v>36000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5">
        <v>5500</v>
      </c>
      <c r="X808" s="3">
        <v>0</v>
      </c>
      <c r="Y808" s="3">
        <v>0</v>
      </c>
      <c r="Z808" s="3">
        <v>0</v>
      </c>
      <c r="AA808" s="5">
        <v>12000</v>
      </c>
      <c r="AB808" s="6">
        <v>102500</v>
      </c>
      <c r="AD808" s="2" t="str">
        <f>VLOOKUP(E808,'[1]Detailed Transfer Report (12)'!$K:$Y,14,FALSE)</f>
        <v>Sardar Tanveer Ilyas</v>
      </c>
      <c r="AE808" s="16"/>
    </row>
    <row r="809" spans="1:31" x14ac:dyDescent="0.25">
      <c r="A809" s="7">
        <v>439</v>
      </c>
      <c r="B809" s="4">
        <v>43666</v>
      </c>
      <c r="C809" s="3" t="s">
        <v>1177</v>
      </c>
      <c r="D809" s="3" t="s">
        <v>1178</v>
      </c>
      <c r="E809" s="3">
        <v>3267</v>
      </c>
      <c r="F809" s="3"/>
      <c r="G809" s="3" t="s">
        <v>1179</v>
      </c>
      <c r="H809" s="3">
        <v>0</v>
      </c>
      <c r="I809" s="3">
        <v>0</v>
      </c>
      <c r="J809" s="5">
        <v>154800</v>
      </c>
      <c r="K809" s="3">
        <v>0</v>
      </c>
      <c r="L809" s="3">
        <v>0</v>
      </c>
      <c r="M809" s="3">
        <v>0</v>
      </c>
      <c r="N809" s="5">
        <v>232200</v>
      </c>
      <c r="O809" s="3">
        <v>0</v>
      </c>
      <c r="P809" s="3">
        <v>0</v>
      </c>
      <c r="Q809" s="5">
        <v>155800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5">
        <v>119400</v>
      </c>
      <c r="X809" s="3">
        <v>0</v>
      </c>
      <c r="Y809" s="3">
        <v>0</v>
      </c>
      <c r="Z809" s="3">
        <v>0</v>
      </c>
      <c r="AA809" s="3">
        <v>0</v>
      </c>
      <c r="AB809" s="6">
        <v>662200</v>
      </c>
      <c r="AD809" s="2" t="str">
        <f>VLOOKUP(E809,'[1]Detailed Transfer Report (12)'!$K:$Y,14,FALSE)</f>
        <v>Asma Tanveer</v>
      </c>
      <c r="AE809" s="16"/>
    </row>
    <row r="810" spans="1:31" x14ac:dyDescent="0.25">
      <c r="A810" s="10">
        <v>439</v>
      </c>
      <c r="B810" s="4">
        <v>43666</v>
      </c>
      <c r="C810" s="3" t="s">
        <v>1177</v>
      </c>
      <c r="D810" s="3" t="s">
        <v>1178</v>
      </c>
      <c r="E810" s="3">
        <v>3268</v>
      </c>
      <c r="F810" s="3"/>
      <c r="G810" s="3" t="s">
        <v>1179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6">
        <v>662200</v>
      </c>
      <c r="AD810" s="2" t="str">
        <f>VLOOKUP(E810,'[1]Detailed Transfer Report (12)'!$K:$Y,14,FALSE)</f>
        <v>Asma Tanveer</v>
      </c>
      <c r="AE810" s="16"/>
    </row>
    <row r="811" spans="1:31" x14ac:dyDescent="0.25">
      <c r="A811" s="7">
        <v>440</v>
      </c>
      <c r="B811" s="4">
        <v>44572</v>
      </c>
      <c r="C811" s="3" t="s">
        <v>1180</v>
      </c>
      <c r="D811" s="3" t="s">
        <v>1181</v>
      </c>
      <c r="E811" s="3">
        <v>2404</v>
      </c>
      <c r="F811" s="3"/>
      <c r="G811" s="3" t="s">
        <v>30</v>
      </c>
      <c r="H811" s="3">
        <v>0</v>
      </c>
      <c r="I811" s="3">
        <v>0</v>
      </c>
      <c r="J811" s="5">
        <v>100000</v>
      </c>
      <c r="K811" s="3">
        <v>0</v>
      </c>
      <c r="L811" s="3">
        <v>0</v>
      </c>
      <c r="M811" s="3">
        <v>0</v>
      </c>
      <c r="N811" s="5">
        <v>100000</v>
      </c>
      <c r="O811" s="3">
        <v>0</v>
      </c>
      <c r="P811" s="3">
        <v>0</v>
      </c>
      <c r="Q811" s="5">
        <v>300000</v>
      </c>
      <c r="R811" s="5">
        <v>200000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5">
        <v>10000</v>
      </c>
      <c r="AB811" s="6">
        <v>710000</v>
      </c>
      <c r="AD811" s="2" t="str">
        <f>VLOOKUP(E811,'[1]Detailed Transfer Report (12)'!$K:$Y,14,FALSE)</f>
        <v>Sardar Tanveer Ilyas</v>
      </c>
      <c r="AE811" s="16"/>
    </row>
    <row r="812" spans="1:31" x14ac:dyDescent="0.25">
      <c r="A812" s="10">
        <v>440</v>
      </c>
      <c r="B812" s="4">
        <v>44572</v>
      </c>
      <c r="C812" s="3" t="s">
        <v>1182</v>
      </c>
      <c r="D812" s="3" t="s">
        <v>1181</v>
      </c>
      <c r="E812" s="3">
        <v>2410</v>
      </c>
      <c r="F812" s="3"/>
      <c r="G812" s="3" t="s">
        <v>30</v>
      </c>
      <c r="H812" s="3">
        <v>0</v>
      </c>
      <c r="I812" s="3">
        <v>0</v>
      </c>
      <c r="J812" s="5">
        <v>10000</v>
      </c>
      <c r="K812" s="3">
        <v>0</v>
      </c>
      <c r="L812" s="3">
        <v>0</v>
      </c>
      <c r="M812" s="3">
        <v>0</v>
      </c>
      <c r="N812" s="5">
        <v>10000</v>
      </c>
      <c r="O812" s="3">
        <v>0</v>
      </c>
      <c r="P812" s="3">
        <v>0</v>
      </c>
      <c r="Q812" s="5">
        <v>30000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5">
        <v>10000</v>
      </c>
      <c r="AB812" s="6">
        <v>770000</v>
      </c>
      <c r="AC812" s="2" t="str">
        <f>VLOOKUP(E812,'[1]Detailed Transfer Report (12)'!$K:$Y,13,FALSE)</f>
        <v>Sultan Begum</v>
      </c>
      <c r="AD812" s="2" t="str">
        <f>VLOOKUP(E812,'[1]Detailed Transfer Report (12)'!$K:$Y,14,FALSE)</f>
        <v>Sardar Tanveer Ilyas</v>
      </c>
      <c r="AE812" s="16"/>
    </row>
    <row r="813" spans="1:31" x14ac:dyDescent="0.25">
      <c r="A813" s="3">
        <v>441</v>
      </c>
      <c r="B813" s="4">
        <v>43673</v>
      </c>
      <c r="C813" s="3" t="s">
        <v>1183</v>
      </c>
      <c r="D813" s="3" t="s">
        <v>1184</v>
      </c>
      <c r="E813" s="3">
        <v>389</v>
      </c>
      <c r="F813" s="3"/>
      <c r="G813" s="3" t="s">
        <v>41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8">
        <v>0</v>
      </c>
      <c r="AC813" s="2" t="str">
        <f>VLOOKUP(E813,'[1]Detailed Transfer Report (12)'!$K:$Y,13,FALSE)</f>
        <v>Munawar Jan</v>
      </c>
      <c r="AD813" s="2" t="str">
        <f>VLOOKUP(E813,'[1]Detailed Transfer Report (12)'!$K:$Y,14,FALSE)</f>
        <v>Sardar Tanveer Ilyas</v>
      </c>
      <c r="AE813" s="16"/>
    </row>
    <row r="814" spans="1:31" x14ac:dyDescent="0.25">
      <c r="A814" s="7">
        <v>442</v>
      </c>
      <c r="B814" s="4">
        <v>43683</v>
      </c>
      <c r="C814" s="3" t="s">
        <v>1185</v>
      </c>
      <c r="D814" s="3" t="s">
        <v>1186</v>
      </c>
      <c r="E814" s="3">
        <v>391</v>
      </c>
      <c r="F814" s="3"/>
      <c r="G814" s="3" t="s">
        <v>41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8">
        <v>0</v>
      </c>
      <c r="AC814" s="2" t="str">
        <f>VLOOKUP(E814,'[1]Detailed Transfer Report (12)'!$K:$Y,13,FALSE)</f>
        <v>Saleem Akhtar</v>
      </c>
      <c r="AD814" s="2" t="str">
        <f>VLOOKUP(E814,'[1]Detailed Transfer Report (12)'!$K:$Y,14,FALSE)</f>
        <v>Sardar Tanveer Ilyas</v>
      </c>
      <c r="AE814" s="16"/>
    </row>
    <row r="815" spans="1:31" x14ac:dyDescent="0.25">
      <c r="A815" s="9">
        <v>442</v>
      </c>
      <c r="B815" s="4">
        <v>43683</v>
      </c>
      <c r="C815" s="3" t="s">
        <v>491</v>
      </c>
      <c r="D815" s="3" t="s">
        <v>1187</v>
      </c>
      <c r="E815" s="3">
        <v>378</v>
      </c>
      <c r="F815" s="3"/>
      <c r="G815" s="3" t="s">
        <v>41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8">
        <v>0</v>
      </c>
      <c r="AD815" s="2" t="str">
        <f>VLOOKUP(E815,'[1]Detailed Transfer Report (12)'!$K:$Y,14,FALSE)</f>
        <v>Sardar Tanveer Ilyas</v>
      </c>
      <c r="AE815" s="16"/>
    </row>
    <row r="816" spans="1:31" x14ac:dyDescent="0.25">
      <c r="A816" s="10">
        <v>442</v>
      </c>
      <c r="B816" s="4">
        <v>43683</v>
      </c>
      <c r="C816" s="3" t="s">
        <v>521</v>
      </c>
      <c r="D816" s="3" t="s">
        <v>822</v>
      </c>
      <c r="E816" s="3">
        <v>382</v>
      </c>
      <c r="F816" s="3"/>
      <c r="G816" s="3" t="s">
        <v>41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8">
        <v>0</v>
      </c>
      <c r="AC816" s="2" t="str">
        <f>VLOOKUP(E816,'[1]Detailed Transfer Report (12)'!$K:$Y,13,FALSE)</f>
        <v>Mumraiz Akhtar</v>
      </c>
      <c r="AD816" s="2" t="str">
        <f>VLOOKUP(E816,'[1]Detailed Transfer Report (12)'!$K:$Y,14,FALSE)</f>
        <v>Sardar Tanveer Ilyas</v>
      </c>
      <c r="AE816" s="16"/>
    </row>
    <row r="817" spans="1:31" x14ac:dyDescent="0.25">
      <c r="A817" s="7">
        <v>443</v>
      </c>
      <c r="B817" s="4">
        <v>43764</v>
      </c>
      <c r="C817" s="3" t="s">
        <v>536</v>
      </c>
      <c r="D817" s="3" t="s">
        <v>1188</v>
      </c>
      <c r="E817" s="3"/>
      <c r="F817" s="3"/>
      <c r="G817" s="3" t="s">
        <v>30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8">
        <v>0</v>
      </c>
      <c r="AE817" s="16"/>
    </row>
    <row r="818" spans="1:31" x14ac:dyDescent="0.25">
      <c r="A818" s="9">
        <v>443</v>
      </c>
      <c r="B818" s="4">
        <v>43887</v>
      </c>
      <c r="C818" s="3" t="s">
        <v>68</v>
      </c>
      <c r="D818" s="3" t="s">
        <v>1189</v>
      </c>
      <c r="E818" s="3">
        <v>2180</v>
      </c>
      <c r="F818" s="3"/>
      <c r="G818" s="3" t="s">
        <v>30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5">
        <v>60000</v>
      </c>
      <c r="N818" s="5">
        <v>91000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5">
        <v>30000</v>
      </c>
      <c r="W818" s="5">
        <v>16500</v>
      </c>
      <c r="X818" s="3">
        <v>0</v>
      </c>
      <c r="Y818" s="3">
        <v>0</v>
      </c>
      <c r="Z818" s="3">
        <v>0</v>
      </c>
      <c r="AA818" s="5">
        <v>30000</v>
      </c>
      <c r="AB818" s="6">
        <v>227500</v>
      </c>
      <c r="AD818" s="2" t="str">
        <f>VLOOKUP(E818,'[1]Detailed Transfer Report (12)'!$K:$Y,14,FALSE)</f>
        <v>Sardar Tanveer Ilyas</v>
      </c>
      <c r="AE818" s="16"/>
    </row>
    <row r="819" spans="1:31" x14ac:dyDescent="0.25">
      <c r="A819" s="10">
        <v>443</v>
      </c>
      <c r="B819" s="4">
        <v>43760</v>
      </c>
      <c r="C819" s="3" t="s">
        <v>137</v>
      </c>
      <c r="D819" s="3" t="s">
        <v>1190</v>
      </c>
      <c r="E819" s="3">
        <v>2218</v>
      </c>
      <c r="F819" s="3"/>
      <c r="G819" s="3" t="s">
        <v>30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5">
        <v>20000</v>
      </c>
      <c r="N819" s="5">
        <v>31000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5">
        <v>5500</v>
      </c>
      <c r="X819" s="3">
        <v>0</v>
      </c>
      <c r="Y819" s="3">
        <v>0</v>
      </c>
      <c r="Z819" s="3">
        <v>0</v>
      </c>
      <c r="AA819" s="5">
        <v>10000</v>
      </c>
      <c r="AB819" s="6">
        <v>294000</v>
      </c>
      <c r="AD819" s="2" t="str">
        <f>VLOOKUP(E819,'[1]Detailed Transfer Report (12)'!$K:$Y,14,FALSE)</f>
        <v>Sardar Tanveer Ilyas</v>
      </c>
      <c r="AE819" s="16"/>
    </row>
    <row r="820" spans="1:31" x14ac:dyDescent="0.25">
      <c r="A820" s="3">
        <v>444</v>
      </c>
      <c r="B820" s="4">
        <v>43887</v>
      </c>
      <c r="C820" s="3" t="s">
        <v>153</v>
      </c>
      <c r="D820" s="3" t="s">
        <v>1191</v>
      </c>
      <c r="E820" s="3">
        <v>2205</v>
      </c>
      <c r="F820" s="3"/>
      <c r="G820" s="3" t="s">
        <v>30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5">
        <v>10000</v>
      </c>
      <c r="N820" s="5">
        <v>15500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5">
        <v>5500</v>
      </c>
      <c r="W820" s="5">
        <v>2750</v>
      </c>
      <c r="X820" s="3">
        <v>0</v>
      </c>
      <c r="Y820" s="3">
        <v>0</v>
      </c>
      <c r="Z820" s="3">
        <v>0</v>
      </c>
      <c r="AA820" s="5">
        <v>5000</v>
      </c>
      <c r="AB820" s="6">
        <v>38750</v>
      </c>
      <c r="AD820" s="2" t="str">
        <f>VLOOKUP(E820,'[1]Detailed Transfer Report (12)'!$K:$Y,14,FALSE)</f>
        <v>Sardar Tanveer Ilyas</v>
      </c>
      <c r="AE820" s="16"/>
    </row>
    <row r="821" spans="1:31" x14ac:dyDescent="0.25">
      <c r="A821" s="3">
        <v>445</v>
      </c>
      <c r="B821" s="4">
        <v>44140</v>
      </c>
      <c r="C821" s="3" t="s">
        <v>205</v>
      </c>
      <c r="D821" s="3" t="s">
        <v>1192</v>
      </c>
      <c r="E821" s="3">
        <v>2998</v>
      </c>
      <c r="F821" s="3">
        <v>21608</v>
      </c>
      <c r="G821" s="3" t="s">
        <v>30</v>
      </c>
      <c r="H821" s="3">
        <v>0</v>
      </c>
      <c r="I821" s="3">
        <v>0</v>
      </c>
      <c r="J821" s="5">
        <v>3300</v>
      </c>
      <c r="K821" s="3">
        <v>0</v>
      </c>
      <c r="L821" s="3">
        <v>0</v>
      </c>
      <c r="M821" s="3">
        <v>0</v>
      </c>
      <c r="N821" s="5">
        <v>3300</v>
      </c>
      <c r="O821" s="3">
        <v>0</v>
      </c>
      <c r="P821" s="3">
        <v>0</v>
      </c>
      <c r="Q821" s="5">
        <v>3800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300</v>
      </c>
      <c r="AA821" s="5">
        <v>14000</v>
      </c>
      <c r="AB821" s="6">
        <v>24700</v>
      </c>
      <c r="AC821" s="2" t="str">
        <f>VLOOKUP(E821,'[1]Detailed Transfer Report (12)'!$K:$Y,13,FALSE)</f>
        <v>Abdul manan</v>
      </c>
      <c r="AD821" s="2" t="str">
        <f>VLOOKUP(E821,'[1]Detailed Transfer Report (12)'!$K:$Y,14,FALSE)</f>
        <v>Sardar Tanveer Ilyas</v>
      </c>
      <c r="AE821" s="16">
        <f>VLOOKUP(E821,'[1]Detailed Transfer Report (12)'!$K:$Y,15,FALSE)</f>
        <v>44147</v>
      </c>
    </row>
    <row r="822" spans="1:31" x14ac:dyDescent="0.25">
      <c r="A822" s="3">
        <v>446</v>
      </c>
      <c r="B822" s="4">
        <v>44140</v>
      </c>
      <c r="C822" s="3" t="s">
        <v>153</v>
      </c>
      <c r="D822" s="3" t="s">
        <v>1193</v>
      </c>
      <c r="E822" s="3">
        <v>3031</v>
      </c>
      <c r="F822" s="3">
        <v>20978</v>
      </c>
      <c r="G822" s="3" t="s">
        <v>30</v>
      </c>
      <c r="H822" s="3">
        <v>0</v>
      </c>
      <c r="I822" s="3">
        <v>0</v>
      </c>
      <c r="J822" s="5">
        <v>2750</v>
      </c>
      <c r="K822" s="3">
        <v>0</v>
      </c>
      <c r="L822" s="3">
        <v>0</v>
      </c>
      <c r="M822" s="3">
        <v>0</v>
      </c>
      <c r="N822" s="5">
        <v>2750</v>
      </c>
      <c r="O822" s="3">
        <v>0</v>
      </c>
      <c r="P822" s="3">
        <v>0</v>
      </c>
      <c r="Q822" s="5">
        <v>3250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300</v>
      </c>
      <c r="AA822" s="5">
        <v>14000</v>
      </c>
      <c r="AB822" s="6">
        <v>23050</v>
      </c>
      <c r="AC822" s="2" t="str">
        <f>VLOOKUP(E822,'[1]Detailed Transfer Report (12)'!$K:$Y,13,FALSE)</f>
        <v>Iftikhar Ahmed</v>
      </c>
      <c r="AD822" s="2" t="str">
        <f>VLOOKUP(E822,'[1]Detailed Transfer Report (12)'!$K:$Y,14,FALSE)</f>
        <v>Sardar Tanveer Ilyas</v>
      </c>
      <c r="AE822" s="16">
        <f>VLOOKUP(E822,'[1]Detailed Transfer Report (12)'!$K:$Y,15,FALSE)</f>
        <v>44142</v>
      </c>
    </row>
    <row r="823" spans="1:31" x14ac:dyDescent="0.25">
      <c r="A823" s="3">
        <v>449</v>
      </c>
      <c r="B823" s="4">
        <v>43735</v>
      </c>
      <c r="C823" s="3" t="s">
        <v>46</v>
      </c>
      <c r="D823" s="3" t="s">
        <v>1194</v>
      </c>
      <c r="E823" s="3">
        <v>398</v>
      </c>
      <c r="F823" s="3"/>
      <c r="G823" s="3" t="s">
        <v>41</v>
      </c>
      <c r="H823" s="3">
        <v>0</v>
      </c>
      <c r="I823" s="3">
        <v>0</v>
      </c>
      <c r="J823" s="3">
        <v>0</v>
      </c>
      <c r="K823" s="3">
        <v>0</v>
      </c>
      <c r="L823" s="5">
        <v>215000</v>
      </c>
      <c r="M823" s="5">
        <v>22000</v>
      </c>
      <c r="N823" s="5">
        <v>130000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500</v>
      </c>
      <c r="W823" s="3">
        <v>0</v>
      </c>
      <c r="X823" s="3">
        <v>0</v>
      </c>
      <c r="Y823" s="3">
        <v>0</v>
      </c>
      <c r="Z823" s="3">
        <v>0</v>
      </c>
      <c r="AA823" s="5">
        <v>43000</v>
      </c>
      <c r="AB823" s="6">
        <v>410500</v>
      </c>
      <c r="AD823" s="2" t="str">
        <f>VLOOKUP(E823,'[1]Detailed Transfer Report (12)'!$K:$Y,14,FALSE)</f>
        <v>Sardar Tanveer Ilyas</v>
      </c>
      <c r="AE823" s="16"/>
    </row>
    <row r="824" spans="1:31" x14ac:dyDescent="0.25">
      <c r="A824" s="3">
        <v>452</v>
      </c>
      <c r="B824" s="4">
        <v>43760</v>
      </c>
      <c r="C824" s="3" t="s">
        <v>153</v>
      </c>
      <c r="D824" s="3" t="s">
        <v>1195</v>
      </c>
      <c r="E824" s="3">
        <v>2239</v>
      </c>
      <c r="F824" s="3"/>
      <c r="G824" s="3" t="s">
        <v>30</v>
      </c>
      <c r="H824" s="3">
        <v>0</v>
      </c>
      <c r="I824" s="3">
        <v>0</v>
      </c>
      <c r="J824" s="3">
        <v>0</v>
      </c>
      <c r="K824" s="3">
        <v>0</v>
      </c>
      <c r="L824" s="5">
        <v>38750</v>
      </c>
      <c r="M824" s="5">
        <v>10000</v>
      </c>
      <c r="N824" s="5">
        <v>15500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5">
        <v>2750</v>
      </c>
      <c r="X824" s="3">
        <v>0</v>
      </c>
      <c r="Y824" s="3">
        <v>0</v>
      </c>
      <c r="Z824" s="3">
        <v>0</v>
      </c>
      <c r="AA824" s="5">
        <v>5000</v>
      </c>
      <c r="AB824" s="6">
        <v>72000</v>
      </c>
      <c r="AD824" s="2" t="str">
        <f>VLOOKUP(E824,'[1]Detailed Transfer Report (12)'!$K:$Y,14,FALSE)</f>
        <v>Sardar Tanveer Ilyas</v>
      </c>
      <c r="AE824" s="16"/>
    </row>
    <row r="825" spans="1:31" x14ac:dyDescent="0.25">
      <c r="A825" s="3">
        <v>454</v>
      </c>
      <c r="B825" s="4">
        <v>43760</v>
      </c>
      <c r="C825" s="3" t="s">
        <v>1196</v>
      </c>
      <c r="D825" s="3" t="s">
        <v>1197</v>
      </c>
      <c r="E825" s="3">
        <v>2217</v>
      </c>
      <c r="F825" s="3"/>
      <c r="G825" s="3" t="s">
        <v>30</v>
      </c>
      <c r="H825" s="3">
        <v>0</v>
      </c>
      <c r="I825" s="3">
        <v>0</v>
      </c>
      <c r="J825" s="3">
        <v>0</v>
      </c>
      <c r="K825" s="3">
        <v>0</v>
      </c>
      <c r="L825" s="5">
        <v>301025</v>
      </c>
      <c r="M825" s="5">
        <v>128000</v>
      </c>
      <c r="N825" s="5">
        <v>193000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500</v>
      </c>
      <c r="W825" s="5">
        <v>35200</v>
      </c>
      <c r="X825" s="3">
        <v>0</v>
      </c>
      <c r="Y825" s="3">
        <v>0</v>
      </c>
      <c r="Z825" s="3">
        <v>0</v>
      </c>
      <c r="AA825" s="5">
        <v>64000</v>
      </c>
      <c r="AB825" s="6">
        <v>721725</v>
      </c>
      <c r="AC825" s="2" t="str">
        <f>VLOOKUP(E825,'[1]Detailed Transfer Report (12)'!$K:$Y,13,FALSE)</f>
        <v>Mazhar Hussain</v>
      </c>
      <c r="AD825" s="2" t="str">
        <f>VLOOKUP(E825,'[1]Detailed Transfer Report (12)'!$K:$Y,14,FALSE)</f>
        <v>Sardar Tanveer Ilyas</v>
      </c>
      <c r="AE825" s="16"/>
    </row>
    <row r="826" spans="1:31" x14ac:dyDescent="0.25">
      <c r="A826" s="3">
        <v>455</v>
      </c>
      <c r="B826" s="4">
        <v>43738</v>
      </c>
      <c r="C826" s="3" t="s">
        <v>377</v>
      </c>
      <c r="D826" s="3" t="s">
        <v>1198</v>
      </c>
      <c r="E826" s="3">
        <v>2267</v>
      </c>
      <c r="F826" s="3"/>
      <c r="G826" s="3" t="s">
        <v>30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8">
        <v>0</v>
      </c>
      <c r="AD826" s="2" t="str">
        <f>VLOOKUP(E826,'[1]Detailed Transfer Report (12)'!$K:$Y,14,FALSE)</f>
        <v>Sardar Tanveer Ilyas</v>
      </c>
      <c r="AE826" s="16"/>
    </row>
    <row r="827" spans="1:31" x14ac:dyDescent="0.25">
      <c r="A827" s="3">
        <v>456</v>
      </c>
      <c r="B827" s="4">
        <v>43797</v>
      </c>
      <c r="C827" s="3" t="s">
        <v>207</v>
      </c>
      <c r="D827" s="3" t="s">
        <v>1199</v>
      </c>
      <c r="E827" s="3">
        <v>4192</v>
      </c>
      <c r="F827" s="3"/>
      <c r="G827" s="3" t="s">
        <v>756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5">
        <v>121000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5">
        <v>100000</v>
      </c>
      <c r="W827" s="5">
        <v>55000</v>
      </c>
      <c r="X827" s="3">
        <v>0</v>
      </c>
      <c r="Y827" s="3">
        <v>0</v>
      </c>
      <c r="Z827" s="3">
        <v>0</v>
      </c>
      <c r="AA827" s="5">
        <v>40000</v>
      </c>
      <c r="AB827" s="6">
        <v>316000</v>
      </c>
      <c r="AD827" s="2" t="str">
        <f>VLOOKUP(E827,'[1]Detailed Transfer Report (12)'!$K:$Y,14,FALSE)</f>
        <v>Sardar Tanveer Ilyas</v>
      </c>
      <c r="AE827" s="16"/>
    </row>
    <row r="828" spans="1:31" x14ac:dyDescent="0.25">
      <c r="A828" s="3">
        <v>457</v>
      </c>
      <c r="B828" s="4">
        <v>43743</v>
      </c>
      <c r="C828" s="3" t="s">
        <v>700</v>
      </c>
      <c r="D828" s="3" t="s">
        <v>1200</v>
      </c>
      <c r="E828" s="3">
        <v>2277</v>
      </c>
      <c r="F828" s="3"/>
      <c r="G828" s="3" t="s">
        <v>30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8">
        <v>0</v>
      </c>
      <c r="AD828" s="2" t="str">
        <f>VLOOKUP(E828,'[1]Detailed Transfer Report (12)'!$K:$Y,14,FALSE)</f>
        <v>Sardar Tanveer Ilyas</v>
      </c>
      <c r="AE828" s="16"/>
    </row>
    <row r="829" spans="1:31" x14ac:dyDescent="0.25">
      <c r="A829" s="7">
        <v>458</v>
      </c>
      <c r="B829" s="4">
        <v>44223</v>
      </c>
      <c r="C829" s="3" t="s">
        <v>754</v>
      </c>
      <c r="D829" s="3" t="s">
        <v>1201</v>
      </c>
      <c r="E829" s="3">
        <v>4759</v>
      </c>
      <c r="F829" s="3">
        <v>4576</v>
      </c>
      <c r="G829" s="3" t="s">
        <v>756</v>
      </c>
      <c r="H829" s="3">
        <v>0</v>
      </c>
      <c r="I829" s="3">
        <v>0</v>
      </c>
      <c r="J829" s="5">
        <v>132000</v>
      </c>
      <c r="K829" s="3">
        <v>0</v>
      </c>
      <c r="L829" s="3">
        <v>0</v>
      </c>
      <c r="M829" s="3">
        <v>0</v>
      </c>
      <c r="N829" s="5">
        <v>132000</v>
      </c>
      <c r="O829" s="3">
        <v>0</v>
      </c>
      <c r="P829" s="3">
        <v>0</v>
      </c>
      <c r="Q829" s="5">
        <v>133000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300</v>
      </c>
      <c r="AA829" s="5">
        <v>148000</v>
      </c>
      <c r="AB829" s="6">
        <v>545300</v>
      </c>
      <c r="AC829" s="2" t="str">
        <f>VLOOKUP(E829,'[1]Detailed Transfer Report (12)'!$K:$Y,13,FALSE)</f>
        <v>Arsalan ahmed</v>
      </c>
      <c r="AD829" s="2" t="str">
        <f>VLOOKUP(E829,'[1]Detailed Transfer Report (12)'!$K:$Y,14,FALSE)</f>
        <v>Sardar Yasir Ilyas</v>
      </c>
      <c r="AE829" s="16">
        <f>VLOOKUP(E829,'[1]Detailed Transfer Report (12)'!$K:$Y,15,FALSE)</f>
        <v>44231</v>
      </c>
    </row>
    <row r="830" spans="1:31" x14ac:dyDescent="0.25">
      <c r="A830" s="10">
        <v>458</v>
      </c>
      <c r="B830" s="4">
        <v>43797</v>
      </c>
      <c r="C830" s="3" t="s">
        <v>44</v>
      </c>
      <c r="D830" s="3" t="s">
        <v>1202</v>
      </c>
      <c r="E830" s="3">
        <v>4196</v>
      </c>
      <c r="F830" s="3"/>
      <c r="G830" s="3" t="s">
        <v>756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5">
        <v>25000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5">
        <v>11000</v>
      </c>
      <c r="X830" s="3">
        <v>0</v>
      </c>
      <c r="Y830" s="3">
        <v>0</v>
      </c>
      <c r="Z830" s="3">
        <v>0</v>
      </c>
      <c r="AA830" s="5">
        <v>8000</v>
      </c>
      <c r="AB830" s="6">
        <v>589300</v>
      </c>
      <c r="AD830" s="2" t="str">
        <f>VLOOKUP(E830,'[1]Detailed Transfer Report (12)'!$K:$Y,14,FALSE)</f>
        <v>Sardar Tanveer Ilyas</v>
      </c>
      <c r="AE830" s="16"/>
    </row>
    <row r="831" spans="1:31" x14ac:dyDescent="0.25">
      <c r="A831" s="7">
        <v>459</v>
      </c>
      <c r="B831" s="4">
        <v>44011</v>
      </c>
      <c r="C831" s="3" t="s">
        <v>521</v>
      </c>
      <c r="D831" s="3" t="s">
        <v>1203</v>
      </c>
      <c r="E831" s="3">
        <v>396</v>
      </c>
      <c r="F831" s="3"/>
      <c r="G831" s="3" t="s">
        <v>41</v>
      </c>
      <c r="H831" s="3">
        <v>0</v>
      </c>
      <c r="I831" s="3">
        <v>0</v>
      </c>
      <c r="J831" s="5">
        <v>8000</v>
      </c>
      <c r="K831" s="3">
        <v>0</v>
      </c>
      <c r="L831" s="3">
        <v>0</v>
      </c>
      <c r="M831" s="3">
        <v>0</v>
      </c>
      <c r="N831" s="5">
        <v>25000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5">
        <v>7700</v>
      </c>
      <c r="X831" s="3">
        <v>0</v>
      </c>
      <c r="Y831" s="3">
        <v>0</v>
      </c>
      <c r="Z831" s="3">
        <v>0</v>
      </c>
      <c r="AA831" s="5">
        <v>8000</v>
      </c>
      <c r="AB831" s="6">
        <v>48700</v>
      </c>
      <c r="AD831" s="2" t="str">
        <f>VLOOKUP(E831,'[1]Detailed Transfer Report (12)'!$K:$Y,14,FALSE)</f>
        <v>Sardar Tanveer Ilyas</v>
      </c>
      <c r="AE831" s="16"/>
    </row>
    <row r="832" spans="1:31" x14ac:dyDescent="0.25">
      <c r="A832" s="9">
        <v>459</v>
      </c>
      <c r="B832" s="4">
        <v>43762</v>
      </c>
      <c r="C832" s="3" t="s">
        <v>1204</v>
      </c>
      <c r="D832" s="3" t="s">
        <v>1205</v>
      </c>
      <c r="E832" s="3">
        <v>408</v>
      </c>
      <c r="F832" s="3"/>
      <c r="G832" s="3" t="s">
        <v>41</v>
      </c>
      <c r="H832" s="3">
        <v>0</v>
      </c>
      <c r="I832" s="3">
        <v>0</v>
      </c>
      <c r="J832" s="3">
        <v>0</v>
      </c>
      <c r="K832" s="3">
        <v>0</v>
      </c>
      <c r="L832" s="5">
        <v>40000000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6">
        <v>40048700</v>
      </c>
      <c r="AD832" s="2" t="str">
        <f>VLOOKUP(E832,'[1]Detailed Transfer Report (12)'!$K:$Y,14,FALSE)</f>
        <v>Sardar Tanveer Ilyas</v>
      </c>
      <c r="AE832" s="16"/>
    </row>
    <row r="833" spans="1:31" x14ac:dyDescent="0.25">
      <c r="A833" s="9">
        <v>459</v>
      </c>
      <c r="B833" s="4">
        <v>43762</v>
      </c>
      <c r="C833" s="3" t="s">
        <v>1206</v>
      </c>
      <c r="D833" s="3" t="s">
        <v>1207</v>
      </c>
      <c r="E833" s="3">
        <v>405</v>
      </c>
      <c r="F833" s="3"/>
      <c r="G833" s="3" t="s">
        <v>41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6">
        <v>40048700</v>
      </c>
      <c r="AE833" s="16"/>
    </row>
    <row r="834" spans="1:31" x14ac:dyDescent="0.25">
      <c r="A834" s="9">
        <v>459</v>
      </c>
      <c r="B834" s="4">
        <v>46063</v>
      </c>
      <c r="C834" s="3" t="s">
        <v>700</v>
      </c>
      <c r="D834" s="3" t="s">
        <v>822</v>
      </c>
      <c r="E834" s="3">
        <v>392</v>
      </c>
      <c r="F834" s="3"/>
      <c r="G834" s="3" t="s">
        <v>41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6">
        <v>40048700</v>
      </c>
      <c r="AC834" s="2" t="str">
        <f>VLOOKUP(E834,'[1]Detailed Transfer Report (12)'!$K:$Y,13,FALSE)</f>
        <v>Safoor Jan</v>
      </c>
      <c r="AD834" s="2" t="str">
        <f>VLOOKUP(E834,'[1]Detailed Transfer Report (12)'!$K:$Y,14,FALSE)</f>
        <v>Sardar Tanveer Ilyas</v>
      </c>
      <c r="AE834" s="16"/>
    </row>
    <row r="835" spans="1:31" x14ac:dyDescent="0.25">
      <c r="A835" s="9">
        <v>459</v>
      </c>
      <c r="B835" s="4">
        <v>46063</v>
      </c>
      <c r="C835" s="3" t="s">
        <v>657</v>
      </c>
      <c r="D835" s="3" t="s">
        <v>822</v>
      </c>
      <c r="E835" s="3">
        <v>424</v>
      </c>
      <c r="F835" s="3"/>
      <c r="G835" s="3" t="s">
        <v>41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6">
        <v>40048700</v>
      </c>
      <c r="AD835" s="2" t="str">
        <f>VLOOKUP(E835,'[1]Detailed Transfer Report (12)'!$K:$Y,14,FALSE)</f>
        <v>Sardar Tanveer Ilyas</v>
      </c>
      <c r="AE835" s="16"/>
    </row>
    <row r="836" spans="1:31" x14ac:dyDescent="0.25">
      <c r="A836" s="9">
        <v>459</v>
      </c>
      <c r="B836" s="4">
        <v>46063</v>
      </c>
      <c r="C836" s="3" t="s">
        <v>1208</v>
      </c>
      <c r="D836" s="3" t="s">
        <v>822</v>
      </c>
      <c r="E836" s="3">
        <v>423</v>
      </c>
      <c r="F836" s="3"/>
      <c r="G836" s="3" t="s">
        <v>41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6">
        <v>40048700</v>
      </c>
      <c r="AD836" s="2" t="str">
        <f>VLOOKUP(E836,'[1]Detailed Transfer Report (12)'!$K:$Y,14,FALSE)</f>
        <v>Sardar Tanveer Ilyas</v>
      </c>
      <c r="AE836" s="16"/>
    </row>
    <row r="837" spans="1:31" x14ac:dyDescent="0.25">
      <c r="A837" s="10">
        <v>459</v>
      </c>
      <c r="B837" s="4">
        <v>46063</v>
      </c>
      <c r="C837" s="3" t="s">
        <v>153</v>
      </c>
      <c r="D837" s="3" t="s">
        <v>822</v>
      </c>
      <c r="E837" s="3">
        <v>425</v>
      </c>
      <c r="F837" s="3"/>
      <c r="G837" s="3" t="s">
        <v>41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6">
        <v>40048700</v>
      </c>
      <c r="AC837" s="2" t="str">
        <f>VLOOKUP(E837,'[1]Detailed Transfer Report (12)'!$K:$Y,13,FALSE)</f>
        <v>Nusrat</v>
      </c>
      <c r="AD837" s="2" t="str">
        <f>VLOOKUP(E837,'[1]Detailed Transfer Report (12)'!$K:$Y,14,FALSE)</f>
        <v>Sardar Tanveer Ilyas</v>
      </c>
      <c r="AE837" s="16"/>
    </row>
    <row r="838" spans="1:31" x14ac:dyDescent="0.25">
      <c r="A838" s="3">
        <v>460</v>
      </c>
      <c r="B838" s="4">
        <v>43776</v>
      </c>
      <c r="C838" s="3" t="s">
        <v>1209</v>
      </c>
      <c r="D838" s="3" t="s">
        <v>1210</v>
      </c>
      <c r="E838" s="3"/>
      <c r="F838" s="3"/>
      <c r="G838" s="3" t="s">
        <v>30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8">
        <v>0</v>
      </c>
      <c r="AE838" s="16"/>
    </row>
    <row r="839" spans="1:31" x14ac:dyDescent="0.25">
      <c r="A839" s="3">
        <v>461</v>
      </c>
      <c r="B839" s="4">
        <v>43768</v>
      </c>
      <c r="C839" s="3" t="s">
        <v>46</v>
      </c>
      <c r="D839" s="3" t="s">
        <v>1211</v>
      </c>
      <c r="E839" s="3">
        <v>2306</v>
      </c>
      <c r="F839" s="3"/>
      <c r="G839" s="3" t="s">
        <v>30</v>
      </c>
      <c r="H839" s="3">
        <v>0</v>
      </c>
      <c r="I839" s="3">
        <v>0</v>
      </c>
      <c r="J839" s="3">
        <v>0</v>
      </c>
      <c r="K839" s="3">
        <v>0</v>
      </c>
      <c r="L839" s="5">
        <v>200000</v>
      </c>
      <c r="M839" s="5">
        <v>80000</v>
      </c>
      <c r="N839" s="5">
        <v>121000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500</v>
      </c>
      <c r="W839" s="5">
        <v>22000</v>
      </c>
      <c r="X839" s="3">
        <v>0</v>
      </c>
      <c r="Y839" s="3">
        <v>0</v>
      </c>
      <c r="Z839" s="3">
        <v>0</v>
      </c>
      <c r="AA839" s="5">
        <v>40000</v>
      </c>
      <c r="AB839" s="6">
        <v>463500</v>
      </c>
      <c r="AD839" s="2" t="str">
        <f>VLOOKUP(E839,'[1]Detailed Transfer Report (12)'!$K:$Y,14,FALSE)</f>
        <v>Sardar Tanveer Ilyas</v>
      </c>
      <c r="AE839" s="16"/>
    </row>
    <row r="840" spans="1:31" x14ac:dyDescent="0.25">
      <c r="A840" s="3">
        <v>462</v>
      </c>
      <c r="B840" s="4">
        <v>44011</v>
      </c>
      <c r="C840" s="3" t="s">
        <v>521</v>
      </c>
      <c r="D840" s="3" t="s">
        <v>1212</v>
      </c>
      <c r="E840" s="3">
        <v>4201</v>
      </c>
      <c r="F840" s="3"/>
      <c r="G840" s="3" t="s">
        <v>756</v>
      </c>
      <c r="H840" s="3">
        <v>0</v>
      </c>
      <c r="I840" s="3">
        <v>0</v>
      </c>
      <c r="J840" s="5">
        <v>25000</v>
      </c>
      <c r="K840" s="3">
        <v>0</v>
      </c>
      <c r="L840" s="3">
        <v>0</v>
      </c>
      <c r="M840" s="3">
        <v>0</v>
      </c>
      <c r="N840" s="5">
        <v>76000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5">
        <v>8250</v>
      </c>
      <c r="X840" s="3">
        <v>0</v>
      </c>
      <c r="Y840" s="3">
        <v>0</v>
      </c>
      <c r="Z840" s="3">
        <v>0</v>
      </c>
      <c r="AA840" s="5">
        <v>25000</v>
      </c>
      <c r="AB840" s="6">
        <v>134250</v>
      </c>
      <c r="AD840" s="2" t="str">
        <f>VLOOKUP(E840,'[1]Detailed Transfer Report (12)'!$K:$Y,14,FALSE)</f>
        <v>Sardar Tanveer Ilyas</v>
      </c>
      <c r="AE840" s="16"/>
    </row>
    <row r="841" spans="1:31" x14ac:dyDescent="0.25">
      <c r="A841" s="3">
        <v>463</v>
      </c>
      <c r="B841" s="4">
        <v>43768</v>
      </c>
      <c r="C841" s="3" t="s">
        <v>44</v>
      </c>
      <c r="D841" s="3" t="s">
        <v>1213</v>
      </c>
      <c r="E841" s="3">
        <v>552</v>
      </c>
      <c r="F841" s="3">
        <v>8806</v>
      </c>
      <c r="G841" s="3" t="s">
        <v>41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8">
        <v>0</v>
      </c>
      <c r="AC841" s="2" t="str">
        <f>VLOOKUP(E841,'[1]Detailed Transfer Report (12)'!$K:$Y,13,FALSE)</f>
        <v>Khuda Dad</v>
      </c>
      <c r="AD841" s="2" t="str">
        <f>VLOOKUP(E841,'[1]Detailed Transfer Report (12)'!$K:$Y,14,FALSE)</f>
        <v>Sardar Yasir Ilyas</v>
      </c>
      <c r="AE841" s="16">
        <f>VLOOKUP(E841,'[1]Detailed Transfer Report (12)'!$K:$Y,15,FALSE)</f>
        <v>44560</v>
      </c>
    </row>
    <row r="842" spans="1:31" x14ac:dyDescent="0.25">
      <c r="A842" s="3">
        <v>464</v>
      </c>
      <c r="B842" s="4">
        <v>44011</v>
      </c>
      <c r="C842" s="3" t="s">
        <v>153</v>
      </c>
      <c r="D842" s="3" t="s">
        <v>1214</v>
      </c>
      <c r="E842" s="3">
        <v>4212</v>
      </c>
      <c r="F842" s="3"/>
      <c r="G842" s="3" t="s">
        <v>756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5">
        <v>18360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500</v>
      </c>
      <c r="W842" s="5">
        <v>5500</v>
      </c>
      <c r="X842" s="3">
        <v>0</v>
      </c>
      <c r="Y842" s="3">
        <v>0</v>
      </c>
      <c r="Z842" s="5">
        <v>3620</v>
      </c>
      <c r="AA842" s="5">
        <v>5620</v>
      </c>
      <c r="AB842" s="6">
        <v>33600</v>
      </c>
      <c r="AD842" s="2" t="str">
        <f>VLOOKUP(E842,'[1]Detailed Transfer Report (12)'!$K:$Y,14,FALSE)</f>
        <v>Sardar Tanveer Ilyas</v>
      </c>
      <c r="AE842" s="16"/>
    </row>
    <row r="843" spans="1:31" x14ac:dyDescent="0.25">
      <c r="A843" s="7">
        <v>466</v>
      </c>
      <c r="B843" s="4">
        <v>43887</v>
      </c>
      <c r="C843" s="3" t="s">
        <v>1215</v>
      </c>
      <c r="D843" s="3" t="s">
        <v>1216</v>
      </c>
      <c r="E843" s="3">
        <v>2397</v>
      </c>
      <c r="F843" s="3"/>
      <c r="G843" s="3" t="s">
        <v>30</v>
      </c>
      <c r="H843" s="3">
        <v>0</v>
      </c>
      <c r="I843" s="3">
        <v>0</v>
      </c>
      <c r="J843" s="5">
        <v>20000</v>
      </c>
      <c r="K843" s="3">
        <v>0</v>
      </c>
      <c r="L843" s="3">
        <v>0</v>
      </c>
      <c r="M843" s="5">
        <v>40000</v>
      </c>
      <c r="N843" s="5">
        <v>61000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500</v>
      </c>
      <c r="W843" s="5">
        <v>9700</v>
      </c>
      <c r="X843" s="3">
        <v>0</v>
      </c>
      <c r="Y843" s="3">
        <v>0</v>
      </c>
      <c r="Z843" s="3">
        <v>0</v>
      </c>
      <c r="AA843" s="5">
        <v>20000</v>
      </c>
      <c r="AB843" s="6">
        <v>151200</v>
      </c>
      <c r="AD843" s="2" t="str">
        <f>VLOOKUP(E843,'[1]Detailed Transfer Report (12)'!$K:$Y,14,FALSE)</f>
        <v>Sardar Tanveer Ilyas</v>
      </c>
      <c r="AE843" s="16"/>
    </row>
    <row r="844" spans="1:31" x14ac:dyDescent="0.25">
      <c r="A844" s="10">
        <v>466</v>
      </c>
      <c r="B844" s="4">
        <v>43888</v>
      </c>
      <c r="C844" s="3" t="s">
        <v>1217</v>
      </c>
      <c r="D844" s="3" t="s">
        <v>1218</v>
      </c>
      <c r="E844" s="3">
        <v>2396</v>
      </c>
      <c r="F844" s="3"/>
      <c r="G844" s="3" t="s">
        <v>30</v>
      </c>
      <c r="H844" s="3">
        <v>0</v>
      </c>
      <c r="I844" s="3">
        <v>0</v>
      </c>
      <c r="J844" s="5">
        <v>220000</v>
      </c>
      <c r="K844" s="3">
        <v>0</v>
      </c>
      <c r="L844" s="3">
        <v>0</v>
      </c>
      <c r="M844" s="5">
        <v>440000</v>
      </c>
      <c r="N844" s="5">
        <v>661000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5">
        <v>119000</v>
      </c>
      <c r="X844" s="3">
        <v>0</v>
      </c>
      <c r="Y844" s="3">
        <v>0</v>
      </c>
      <c r="Z844" s="3">
        <v>0</v>
      </c>
      <c r="AA844" s="5">
        <v>220000</v>
      </c>
      <c r="AB844" s="6">
        <v>1811200</v>
      </c>
      <c r="AD844" s="2" t="str">
        <f>VLOOKUP(E844,'[1]Detailed Transfer Report (12)'!$K:$Y,14,FALSE)</f>
        <v>Sardar Tanveer Ilyas</v>
      </c>
      <c r="AE844" s="16"/>
    </row>
    <row r="845" spans="1:31" x14ac:dyDescent="0.25">
      <c r="A845" s="7">
        <v>467</v>
      </c>
      <c r="B845" s="4">
        <v>44011</v>
      </c>
      <c r="C845" s="3" t="s">
        <v>207</v>
      </c>
      <c r="D845" s="3" t="s">
        <v>1219</v>
      </c>
      <c r="E845" s="3">
        <v>407</v>
      </c>
      <c r="F845" s="3"/>
      <c r="G845" s="3" t="s">
        <v>41</v>
      </c>
      <c r="H845" s="3">
        <v>0</v>
      </c>
      <c r="I845" s="3">
        <v>0</v>
      </c>
      <c r="J845" s="5">
        <v>80000</v>
      </c>
      <c r="K845" s="3">
        <v>0</v>
      </c>
      <c r="L845" s="3">
        <v>0</v>
      </c>
      <c r="M845" s="3">
        <v>0</v>
      </c>
      <c r="N845" s="5">
        <v>241000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5">
        <v>55000</v>
      </c>
      <c r="X845" s="3">
        <v>0</v>
      </c>
      <c r="Y845" s="3">
        <v>0</v>
      </c>
      <c r="Z845" s="3">
        <v>0</v>
      </c>
      <c r="AA845" s="5">
        <v>80000</v>
      </c>
      <c r="AB845" s="6">
        <v>456000</v>
      </c>
      <c r="AD845" s="2" t="str">
        <f>VLOOKUP(E845,'[1]Detailed Transfer Report (12)'!$K:$Y,14,FALSE)</f>
        <v>Sardar Tanveer Ilyas</v>
      </c>
      <c r="AE845" s="16"/>
    </row>
    <row r="846" spans="1:31" x14ac:dyDescent="0.25">
      <c r="A846" s="9">
        <v>467</v>
      </c>
      <c r="B846" s="4">
        <v>43782</v>
      </c>
      <c r="C846" s="3" t="s">
        <v>1129</v>
      </c>
      <c r="D846" s="3" t="s">
        <v>1220</v>
      </c>
      <c r="E846" s="3">
        <v>2272</v>
      </c>
      <c r="F846" s="3"/>
      <c r="G846" s="3" t="s">
        <v>30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6">
        <v>456000</v>
      </c>
      <c r="AD846" s="2" t="str">
        <f>VLOOKUP(E846,'[1]Detailed Transfer Report (12)'!$K:$Y,14,FALSE)</f>
        <v>Sardar Tanveer Ilyas</v>
      </c>
      <c r="AE846" s="16"/>
    </row>
    <row r="847" spans="1:31" x14ac:dyDescent="0.25">
      <c r="A847" s="9">
        <v>467</v>
      </c>
      <c r="B847" s="4">
        <v>44140</v>
      </c>
      <c r="C847" s="3" t="s">
        <v>1221</v>
      </c>
      <c r="D847" s="3" t="s">
        <v>1222</v>
      </c>
      <c r="E847" s="3">
        <v>3085</v>
      </c>
      <c r="F847" s="3">
        <v>21606</v>
      </c>
      <c r="G847" s="3" t="s">
        <v>30</v>
      </c>
      <c r="H847" s="3">
        <v>0</v>
      </c>
      <c r="I847" s="3">
        <v>0</v>
      </c>
      <c r="J847" s="5">
        <v>64075</v>
      </c>
      <c r="K847" s="3">
        <v>0</v>
      </c>
      <c r="L847" s="5">
        <v>1975000</v>
      </c>
      <c r="M847" s="3">
        <v>0</v>
      </c>
      <c r="N847" s="5">
        <v>64075</v>
      </c>
      <c r="O847" s="3">
        <v>0</v>
      </c>
      <c r="P847" s="3">
        <v>0</v>
      </c>
      <c r="Q847" s="5">
        <v>65075</v>
      </c>
      <c r="R847" s="3">
        <v>0</v>
      </c>
      <c r="S847" s="3">
        <v>0</v>
      </c>
      <c r="T847" s="3">
        <v>0</v>
      </c>
      <c r="U847" s="3">
        <v>0</v>
      </c>
      <c r="V847" s="5">
        <v>25000</v>
      </c>
      <c r="W847" s="5">
        <v>30000</v>
      </c>
      <c r="X847" s="3">
        <v>0</v>
      </c>
      <c r="Y847" s="3">
        <v>0</v>
      </c>
      <c r="Z847" s="3">
        <v>300</v>
      </c>
      <c r="AA847" s="5">
        <v>14000</v>
      </c>
      <c r="AB847" s="6">
        <v>2693525</v>
      </c>
      <c r="AC847" s="2" t="str">
        <f>VLOOKUP(E847,'[1]Detailed Transfer Report (12)'!$K:$Y,13,FALSE)</f>
        <v>Muhammad Qasim</v>
      </c>
      <c r="AD847" s="2" t="str">
        <f>VLOOKUP(E847,'[1]Detailed Transfer Report (12)'!$K:$Y,14,FALSE)</f>
        <v>Sardar Tanveer Ilyas</v>
      </c>
      <c r="AE847" s="16">
        <f>VLOOKUP(E847,'[1]Detailed Transfer Report (12)'!$K:$Y,15,FALSE)</f>
        <v>44147</v>
      </c>
    </row>
    <row r="848" spans="1:31" x14ac:dyDescent="0.25">
      <c r="A848" s="9">
        <v>467</v>
      </c>
      <c r="B848" s="4">
        <v>44127</v>
      </c>
      <c r="C848" s="3" t="s">
        <v>1223</v>
      </c>
      <c r="D848" s="3" t="s">
        <v>1224</v>
      </c>
      <c r="E848" s="3">
        <v>464</v>
      </c>
      <c r="F848" s="3">
        <v>21699</v>
      </c>
      <c r="G848" s="3" t="s">
        <v>41</v>
      </c>
      <c r="H848" s="3">
        <v>0</v>
      </c>
      <c r="I848" s="3">
        <v>0</v>
      </c>
      <c r="J848" s="5">
        <v>260000</v>
      </c>
      <c r="K848" s="3">
        <v>0</v>
      </c>
      <c r="L848" s="3">
        <v>0</v>
      </c>
      <c r="M848" s="3">
        <v>0</v>
      </c>
      <c r="N848" s="5">
        <v>260000</v>
      </c>
      <c r="O848" s="3">
        <v>0</v>
      </c>
      <c r="P848" s="3">
        <v>0</v>
      </c>
      <c r="Q848" s="5">
        <v>261000</v>
      </c>
      <c r="R848" s="3">
        <v>0</v>
      </c>
      <c r="S848" s="3">
        <v>0</v>
      </c>
      <c r="T848" s="3">
        <v>0</v>
      </c>
      <c r="U848" s="3">
        <v>0</v>
      </c>
      <c r="V848" s="5">
        <v>390000</v>
      </c>
      <c r="W848" s="5">
        <v>200000</v>
      </c>
      <c r="X848" s="3">
        <v>0</v>
      </c>
      <c r="Y848" s="3">
        <v>0</v>
      </c>
      <c r="Z848" s="3">
        <v>300</v>
      </c>
      <c r="AA848" s="5">
        <v>25000</v>
      </c>
      <c r="AB848" s="6">
        <v>4089825</v>
      </c>
      <c r="AC848" s="2" t="str">
        <f>VLOOKUP(E848,'[1]Detailed Transfer Report (12)'!$K:$Y,13,FALSE)</f>
        <v>Niaz hussain</v>
      </c>
      <c r="AD848" s="2" t="str">
        <f>VLOOKUP(E848,'[1]Detailed Transfer Report (12)'!$K:$Y,14,FALSE)</f>
        <v>Sardar Tanveer Ilyas</v>
      </c>
      <c r="AE848" s="16">
        <f>VLOOKUP(E848,'[1]Detailed Transfer Report (12)'!$K:$Y,15,FALSE)</f>
        <v>44148</v>
      </c>
    </row>
    <row r="849" spans="1:31" x14ac:dyDescent="0.25">
      <c r="A849" s="9">
        <v>467</v>
      </c>
      <c r="B849" s="4">
        <v>43782</v>
      </c>
      <c r="C849" s="3" t="s">
        <v>57</v>
      </c>
      <c r="D849" s="3" t="s">
        <v>1225</v>
      </c>
      <c r="E849" s="3">
        <v>2358</v>
      </c>
      <c r="F849" s="3"/>
      <c r="G849" s="3" t="s">
        <v>30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6">
        <v>4089825</v>
      </c>
      <c r="AD849" s="2" t="str">
        <f>VLOOKUP(E849,'[1]Detailed Transfer Report (12)'!$K:$Y,14,FALSE)</f>
        <v>Sardar Tanveer Ilyas</v>
      </c>
      <c r="AE849" s="16"/>
    </row>
    <row r="850" spans="1:31" x14ac:dyDescent="0.25">
      <c r="A850" s="10">
        <v>467</v>
      </c>
      <c r="B850" s="4">
        <v>44127</v>
      </c>
      <c r="C850" s="3" t="s">
        <v>207</v>
      </c>
      <c r="D850" s="3" t="s">
        <v>1226</v>
      </c>
      <c r="E850" s="3">
        <v>482</v>
      </c>
      <c r="F850" s="3">
        <v>20335</v>
      </c>
      <c r="G850" s="3" t="s">
        <v>41</v>
      </c>
      <c r="H850" s="3">
        <v>0</v>
      </c>
      <c r="I850" s="3">
        <v>0</v>
      </c>
      <c r="J850" s="5">
        <v>100000</v>
      </c>
      <c r="K850" s="3">
        <v>0</v>
      </c>
      <c r="L850" s="3">
        <v>0</v>
      </c>
      <c r="M850" s="3">
        <v>0</v>
      </c>
      <c r="N850" s="5">
        <v>100000</v>
      </c>
      <c r="O850" s="3">
        <v>0</v>
      </c>
      <c r="P850" s="3">
        <v>0</v>
      </c>
      <c r="Q850" s="5">
        <v>101000</v>
      </c>
      <c r="R850" s="3">
        <v>0</v>
      </c>
      <c r="S850" s="3">
        <v>0</v>
      </c>
      <c r="T850" s="3">
        <v>0</v>
      </c>
      <c r="U850" s="3">
        <v>0</v>
      </c>
      <c r="V850" s="5">
        <v>40000</v>
      </c>
      <c r="W850" s="5">
        <v>20000</v>
      </c>
      <c r="X850" s="3">
        <v>0</v>
      </c>
      <c r="Y850" s="3">
        <v>0</v>
      </c>
      <c r="Z850" s="3">
        <v>300</v>
      </c>
      <c r="AA850" s="5">
        <v>150000</v>
      </c>
      <c r="AB850" s="6">
        <v>4601125</v>
      </c>
      <c r="AC850" s="2" t="str">
        <f>VLOOKUP(E850,'[1]Detailed Transfer Report (12)'!$K:$Y,13,FALSE)</f>
        <v>Syed Zulfiqar hussain Shah</v>
      </c>
      <c r="AD850" s="2" t="str">
        <f>VLOOKUP(E850,'[1]Detailed Transfer Report (12)'!$K:$Y,14,FALSE)</f>
        <v>Sardar Tanveer Ilyas</v>
      </c>
      <c r="AE850" s="16">
        <f>VLOOKUP(E850,'[1]Detailed Transfer Report (12)'!$K:$Y,15,FALSE)</f>
        <v>44138</v>
      </c>
    </row>
    <row r="851" spans="1:31" x14ac:dyDescent="0.25">
      <c r="A851" s="7">
        <v>468</v>
      </c>
      <c r="B851" s="4">
        <v>44011</v>
      </c>
      <c r="C851" s="3" t="s">
        <v>447</v>
      </c>
      <c r="D851" s="3" t="s">
        <v>1227</v>
      </c>
      <c r="E851" s="3">
        <v>419</v>
      </c>
      <c r="F851" s="3"/>
      <c r="G851" s="3" t="s">
        <v>41</v>
      </c>
      <c r="H851" s="3">
        <v>0</v>
      </c>
      <c r="I851" s="3">
        <v>0</v>
      </c>
      <c r="J851" s="5">
        <v>68800</v>
      </c>
      <c r="K851" s="3">
        <v>0</v>
      </c>
      <c r="L851" s="3">
        <v>0</v>
      </c>
      <c r="M851" s="3">
        <v>0</v>
      </c>
      <c r="N851" s="5">
        <v>207400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5">
        <v>49506</v>
      </c>
      <c r="X851" s="3">
        <v>0</v>
      </c>
      <c r="Y851" s="3">
        <v>0</v>
      </c>
      <c r="Z851" s="3">
        <v>0</v>
      </c>
      <c r="AA851" s="5">
        <v>68800</v>
      </c>
      <c r="AB851" s="6">
        <v>394506</v>
      </c>
      <c r="AD851" s="2" t="str">
        <f>VLOOKUP(E851,'[1]Detailed Transfer Report (12)'!$K:$Y,14,FALSE)</f>
        <v>Sardar Tanveer Ilyas</v>
      </c>
      <c r="AE851" s="16"/>
    </row>
    <row r="852" spans="1:31" x14ac:dyDescent="0.25">
      <c r="A852" s="10">
        <v>468</v>
      </c>
      <c r="B852" s="4">
        <v>43375</v>
      </c>
      <c r="C852" s="3" t="s">
        <v>514</v>
      </c>
      <c r="D852" s="3" t="s">
        <v>1228</v>
      </c>
      <c r="E852" s="3"/>
      <c r="F852" s="3"/>
      <c r="G852" s="3" t="s">
        <v>41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6">
        <v>394506</v>
      </c>
      <c r="AE852" s="16"/>
    </row>
    <row r="853" spans="1:31" x14ac:dyDescent="0.25">
      <c r="A853" s="3">
        <v>469</v>
      </c>
      <c r="B853" s="4">
        <v>44011</v>
      </c>
      <c r="C853" s="3" t="s">
        <v>754</v>
      </c>
      <c r="D853" s="3" t="s">
        <v>1229</v>
      </c>
      <c r="E853" s="3">
        <v>430</v>
      </c>
      <c r="F853" s="3"/>
      <c r="G853" s="3" t="s">
        <v>41</v>
      </c>
      <c r="H853" s="3">
        <v>0</v>
      </c>
      <c r="I853" s="3">
        <v>0</v>
      </c>
      <c r="J853" s="5">
        <v>140000</v>
      </c>
      <c r="K853" s="3">
        <v>0</v>
      </c>
      <c r="L853" s="3">
        <v>0</v>
      </c>
      <c r="M853" s="3">
        <v>0</v>
      </c>
      <c r="N853" s="5">
        <v>421000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5">
        <v>110000</v>
      </c>
      <c r="X853" s="3">
        <v>0</v>
      </c>
      <c r="Y853" s="3">
        <v>0</v>
      </c>
      <c r="Z853" s="3">
        <v>0</v>
      </c>
      <c r="AA853" s="5">
        <v>140000</v>
      </c>
      <c r="AB853" s="6">
        <v>811000</v>
      </c>
      <c r="AD853" s="2" t="str">
        <f>VLOOKUP(E853,'[1]Detailed Transfer Report (12)'!$K:$Y,14,FALSE)</f>
        <v>Sardar Tanveer Ilyas</v>
      </c>
      <c r="AE853" s="16"/>
    </row>
    <row r="854" spans="1:31" x14ac:dyDescent="0.25">
      <c r="A854" s="3">
        <v>470</v>
      </c>
      <c r="B854" s="4">
        <v>44011</v>
      </c>
      <c r="C854" s="3" t="s">
        <v>159</v>
      </c>
      <c r="D854" s="3" t="s">
        <v>1230</v>
      </c>
      <c r="E854" s="3">
        <v>410</v>
      </c>
      <c r="F854" s="3"/>
      <c r="G854" s="3" t="s">
        <v>41</v>
      </c>
      <c r="H854" s="3">
        <v>0</v>
      </c>
      <c r="I854" s="3">
        <v>0</v>
      </c>
      <c r="J854" s="5">
        <v>36000</v>
      </c>
      <c r="K854" s="3">
        <v>0</v>
      </c>
      <c r="L854" s="3">
        <v>0</v>
      </c>
      <c r="M854" s="3">
        <v>0</v>
      </c>
      <c r="N854" s="5">
        <v>109000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5">
        <v>24750</v>
      </c>
      <c r="X854" s="3">
        <v>0</v>
      </c>
      <c r="Y854" s="3">
        <v>0</v>
      </c>
      <c r="Z854" s="3">
        <v>0</v>
      </c>
      <c r="AA854" s="5">
        <v>36000</v>
      </c>
      <c r="AB854" s="6">
        <v>205750</v>
      </c>
      <c r="AD854" s="2" t="str">
        <f>VLOOKUP(E854,'[1]Detailed Transfer Report (12)'!$K:$Y,14,FALSE)</f>
        <v>Sardar Tanveer Ilyas</v>
      </c>
      <c r="AE854" s="16"/>
    </row>
    <row r="855" spans="1:31" x14ac:dyDescent="0.25">
      <c r="A855" s="3">
        <v>471</v>
      </c>
      <c r="B855" s="4">
        <v>43778</v>
      </c>
      <c r="C855" s="3" t="s">
        <v>1231</v>
      </c>
      <c r="D855" s="3" t="s">
        <v>1232</v>
      </c>
      <c r="E855" s="3">
        <v>2342</v>
      </c>
      <c r="F855" s="3"/>
      <c r="G855" s="3" t="s">
        <v>30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8">
        <v>0</v>
      </c>
      <c r="AD855" s="2" t="str">
        <f>VLOOKUP(E855,'[1]Detailed Transfer Report (12)'!$K:$Y,14,FALSE)</f>
        <v>Sardar Tanveer Ilyas</v>
      </c>
      <c r="AE855" s="16"/>
    </row>
    <row r="856" spans="1:31" x14ac:dyDescent="0.25">
      <c r="A856" s="3">
        <v>472</v>
      </c>
      <c r="B856" s="4">
        <v>44259</v>
      </c>
      <c r="C856" s="3" t="s">
        <v>141</v>
      </c>
      <c r="D856" s="3" t="s">
        <v>1233</v>
      </c>
      <c r="E856" s="3">
        <v>4245</v>
      </c>
      <c r="F856" s="3"/>
      <c r="G856" s="3" t="s">
        <v>756</v>
      </c>
      <c r="H856" s="3">
        <v>0</v>
      </c>
      <c r="I856" s="3">
        <v>0</v>
      </c>
      <c r="J856" s="5">
        <v>100000</v>
      </c>
      <c r="K856" s="3">
        <v>0</v>
      </c>
      <c r="L856" s="3">
        <v>0</v>
      </c>
      <c r="M856" s="3">
        <v>0</v>
      </c>
      <c r="N856" s="5">
        <v>100000</v>
      </c>
      <c r="O856" s="3">
        <v>0</v>
      </c>
      <c r="P856" s="3">
        <v>0</v>
      </c>
      <c r="Q856" s="5">
        <v>300000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5">
        <v>20000</v>
      </c>
      <c r="AB856" s="6">
        <v>520000</v>
      </c>
      <c r="AD856" s="2" t="str">
        <f>VLOOKUP(E856,'[1]Detailed Transfer Report (12)'!$K:$Y,14,FALSE)</f>
        <v>Sardar Tanveer Ilyas</v>
      </c>
      <c r="AE856" s="16"/>
    </row>
    <row r="857" spans="1:31" x14ac:dyDescent="0.25">
      <c r="A857" s="3">
        <v>473</v>
      </c>
      <c r="B857" s="4">
        <v>44011</v>
      </c>
      <c r="C857" s="3" t="s">
        <v>137</v>
      </c>
      <c r="D857" s="3" t="s">
        <v>1234</v>
      </c>
      <c r="E857" s="3">
        <v>4255</v>
      </c>
      <c r="F857" s="3"/>
      <c r="G857" s="3" t="s">
        <v>756</v>
      </c>
      <c r="H857" s="3">
        <v>0</v>
      </c>
      <c r="I857" s="3">
        <v>0</v>
      </c>
      <c r="J857" s="5">
        <v>8000</v>
      </c>
      <c r="K857" s="3">
        <v>0</v>
      </c>
      <c r="L857" s="3">
        <v>0</v>
      </c>
      <c r="M857" s="3">
        <v>0</v>
      </c>
      <c r="N857" s="5">
        <v>25000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5">
        <v>5500</v>
      </c>
      <c r="X857" s="3">
        <v>0</v>
      </c>
      <c r="Y857" s="3">
        <v>0</v>
      </c>
      <c r="Z857" s="3">
        <v>0</v>
      </c>
      <c r="AA857" s="5">
        <v>8000</v>
      </c>
      <c r="AB857" s="6">
        <v>46500</v>
      </c>
      <c r="AD857" s="2" t="str">
        <f>VLOOKUP(E857,'[1]Detailed Transfer Report (12)'!$K:$Y,14,FALSE)</f>
        <v>Sardar Tanveer Ilyas</v>
      </c>
      <c r="AE857" s="16"/>
    </row>
    <row r="858" spans="1:31" x14ac:dyDescent="0.25">
      <c r="A858" s="3">
        <v>474</v>
      </c>
      <c r="B858" s="4">
        <v>43815</v>
      </c>
      <c r="C858" s="3" t="s">
        <v>153</v>
      </c>
      <c r="D858" s="3" t="s">
        <v>1235</v>
      </c>
      <c r="E858" s="3">
        <v>4256</v>
      </c>
      <c r="F858" s="3"/>
      <c r="G858" s="3" t="s">
        <v>756</v>
      </c>
      <c r="H858" s="3">
        <v>0</v>
      </c>
      <c r="I858" s="3">
        <v>0</v>
      </c>
      <c r="J858" s="5">
        <v>4000</v>
      </c>
      <c r="K858" s="3">
        <v>0</v>
      </c>
      <c r="L858" s="3">
        <v>0</v>
      </c>
      <c r="M858" s="3">
        <v>0</v>
      </c>
      <c r="N858" s="5">
        <v>12500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500</v>
      </c>
      <c r="W858" s="5">
        <v>2750</v>
      </c>
      <c r="X858" s="3">
        <v>0</v>
      </c>
      <c r="Y858" s="3">
        <v>0</v>
      </c>
      <c r="Z858" s="3">
        <v>0</v>
      </c>
      <c r="AA858" s="5">
        <v>4000</v>
      </c>
      <c r="AB858" s="6">
        <v>23750</v>
      </c>
      <c r="AD858" s="2" t="str">
        <f>VLOOKUP(E858,'[1]Detailed Transfer Report (12)'!$K:$Y,14,FALSE)</f>
        <v>Sardar Tanveer Ilyas</v>
      </c>
      <c r="AE858" s="16"/>
    </row>
    <row r="859" spans="1:31" x14ac:dyDescent="0.25">
      <c r="A859" s="3">
        <v>475</v>
      </c>
      <c r="B859" s="4">
        <v>44004</v>
      </c>
      <c r="C859" s="3" t="s">
        <v>1236</v>
      </c>
      <c r="D859" s="3" t="s">
        <v>1237</v>
      </c>
      <c r="E859" s="3">
        <v>2357</v>
      </c>
      <c r="F859" s="3"/>
      <c r="G859" s="3" t="s">
        <v>30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8">
        <v>0</v>
      </c>
      <c r="AD859" s="2" t="str">
        <f>VLOOKUP(E859,'[1]Detailed Transfer Report (12)'!$K:$Y,14,FALSE)</f>
        <v>Sardar Tanveer Ilyas</v>
      </c>
      <c r="AE859" s="16"/>
    </row>
    <row r="860" spans="1:31" x14ac:dyDescent="0.25">
      <c r="A860" s="3">
        <v>476</v>
      </c>
      <c r="B860" s="4">
        <v>43991</v>
      </c>
      <c r="C860" s="3" t="s">
        <v>1238</v>
      </c>
      <c r="D860" s="3" t="s">
        <v>1239</v>
      </c>
      <c r="E860" s="3">
        <v>2403</v>
      </c>
      <c r="F860" s="3"/>
      <c r="G860" s="3" t="s">
        <v>30</v>
      </c>
      <c r="H860" s="3">
        <v>0</v>
      </c>
      <c r="I860" s="3">
        <v>0</v>
      </c>
      <c r="J860" s="3">
        <v>0</v>
      </c>
      <c r="K860" s="3">
        <v>0</v>
      </c>
      <c r="L860" s="5">
        <v>2500000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6">
        <v>2500000</v>
      </c>
      <c r="AD860" s="2" t="str">
        <f>VLOOKUP(E860,'[1]Detailed Transfer Report (12)'!$K:$Y,14,FALSE)</f>
        <v>Sardar Tanveer Ilyas</v>
      </c>
      <c r="AE860" s="16"/>
    </row>
    <row r="861" spans="1:31" x14ac:dyDescent="0.25">
      <c r="A861" s="3">
        <v>478</v>
      </c>
      <c r="B861" s="4">
        <v>44011</v>
      </c>
      <c r="C861" s="3" t="s">
        <v>68</v>
      </c>
      <c r="D861" s="3" t="s">
        <v>1240</v>
      </c>
      <c r="E861" s="3">
        <v>433</v>
      </c>
      <c r="F861" s="3"/>
      <c r="G861" s="3" t="s">
        <v>41</v>
      </c>
      <c r="H861" s="3">
        <v>0</v>
      </c>
      <c r="I861" s="3">
        <v>0</v>
      </c>
      <c r="J861" s="5">
        <v>30000</v>
      </c>
      <c r="K861" s="3">
        <v>0</v>
      </c>
      <c r="L861" s="3">
        <v>0</v>
      </c>
      <c r="M861" s="3">
        <v>0</v>
      </c>
      <c r="N861" s="5">
        <v>91000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500</v>
      </c>
      <c r="W861" s="5">
        <v>16500</v>
      </c>
      <c r="X861" s="3">
        <v>0</v>
      </c>
      <c r="Y861" s="3">
        <v>0</v>
      </c>
      <c r="Z861" s="3">
        <v>0</v>
      </c>
      <c r="AA861" s="5">
        <v>30000</v>
      </c>
      <c r="AB861" s="6">
        <v>168000</v>
      </c>
      <c r="AD861" s="2" t="str">
        <f>VLOOKUP(E861,'[1]Detailed Transfer Report (12)'!$K:$Y,14,FALSE)</f>
        <v>Sardar Tanveer Ilyas</v>
      </c>
      <c r="AE861" s="16"/>
    </row>
    <row r="862" spans="1:31" x14ac:dyDescent="0.25">
      <c r="A862" s="7">
        <v>480</v>
      </c>
      <c r="B862" s="4">
        <v>43864</v>
      </c>
      <c r="C862" s="3" t="s">
        <v>1241</v>
      </c>
      <c r="D862" s="3" t="s">
        <v>1242</v>
      </c>
      <c r="E862" s="3">
        <v>3250</v>
      </c>
      <c r="F862" s="3">
        <v>13361</v>
      </c>
      <c r="G862" s="3" t="s">
        <v>30</v>
      </c>
      <c r="H862" s="3">
        <v>0</v>
      </c>
      <c r="I862" s="3">
        <v>0</v>
      </c>
      <c r="J862" s="5">
        <v>8800</v>
      </c>
      <c r="K862" s="3">
        <v>0</v>
      </c>
      <c r="L862" s="3">
        <v>0</v>
      </c>
      <c r="M862" s="3">
        <v>0</v>
      </c>
      <c r="N862" s="5">
        <v>8800</v>
      </c>
      <c r="O862" s="3">
        <v>0</v>
      </c>
      <c r="P862" s="3">
        <v>0</v>
      </c>
      <c r="Q862" s="5">
        <v>9800</v>
      </c>
      <c r="R862" s="3">
        <v>0</v>
      </c>
      <c r="S862" s="3">
        <v>0</v>
      </c>
      <c r="T862" s="3">
        <v>0</v>
      </c>
      <c r="U862" s="3">
        <v>0</v>
      </c>
      <c r="V862" s="5">
        <v>2000</v>
      </c>
      <c r="W862" s="3">
        <v>0</v>
      </c>
      <c r="X862" s="3">
        <v>0</v>
      </c>
      <c r="Y862" s="3">
        <v>0</v>
      </c>
      <c r="Z862" s="3">
        <v>300</v>
      </c>
      <c r="AA862" s="5">
        <v>14000</v>
      </c>
      <c r="AB862" s="6">
        <v>43700</v>
      </c>
      <c r="AC862" s="2" t="str">
        <f>VLOOKUP(E862,'[1]Detailed Transfer Report (12)'!$K:$Y,13,FALSE)</f>
        <v>Zakia bibi</v>
      </c>
      <c r="AD862" s="2" t="str">
        <f>VLOOKUP(E862,'[1]Detailed Transfer Report (12)'!$K:$Y,14,FALSE)</f>
        <v>Sardar Yasir Ilyas</v>
      </c>
      <c r="AE862" s="16">
        <f>VLOOKUP(E862,'[1]Detailed Transfer Report (12)'!$K:$Y,15,FALSE)</f>
        <v>44293</v>
      </c>
    </row>
    <row r="863" spans="1:31" x14ac:dyDescent="0.25">
      <c r="A863" s="9">
        <v>480</v>
      </c>
      <c r="B863" s="4">
        <v>43864</v>
      </c>
      <c r="C863" s="3" t="s">
        <v>521</v>
      </c>
      <c r="D863" s="3" t="s">
        <v>1243</v>
      </c>
      <c r="E863" s="3">
        <v>2538</v>
      </c>
      <c r="F863" s="3"/>
      <c r="G863" s="3" t="s">
        <v>30</v>
      </c>
      <c r="H863" s="3">
        <v>0</v>
      </c>
      <c r="I863" s="3">
        <v>0</v>
      </c>
      <c r="J863" s="5">
        <v>7500</v>
      </c>
      <c r="K863" s="3">
        <v>0</v>
      </c>
      <c r="L863" s="3">
        <v>0</v>
      </c>
      <c r="M863" s="5">
        <v>15000</v>
      </c>
      <c r="N863" s="5">
        <v>23500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5">
        <v>8250</v>
      </c>
      <c r="X863" s="3">
        <v>0</v>
      </c>
      <c r="Y863" s="3">
        <v>0</v>
      </c>
      <c r="Z863" s="3">
        <v>0</v>
      </c>
      <c r="AA863" s="5">
        <v>7500</v>
      </c>
      <c r="AB863" s="6">
        <v>105450</v>
      </c>
      <c r="AD863" s="2" t="str">
        <f>VLOOKUP(E863,'[1]Detailed Transfer Report (12)'!$K:$Y,14,FALSE)</f>
        <v>Sardar Tanveer Ilyas</v>
      </c>
      <c r="AE863" s="16"/>
    </row>
    <row r="864" spans="1:31" x14ac:dyDescent="0.25">
      <c r="A864" s="9">
        <v>480</v>
      </c>
      <c r="B864" s="4">
        <v>43864</v>
      </c>
      <c r="C864" s="3" t="s">
        <v>1244</v>
      </c>
      <c r="D864" s="3" t="s">
        <v>1245</v>
      </c>
      <c r="E864" s="3">
        <v>2537</v>
      </c>
      <c r="F864" s="3"/>
      <c r="G864" s="3" t="s">
        <v>30</v>
      </c>
      <c r="H864" s="3">
        <v>0</v>
      </c>
      <c r="I864" s="3">
        <v>0</v>
      </c>
      <c r="J864" s="5">
        <v>50000</v>
      </c>
      <c r="K864" s="3">
        <v>0</v>
      </c>
      <c r="L864" s="3">
        <v>0</v>
      </c>
      <c r="M864" s="5">
        <v>100000</v>
      </c>
      <c r="N864" s="5">
        <v>151000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5">
        <v>83600</v>
      </c>
      <c r="X864" s="3">
        <v>0</v>
      </c>
      <c r="Y864" s="3">
        <v>0</v>
      </c>
      <c r="Z864" s="3">
        <v>0</v>
      </c>
      <c r="AA864" s="5">
        <v>50000</v>
      </c>
      <c r="AB864" s="6">
        <v>540050</v>
      </c>
      <c r="AD864" s="2" t="str">
        <f>VLOOKUP(E864,'[1]Detailed Transfer Report (12)'!$K:$Y,14,FALSE)</f>
        <v>Sardar Tanveer Ilyas</v>
      </c>
      <c r="AE864" s="16"/>
    </row>
    <row r="865" spans="1:31" x14ac:dyDescent="0.25">
      <c r="A865" s="9">
        <v>480</v>
      </c>
      <c r="B865" s="4">
        <v>43864</v>
      </c>
      <c r="C865" s="3" t="s">
        <v>614</v>
      </c>
      <c r="D865" s="3" t="s">
        <v>1246</v>
      </c>
      <c r="E865" s="3">
        <v>2536</v>
      </c>
      <c r="F865" s="3"/>
      <c r="G865" s="3" t="s">
        <v>30</v>
      </c>
      <c r="H865" s="3">
        <v>0</v>
      </c>
      <c r="I865" s="3">
        <v>0</v>
      </c>
      <c r="J865" s="5">
        <v>5000</v>
      </c>
      <c r="K865" s="3">
        <v>0</v>
      </c>
      <c r="L865" s="3">
        <v>0</v>
      </c>
      <c r="M865" s="5">
        <v>10000</v>
      </c>
      <c r="N865" s="5">
        <v>16000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5">
        <v>5370</v>
      </c>
      <c r="X865" s="3">
        <v>0</v>
      </c>
      <c r="Y865" s="3">
        <v>0</v>
      </c>
      <c r="Z865" s="3">
        <v>0</v>
      </c>
      <c r="AA865" s="5">
        <v>5000</v>
      </c>
      <c r="AB865" s="6">
        <v>581420</v>
      </c>
      <c r="AD865" s="2" t="str">
        <f>VLOOKUP(E865,'[1]Detailed Transfer Report (12)'!$K:$Y,14,FALSE)</f>
        <v>Sardar Tanveer Ilyas</v>
      </c>
      <c r="AE865" s="16"/>
    </row>
    <row r="866" spans="1:31" x14ac:dyDescent="0.25">
      <c r="A866" s="9">
        <v>480</v>
      </c>
      <c r="B866" s="4">
        <v>44305</v>
      </c>
      <c r="C866" s="3" t="s">
        <v>1247</v>
      </c>
      <c r="D866" s="3" t="s">
        <v>1248</v>
      </c>
      <c r="E866" s="3">
        <v>3249</v>
      </c>
      <c r="F866" s="3">
        <v>13359</v>
      </c>
      <c r="G866" s="3" t="s">
        <v>30</v>
      </c>
      <c r="H866" s="3">
        <v>0</v>
      </c>
      <c r="I866" s="3">
        <v>0</v>
      </c>
      <c r="J866" s="5">
        <v>1750</v>
      </c>
      <c r="K866" s="3">
        <v>0</v>
      </c>
      <c r="L866" s="3">
        <v>0</v>
      </c>
      <c r="M866" s="3">
        <v>0</v>
      </c>
      <c r="N866" s="5">
        <v>1750</v>
      </c>
      <c r="O866" s="3">
        <v>0</v>
      </c>
      <c r="P866" s="3">
        <v>0</v>
      </c>
      <c r="Q866" s="5">
        <v>2250</v>
      </c>
      <c r="R866" s="3">
        <v>0</v>
      </c>
      <c r="S866" s="3">
        <v>0</v>
      </c>
      <c r="T866" s="3">
        <v>0</v>
      </c>
      <c r="U866" s="3">
        <v>0</v>
      </c>
      <c r="V866" s="5">
        <v>2000</v>
      </c>
      <c r="W866" s="3">
        <v>0</v>
      </c>
      <c r="X866" s="3">
        <v>0</v>
      </c>
      <c r="Y866" s="3">
        <v>0</v>
      </c>
      <c r="Z866" s="3">
        <v>300</v>
      </c>
      <c r="AA866" s="5">
        <v>14000</v>
      </c>
      <c r="AB866" s="6">
        <v>603470</v>
      </c>
      <c r="AC866" s="2" t="str">
        <f>VLOOKUP(E866,'[1]Detailed Transfer Report (12)'!$K:$Y,13,FALSE)</f>
        <v>M kamal</v>
      </c>
      <c r="AD866" s="2" t="str">
        <f>VLOOKUP(E866,'[1]Detailed Transfer Report (12)'!$K:$Y,14,FALSE)</f>
        <v>Sardar Yasir Ilyas</v>
      </c>
      <c r="AE866" s="16">
        <f>VLOOKUP(E866,'[1]Detailed Transfer Report (12)'!$K:$Y,15,FALSE)</f>
        <v>44293</v>
      </c>
    </row>
    <row r="867" spans="1:31" x14ac:dyDescent="0.25">
      <c r="A867" s="10">
        <v>480</v>
      </c>
      <c r="B867" s="4">
        <v>44305</v>
      </c>
      <c r="C867" s="3" t="s">
        <v>1249</v>
      </c>
      <c r="D867" s="3" t="s">
        <v>1250</v>
      </c>
      <c r="E867" s="3">
        <v>4689</v>
      </c>
      <c r="F867" s="3">
        <v>30047</v>
      </c>
      <c r="G867" s="3" t="s">
        <v>30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6">
        <v>603470</v>
      </c>
      <c r="AC867" s="2" t="str">
        <f>VLOOKUP(E867,'[1]Detailed Transfer Report (12)'!$K:$Y,13,FALSE)</f>
        <v>Qazi Mumtaz Hussain Qureshi</v>
      </c>
      <c r="AD867" s="2" t="str">
        <f>VLOOKUP(E867,'[1]Detailed Transfer Report (12)'!$K:$Y,14,FALSE)</f>
        <v>Sardar Yasir Ilyas</v>
      </c>
      <c r="AE867" s="16">
        <f>VLOOKUP(E867,'[1]Detailed Transfer Report (12)'!$K:$Y,15,FALSE)</f>
        <v>44908</v>
      </c>
    </row>
    <row r="868" spans="1:31" x14ac:dyDescent="0.25">
      <c r="A868" s="3">
        <v>482</v>
      </c>
      <c r="B868" s="4">
        <v>43867</v>
      </c>
      <c r="C868" s="3" t="s">
        <v>584</v>
      </c>
      <c r="D868" s="3" t="s">
        <v>1251</v>
      </c>
      <c r="E868" s="3">
        <v>2535</v>
      </c>
      <c r="F868" s="3"/>
      <c r="G868" s="3" t="s">
        <v>30</v>
      </c>
      <c r="H868" s="3">
        <v>0</v>
      </c>
      <c r="I868" s="3">
        <v>0</v>
      </c>
      <c r="J868" s="5">
        <v>5000</v>
      </c>
      <c r="K868" s="3">
        <v>0</v>
      </c>
      <c r="L868" s="3">
        <v>0</v>
      </c>
      <c r="M868" s="5">
        <v>10000</v>
      </c>
      <c r="N868" s="5">
        <v>16000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5">
        <v>7150</v>
      </c>
      <c r="X868" s="3">
        <v>0</v>
      </c>
      <c r="Y868" s="3">
        <v>0</v>
      </c>
      <c r="Z868" s="3">
        <v>0</v>
      </c>
      <c r="AA868" s="5">
        <v>5000</v>
      </c>
      <c r="AB868" s="6">
        <v>43150</v>
      </c>
      <c r="AD868" s="2" t="str">
        <f>VLOOKUP(E868,'[1]Detailed Transfer Report (12)'!$K:$Y,14,FALSE)</f>
        <v>Sardar Tanveer Ilyas</v>
      </c>
      <c r="AE868" s="16"/>
    </row>
    <row r="869" spans="1:31" x14ac:dyDescent="0.25">
      <c r="A869" s="3">
        <v>483</v>
      </c>
      <c r="B869" s="4">
        <v>44572</v>
      </c>
      <c r="C869" s="3" t="s">
        <v>521</v>
      </c>
      <c r="D869" s="3" t="s">
        <v>1151</v>
      </c>
      <c r="E869" s="3">
        <v>2542</v>
      </c>
      <c r="F869" s="3"/>
      <c r="G869" s="3" t="s">
        <v>30</v>
      </c>
      <c r="H869" s="3">
        <v>0</v>
      </c>
      <c r="I869" s="3">
        <v>0</v>
      </c>
      <c r="J869" s="5">
        <v>16200</v>
      </c>
      <c r="K869" s="3">
        <v>0</v>
      </c>
      <c r="L869" s="5">
        <v>50000</v>
      </c>
      <c r="M869" s="3">
        <v>0</v>
      </c>
      <c r="N869" s="5">
        <v>16200</v>
      </c>
      <c r="O869" s="3">
        <v>0</v>
      </c>
      <c r="P869" s="3">
        <v>0</v>
      </c>
      <c r="Q869" s="5">
        <v>48600</v>
      </c>
      <c r="R869" s="5">
        <v>32400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5">
        <v>10000</v>
      </c>
      <c r="AB869" s="6">
        <v>173400</v>
      </c>
      <c r="AD869" s="2" t="str">
        <f>VLOOKUP(E869,'[1]Detailed Transfer Report (12)'!$K:$Y,14,FALSE)</f>
        <v>Sardar Tanveer Ilyas</v>
      </c>
      <c r="AE869" s="16"/>
    </row>
    <row r="870" spans="1:31" x14ac:dyDescent="0.25">
      <c r="A870" s="3">
        <v>484</v>
      </c>
      <c r="B870" s="4">
        <v>44004</v>
      </c>
      <c r="C870" s="3" t="s">
        <v>1252</v>
      </c>
      <c r="D870" s="3" t="s">
        <v>1253</v>
      </c>
      <c r="E870" s="3">
        <v>5483</v>
      </c>
      <c r="F870" s="3">
        <v>6408</v>
      </c>
      <c r="G870" s="3" t="s">
        <v>756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8">
        <v>0</v>
      </c>
      <c r="AC870" s="2" t="str">
        <f>VLOOKUP(E870,'[1]Detailed Transfer Report (12)'!$K:$Y,13,FALSE)</f>
        <v>Zahid gul</v>
      </c>
      <c r="AD870" s="2" t="str">
        <f>VLOOKUP(E870,'[1]Detailed Transfer Report (12)'!$K:$Y,14,FALSE)</f>
        <v>Sardar Tanveer Ilyas</v>
      </c>
      <c r="AE870" s="16">
        <f>VLOOKUP(E870,'[1]Detailed Transfer Report (12)'!$K:$Y,15,FALSE)</f>
        <v>44019</v>
      </c>
    </row>
    <row r="871" spans="1:31" x14ac:dyDescent="0.25">
      <c r="A871" s="3">
        <v>485</v>
      </c>
      <c r="B871" s="4">
        <v>44140</v>
      </c>
      <c r="C871" s="3" t="s">
        <v>153</v>
      </c>
      <c r="D871" s="3" t="s">
        <v>1254</v>
      </c>
      <c r="E871" s="3">
        <v>3033</v>
      </c>
      <c r="F871" s="3">
        <v>22235</v>
      </c>
      <c r="G871" s="3" t="s">
        <v>30</v>
      </c>
      <c r="H871" s="3">
        <v>0</v>
      </c>
      <c r="I871" s="3">
        <v>0</v>
      </c>
      <c r="J871" s="5">
        <v>2750</v>
      </c>
      <c r="K871" s="3">
        <v>0</v>
      </c>
      <c r="L871" s="3">
        <v>0</v>
      </c>
      <c r="M871" s="3">
        <v>0</v>
      </c>
      <c r="N871" s="5">
        <v>2750</v>
      </c>
      <c r="O871" s="3">
        <v>0</v>
      </c>
      <c r="P871" s="3">
        <v>0</v>
      </c>
      <c r="Q871" s="5">
        <v>3250</v>
      </c>
      <c r="R871" s="3">
        <v>0</v>
      </c>
      <c r="S871" s="3">
        <v>0</v>
      </c>
      <c r="T871" s="3">
        <v>0</v>
      </c>
      <c r="U871" s="3">
        <v>0</v>
      </c>
      <c r="V871" s="5">
        <v>200000</v>
      </c>
      <c r="W871" s="3">
        <v>0</v>
      </c>
      <c r="X871" s="3">
        <v>0</v>
      </c>
      <c r="Y871" s="3">
        <v>0</v>
      </c>
      <c r="Z871" s="3">
        <v>300</v>
      </c>
      <c r="AA871" s="5">
        <v>14000</v>
      </c>
      <c r="AB871" s="6">
        <v>223050</v>
      </c>
      <c r="AC871" s="2" t="str">
        <f>VLOOKUP(E871,'[1]Detailed Transfer Report (12)'!$K:$Y,13,FALSE)</f>
        <v>Anber Bibi</v>
      </c>
      <c r="AD871" s="2" t="str">
        <f>VLOOKUP(E871,'[1]Detailed Transfer Report (12)'!$K:$Y,14,FALSE)</f>
        <v>Sardar Tanveer Ilyas</v>
      </c>
      <c r="AE871" s="16">
        <f>VLOOKUP(E871,'[1]Detailed Transfer Report (12)'!$K:$Y,15,FALSE)</f>
        <v>44153</v>
      </c>
    </row>
    <row r="872" spans="1:31" x14ac:dyDescent="0.25">
      <c r="A872" s="3">
        <v>486</v>
      </c>
      <c r="B872" s="4">
        <v>43943</v>
      </c>
      <c r="C872" s="3" t="s">
        <v>153</v>
      </c>
      <c r="D872" s="3" t="s">
        <v>1255</v>
      </c>
      <c r="E872" s="3"/>
      <c r="F872" s="3">
        <v>5421</v>
      </c>
      <c r="G872" s="3" t="s">
        <v>756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8">
        <v>0</v>
      </c>
      <c r="AC872" s="2" t="str">
        <f>VLOOKUP(F872,'[1]Detailed Transfer Report (12)'!$L:$Y,12,FALSE)</f>
        <v>Luqman Khan</v>
      </c>
      <c r="AD872" s="2" t="str">
        <f>VLOOKUP(F872,'[1]Detailed Transfer Report (12)'!$L:$Y,13,FALSE)</f>
        <v>Sardar Tanveer Ilyas</v>
      </c>
      <c r="AE872" s="16">
        <f>VLOOKUP(F872,'[1]Detailed Transfer Report (12)'!$L:$Y,14,FALSE)</f>
        <v>43892</v>
      </c>
    </row>
    <row r="873" spans="1:31" x14ac:dyDescent="0.25">
      <c r="A873" s="3">
        <v>487</v>
      </c>
      <c r="B873" s="4">
        <v>44002</v>
      </c>
      <c r="C873" s="3" t="s">
        <v>44</v>
      </c>
      <c r="D873" s="3" t="s">
        <v>1256</v>
      </c>
      <c r="E873" s="3">
        <v>4752</v>
      </c>
      <c r="F873" s="3">
        <v>5489</v>
      </c>
      <c r="G873" s="3" t="s">
        <v>756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8">
        <v>0</v>
      </c>
      <c r="AC873" s="2" t="str">
        <f>VLOOKUP(E873,'[1]Detailed Transfer Report (12)'!$K:$Y,13,FALSE)</f>
        <v>M yousaf</v>
      </c>
      <c r="AD873" s="2" t="str">
        <f>VLOOKUP(E873,'[1]Detailed Transfer Report (12)'!$K:$Y,14,FALSE)</f>
        <v>Sardar Tanveer Ilyas</v>
      </c>
      <c r="AE873" s="16">
        <f>VLOOKUP(E873,'[1]Detailed Transfer Report (12)'!$K:$Y,15,FALSE)</f>
        <v>44376</v>
      </c>
    </row>
    <row r="874" spans="1:31" x14ac:dyDescent="0.25">
      <c r="A874" s="7">
        <v>488</v>
      </c>
      <c r="B874" s="4">
        <v>44011</v>
      </c>
      <c r="C874" s="3" t="s">
        <v>427</v>
      </c>
      <c r="D874" s="3" t="s">
        <v>1257</v>
      </c>
      <c r="E874" s="3">
        <v>4286</v>
      </c>
      <c r="F874" s="3"/>
      <c r="G874" s="3" t="s">
        <v>756</v>
      </c>
      <c r="H874" s="3">
        <v>0</v>
      </c>
      <c r="I874" s="3">
        <v>0</v>
      </c>
      <c r="J874" s="5">
        <v>17500</v>
      </c>
      <c r="K874" s="3">
        <v>0</v>
      </c>
      <c r="L874" s="3">
        <v>0</v>
      </c>
      <c r="M874" s="3">
        <v>0</v>
      </c>
      <c r="N874" s="5">
        <v>53500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5">
        <v>13450</v>
      </c>
      <c r="X874" s="3">
        <v>0</v>
      </c>
      <c r="Y874" s="3">
        <v>0</v>
      </c>
      <c r="Z874" s="3">
        <v>0</v>
      </c>
      <c r="AA874" s="5">
        <v>17500</v>
      </c>
      <c r="AB874" s="6">
        <v>101950</v>
      </c>
      <c r="AD874" s="2" t="str">
        <f>VLOOKUP(E874,'[1]Detailed Transfer Report (12)'!$K:$Y,14,FALSE)</f>
        <v>Sardar Tanveer Ilyas</v>
      </c>
      <c r="AE874" s="16"/>
    </row>
    <row r="875" spans="1:31" x14ac:dyDescent="0.25">
      <c r="A875" s="10">
        <v>488</v>
      </c>
      <c r="B875" s="4">
        <v>44011</v>
      </c>
      <c r="C875" s="3" t="s">
        <v>495</v>
      </c>
      <c r="D875" s="3" t="s">
        <v>1258</v>
      </c>
      <c r="E875" s="3">
        <v>4278</v>
      </c>
      <c r="F875" s="3"/>
      <c r="G875" s="3" t="s">
        <v>756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6">
        <v>101950</v>
      </c>
      <c r="AD875" s="2" t="str">
        <f>VLOOKUP(E875,'[1]Detailed Transfer Report (12)'!$K:$Y,14,FALSE)</f>
        <v>Sardar Tanveer Ilyas</v>
      </c>
      <c r="AE875" s="16"/>
    </row>
    <row r="876" spans="1:31" x14ac:dyDescent="0.25">
      <c r="A876" s="3">
        <v>490</v>
      </c>
      <c r="B876" s="4">
        <v>43686</v>
      </c>
      <c r="C876" s="3" t="s">
        <v>308</v>
      </c>
      <c r="D876" s="3" t="s">
        <v>1259</v>
      </c>
      <c r="E876" s="3">
        <v>2201</v>
      </c>
      <c r="F876" s="3"/>
      <c r="G876" s="3" t="s">
        <v>30</v>
      </c>
      <c r="H876" s="3">
        <v>0</v>
      </c>
      <c r="I876" s="3">
        <v>0</v>
      </c>
      <c r="J876" s="3">
        <v>0</v>
      </c>
      <c r="K876" s="3">
        <v>0</v>
      </c>
      <c r="L876" s="5">
        <v>54250</v>
      </c>
      <c r="M876" s="5">
        <v>14000</v>
      </c>
      <c r="N876" s="5">
        <v>22000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5">
        <v>3911</v>
      </c>
      <c r="X876" s="3">
        <v>0</v>
      </c>
      <c r="Y876" s="3">
        <v>0</v>
      </c>
      <c r="Z876" s="3">
        <v>0</v>
      </c>
      <c r="AA876" s="5">
        <v>7000</v>
      </c>
      <c r="AB876" s="6">
        <v>101161</v>
      </c>
      <c r="AD876" s="2" t="str">
        <f>VLOOKUP(E876,'[1]Detailed Transfer Report (12)'!$K:$Y,14,FALSE)</f>
        <v>Sardar Tanveer Ilyas</v>
      </c>
      <c r="AE876" s="16"/>
    </row>
    <row r="877" spans="1:31" x14ac:dyDescent="0.25">
      <c r="A877" s="3">
        <v>491</v>
      </c>
      <c r="B877" s="4">
        <v>43686</v>
      </c>
      <c r="C877" s="3" t="s">
        <v>153</v>
      </c>
      <c r="D877" s="3" t="s">
        <v>1260</v>
      </c>
      <c r="E877" s="3">
        <v>2210</v>
      </c>
      <c r="F877" s="3"/>
      <c r="G877" s="3" t="s">
        <v>30</v>
      </c>
      <c r="H877" s="3">
        <v>0</v>
      </c>
      <c r="I877" s="3">
        <v>0</v>
      </c>
      <c r="J877" s="3">
        <v>0</v>
      </c>
      <c r="K877" s="3">
        <v>0</v>
      </c>
      <c r="L877" s="5">
        <v>31000</v>
      </c>
      <c r="M877" s="5">
        <v>10000</v>
      </c>
      <c r="N877" s="5">
        <v>15500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5">
        <v>2750</v>
      </c>
      <c r="X877" s="3">
        <v>0</v>
      </c>
      <c r="Y877" s="3">
        <v>0</v>
      </c>
      <c r="Z877" s="3">
        <v>0</v>
      </c>
      <c r="AA877" s="5">
        <v>5000</v>
      </c>
      <c r="AB877" s="6">
        <v>64250</v>
      </c>
      <c r="AD877" s="2" t="str">
        <f>VLOOKUP(E877,'[1]Detailed Transfer Report (12)'!$K:$Y,14,FALSE)</f>
        <v>Sardar Tanveer Ilyas</v>
      </c>
      <c r="AE877" s="16"/>
    </row>
    <row r="878" spans="1:31" x14ac:dyDescent="0.25">
      <c r="A878" s="3">
        <v>492</v>
      </c>
      <c r="B878" s="4">
        <v>43565</v>
      </c>
      <c r="C878" s="3" t="s">
        <v>521</v>
      </c>
      <c r="D878" s="3" t="s">
        <v>1261</v>
      </c>
      <c r="E878" s="3">
        <v>292</v>
      </c>
      <c r="F878" s="3"/>
      <c r="G878" s="3" t="s">
        <v>41</v>
      </c>
      <c r="H878" s="3">
        <v>0</v>
      </c>
      <c r="I878" s="3">
        <v>0</v>
      </c>
      <c r="J878" s="5">
        <v>16800</v>
      </c>
      <c r="K878" s="3">
        <v>0</v>
      </c>
      <c r="L878" s="3">
        <v>0</v>
      </c>
      <c r="M878" s="3">
        <v>0</v>
      </c>
      <c r="N878" s="5">
        <v>8400</v>
      </c>
      <c r="O878" s="3">
        <v>0</v>
      </c>
      <c r="P878" s="3">
        <v>0</v>
      </c>
      <c r="Q878" s="5">
        <v>26200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6">
        <v>51400</v>
      </c>
      <c r="AE878" s="16"/>
    </row>
    <row r="879" spans="1:31" x14ac:dyDescent="0.25">
      <c r="A879" s="3">
        <v>497</v>
      </c>
      <c r="B879" s="4">
        <v>43938</v>
      </c>
      <c r="C879" s="3" t="s">
        <v>1262</v>
      </c>
      <c r="D879" s="3" t="s">
        <v>1263</v>
      </c>
      <c r="E879" s="3">
        <v>2544</v>
      </c>
      <c r="F879" s="3"/>
      <c r="G879" s="3" t="s">
        <v>30</v>
      </c>
      <c r="H879" s="3">
        <v>0</v>
      </c>
      <c r="I879" s="3">
        <v>0</v>
      </c>
      <c r="J879" s="5">
        <v>40000</v>
      </c>
      <c r="K879" s="3">
        <v>0</v>
      </c>
      <c r="L879" s="5">
        <v>300000</v>
      </c>
      <c r="M879" s="5">
        <v>80000</v>
      </c>
      <c r="N879" s="5">
        <v>121000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5">
        <v>1250</v>
      </c>
      <c r="W879" s="5">
        <v>40700</v>
      </c>
      <c r="X879" s="3">
        <v>0</v>
      </c>
      <c r="Y879" s="3">
        <v>0</v>
      </c>
      <c r="Z879" s="3">
        <v>0</v>
      </c>
      <c r="AA879" s="5">
        <v>40000</v>
      </c>
      <c r="AB879" s="6">
        <v>622950</v>
      </c>
      <c r="AD879" s="2" t="str">
        <f>VLOOKUP(E879,'[1]Detailed Transfer Report (12)'!$K:$Y,14,FALSE)</f>
        <v>Sardar Tanveer Ilyas</v>
      </c>
      <c r="AE879" s="16"/>
    </row>
    <row r="880" spans="1:31" x14ac:dyDescent="0.25">
      <c r="A880" s="3">
        <v>498</v>
      </c>
      <c r="B880" s="4">
        <v>44127</v>
      </c>
      <c r="C880" s="3" t="s">
        <v>137</v>
      </c>
      <c r="D880" s="3" t="s">
        <v>1264</v>
      </c>
      <c r="E880" s="3">
        <v>3024</v>
      </c>
      <c r="F880" s="3">
        <v>21607</v>
      </c>
      <c r="G880" s="3" t="s">
        <v>30</v>
      </c>
      <c r="H880" s="3">
        <v>0</v>
      </c>
      <c r="I880" s="3">
        <v>0</v>
      </c>
      <c r="J880" s="5">
        <v>5500</v>
      </c>
      <c r="K880" s="3">
        <v>0</v>
      </c>
      <c r="L880" s="3">
        <v>0</v>
      </c>
      <c r="M880" s="3">
        <v>0</v>
      </c>
      <c r="N880" s="5">
        <v>5500</v>
      </c>
      <c r="O880" s="3">
        <v>0</v>
      </c>
      <c r="P880" s="3">
        <v>0</v>
      </c>
      <c r="Q880" s="5">
        <v>6500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300</v>
      </c>
      <c r="AA880" s="5">
        <v>14000</v>
      </c>
      <c r="AB880" s="6">
        <v>31800</v>
      </c>
      <c r="AC880" s="2" t="str">
        <f>VLOOKUP(E880,'[1]Detailed Transfer Report (12)'!$K:$Y,13,FALSE)</f>
        <v>talat khan</v>
      </c>
      <c r="AD880" s="2" t="str">
        <f>VLOOKUP(E880,'[1]Detailed Transfer Report (12)'!$K:$Y,14,FALSE)</f>
        <v>Sardar Tanveer Ilyas</v>
      </c>
      <c r="AE880" s="16">
        <f>VLOOKUP(E880,'[1]Detailed Transfer Report (12)'!$K:$Y,15,FALSE)</f>
        <v>44147</v>
      </c>
    </row>
    <row r="881" spans="1:31" x14ac:dyDescent="0.25">
      <c r="A881" s="3">
        <v>499</v>
      </c>
      <c r="B881" s="4">
        <v>43686</v>
      </c>
      <c r="C881" s="3" t="s">
        <v>114</v>
      </c>
      <c r="D881" s="3" t="s">
        <v>1265</v>
      </c>
      <c r="E881" s="3">
        <v>2216</v>
      </c>
      <c r="F881" s="3"/>
      <c r="G881" s="3" t="s">
        <v>30</v>
      </c>
      <c r="H881" s="3">
        <v>0</v>
      </c>
      <c r="I881" s="3">
        <v>0</v>
      </c>
      <c r="J881" s="3">
        <v>0</v>
      </c>
      <c r="K881" s="3">
        <v>0</v>
      </c>
      <c r="L881" s="5">
        <v>70000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6">
        <v>70000</v>
      </c>
      <c r="AD881" s="2" t="str">
        <f>VLOOKUP(E881,'[1]Detailed Transfer Report (12)'!$K:$Y,14,FALSE)</f>
        <v>Sardar Tanveer Ilyas</v>
      </c>
      <c r="AE881" s="16"/>
    </row>
    <row r="882" spans="1:31" x14ac:dyDescent="0.25">
      <c r="A882" s="3">
        <v>500</v>
      </c>
      <c r="B882" s="4">
        <v>43721</v>
      </c>
      <c r="C882" s="3" t="s">
        <v>1266</v>
      </c>
      <c r="D882" s="3" t="s">
        <v>1267</v>
      </c>
      <c r="E882" s="3"/>
      <c r="F882" s="3"/>
      <c r="G882" s="3" t="s">
        <v>30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8">
        <v>0</v>
      </c>
      <c r="AE882" s="16"/>
    </row>
    <row r="883" spans="1:31" x14ac:dyDescent="0.25">
      <c r="A883" s="7">
        <v>501</v>
      </c>
      <c r="B883" s="4">
        <v>43760</v>
      </c>
      <c r="C883" s="3" t="s">
        <v>581</v>
      </c>
      <c r="D883" s="3" t="s">
        <v>1268</v>
      </c>
      <c r="E883" s="3">
        <v>2240</v>
      </c>
      <c r="F883" s="3"/>
      <c r="G883" s="3" t="s">
        <v>30</v>
      </c>
      <c r="H883" s="3">
        <v>0</v>
      </c>
      <c r="I883" s="3">
        <v>0</v>
      </c>
      <c r="J883" s="3">
        <v>0</v>
      </c>
      <c r="K883" s="3">
        <v>0</v>
      </c>
      <c r="L883" s="5">
        <v>131750</v>
      </c>
      <c r="M883" s="5">
        <v>34000</v>
      </c>
      <c r="N883" s="5">
        <v>52500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500</v>
      </c>
      <c r="W883" s="5">
        <v>8725</v>
      </c>
      <c r="X883" s="3">
        <v>0</v>
      </c>
      <c r="Y883" s="3">
        <v>0</v>
      </c>
      <c r="Z883" s="3">
        <v>0</v>
      </c>
      <c r="AA883" s="5">
        <v>17000</v>
      </c>
      <c r="AB883" s="6">
        <v>244475</v>
      </c>
      <c r="AD883" s="2" t="str">
        <f>VLOOKUP(E883,'[1]Detailed Transfer Report (12)'!$K:$Y,14,FALSE)</f>
        <v>Sardar Tanveer Ilyas</v>
      </c>
      <c r="AE883" s="16"/>
    </row>
    <row r="884" spans="1:31" x14ac:dyDescent="0.25">
      <c r="A884" s="10">
        <v>501</v>
      </c>
      <c r="B884" s="4">
        <v>43721</v>
      </c>
      <c r="C884" s="3" t="s">
        <v>153</v>
      </c>
      <c r="D884" s="3" t="s">
        <v>176</v>
      </c>
      <c r="E884" s="3">
        <v>2241</v>
      </c>
      <c r="F884" s="3"/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6">
        <v>244475</v>
      </c>
      <c r="AD884" s="2" t="str">
        <f>VLOOKUP(E884,'[1]Detailed Transfer Report (12)'!$K:$Y,14,FALSE)</f>
        <v>Sardar Tanveer Ilyas</v>
      </c>
      <c r="AE884" s="16"/>
    </row>
    <row r="885" spans="1:31" x14ac:dyDescent="0.25">
      <c r="A885" s="7">
        <v>502</v>
      </c>
      <c r="B885" s="4">
        <v>44127</v>
      </c>
      <c r="C885" s="3" t="s">
        <v>366</v>
      </c>
      <c r="D885" s="3" t="s">
        <v>1269</v>
      </c>
      <c r="E885" s="3">
        <v>3479</v>
      </c>
      <c r="F885" s="3">
        <v>19999</v>
      </c>
      <c r="G885" s="3" t="s">
        <v>30</v>
      </c>
      <c r="H885" s="3">
        <v>0</v>
      </c>
      <c r="I885" s="3">
        <v>0</v>
      </c>
      <c r="J885" s="5">
        <v>1500</v>
      </c>
      <c r="K885" s="3">
        <v>0</v>
      </c>
      <c r="L885" s="3">
        <v>0</v>
      </c>
      <c r="M885" s="3">
        <v>0</v>
      </c>
      <c r="N885" s="5">
        <v>1500</v>
      </c>
      <c r="O885" s="3">
        <v>0</v>
      </c>
      <c r="P885" s="3">
        <v>0</v>
      </c>
      <c r="Q885" s="5">
        <v>2000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300</v>
      </c>
      <c r="AA885" s="5">
        <v>14000</v>
      </c>
      <c r="AB885" s="6">
        <v>19300</v>
      </c>
      <c r="AC885" s="2" t="str">
        <f>VLOOKUP(E885,'[1]Detailed Transfer Report (12)'!$K:$Y,13,FALSE)</f>
        <v>Mumtaz begum</v>
      </c>
      <c r="AD885" s="2" t="str">
        <f>VLOOKUP(E885,'[1]Detailed Transfer Report (12)'!$K:$Y,14,FALSE)</f>
        <v>Sardar Tanveer Ilyas</v>
      </c>
      <c r="AE885" s="16">
        <f>VLOOKUP(E885,'[1]Detailed Transfer Report (12)'!$K:$Y,15,FALSE)</f>
        <v>44133</v>
      </c>
    </row>
    <row r="886" spans="1:31" x14ac:dyDescent="0.25">
      <c r="A886" s="9">
        <v>502</v>
      </c>
      <c r="B886" s="4">
        <v>44127</v>
      </c>
      <c r="C886" s="3" t="s">
        <v>354</v>
      </c>
      <c r="D886" s="3" t="s">
        <v>1270</v>
      </c>
      <c r="E886" s="3">
        <v>3107</v>
      </c>
      <c r="F886" s="3">
        <v>19996</v>
      </c>
      <c r="G886" s="3" t="s">
        <v>30</v>
      </c>
      <c r="H886" s="3">
        <v>0</v>
      </c>
      <c r="I886" s="3">
        <v>0</v>
      </c>
      <c r="J886" s="5">
        <v>1000</v>
      </c>
      <c r="K886" s="3">
        <v>0</v>
      </c>
      <c r="L886" s="3">
        <v>0</v>
      </c>
      <c r="M886" s="3">
        <v>0</v>
      </c>
      <c r="N886" s="5">
        <v>1000</v>
      </c>
      <c r="O886" s="3">
        <v>0</v>
      </c>
      <c r="P886" s="3">
        <v>0</v>
      </c>
      <c r="Q886" s="5">
        <v>1500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300</v>
      </c>
      <c r="AA886" s="5">
        <v>14000</v>
      </c>
      <c r="AB886" s="6">
        <v>37100</v>
      </c>
      <c r="AC886" s="2" t="str">
        <f>VLOOKUP(E886,'[1]Detailed Transfer Report (12)'!$K:$Y,13,FALSE)</f>
        <v>Nighat sultana</v>
      </c>
      <c r="AD886" s="2" t="str">
        <f>VLOOKUP(E886,'[1]Detailed Transfer Report (12)'!$K:$Y,14,FALSE)</f>
        <v>Sardar Tanveer Ilyas</v>
      </c>
      <c r="AE886" s="16">
        <f>VLOOKUP(E886,'[1]Detailed Transfer Report (12)'!$K:$Y,15,FALSE)</f>
        <v>44133</v>
      </c>
    </row>
    <row r="887" spans="1:31" x14ac:dyDescent="0.25">
      <c r="A887" s="10">
        <v>502</v>
      </c>
      <c r="B887" s="4">
        <v>44127</v>
      </c>
      <c r="C887" s="3" t="s">
        <v>590</v>
      </c>
      <c r="D887" s="3" t="s">
        <v>1271</v>
      </c>
      <c r="E887" s="3">
        <v>3059</v>
      </c>
      <c r="F887" s="3">
        <v>19997</v>
      </c>
      <c r="G887" s="3" t="s">
        <v>30</v>
      </c>
      <c r="H887" s="3">
        <v>0</v>
      </c>
      <c r="I887" s="3">
        <v>0</v>
      </c>
      <c r="J887" s="5">
        <v>2500</v>
      </c>
      <c r="K887" s="3">
        <v>0</v>
      </c>
      <c r="L887" s="3">
        <v>0</v>
      </c>
      <c r="M887" s="3">
        <v>0</v>
      </c>
      <c r="N887" s="5">
        <v>2500</v>
      </c>
      <c r="O887" s="3">
        <v>0</v>
      </c>
      <c r="P887" s="3">
        <v>0</v>
      </c>
      <c r="Q887" s="5">
        <v>3000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300</v>
      </c>
      <c r="AA887" s="5">
        <v>14000</v>
      </c>
      <c r="AB887" s="6">
        <v>59400</v>
      </c>
      <c r="AC887" s="2" t="str">
        <f>VLOOKUP(E887,'[1]Detailed Transfer Report (12)'!$K:$Y,13,FALSE)</f>
        <v>Iffat sultana</v>
      </c>
      <c r="AD887" s="2" t="str">
        <f>VLOOKUP(E887,'[1]Detailed Transfer Report (12)'!$K:$Y,14,FALSE)</f>
        <v>Sardar Tanveer Ilyas</v>
      </c>
      <c r="AE887" s="16">
        <f>VLOOKUP(E887,'[1]Detailed Transfer Report (12)'!$K:$Y,15,FALSE)</f>
        <v>44646</v>
      </c>
    </row>
    <row r="888" spans="1:31" x14ac:dyDescent="0.25">
      <c r="A888" s="7">
        <v>503</v>
      </c>
      <c r="B888" s="4">
        <v>44174</v>
      </c>
      <c r="C888" s="3" t="s">
        <v>153</v>
      </c>
      <c r="D888" s="3" t="s">
        <v>1272</v>
      </c>
      <c r="E888" s="3">
        <v>2981</v>
      </c>
      <c r="F888" s="3">
        <v>13424</v>
      </c>
      <c r="G888" s="3" t="s">
        <v>30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5">
        <v>3680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6">
        <v>3680</v>
      </c>
      <c r="AC888" s="2" t="str">
        <f>VLOOKUP(E888,'[1]Detailed Transfer Report (12)'!$K:$Y,13,FALSE)</f>
        <v>Zaheer al din</v>
      </c>
      <c r="AD888" s="2" t="str">
        <f>VLOOKUP(E888,'[1]Detailed Transfer Report (12)'!$K:$Y,14,FALSE)</f>
        <v>Sardar Tanveer Ilyas</v>
      </c>
      <c r="AE888" s="16">
        <f>VLOOKUP(E888,'[1]Detailed Transfer Report (12)'!$K:$Y,15,FALSE)</f>
        <v>44086</v>
      </c>
    </row>
    <row r="889" spans="1:31" x14ac:dyDescent="0.25">
      <c r="A889" s="10">
        <v>503</v>
      </c>
      <c r="B889" s="4">
        <v>44174</v>
      </c>
      <c r="C889" s="3" t="s">
        <v>1273</v>
      </c>
      <c r="D889" s="3" t="s">
        <v>1274</v>
      </c>
      <c r="E889" s="3"/>
      <c r="F889" s="3"/>
      <c r="G889" s="3" t="s">
        <v>30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6">
        <v>3680</v>
      </c>
      <c r="AE889" s="16"/>
    </row>
    <row r="890" spans="1:31" x14ac:dyDescent="0.25">
      <c r="A890" s="7">
        <v>504</v>
      </c>
      <c r="B890" s="4">
        <v>44174</v>
      </c>
      <c r="C890" s="3" t="s">
        <v>137</v>
      </c>
      <c r="D890" s="3" t="s">
        <v>1275</v>
      </c>
      <c r="E890" s="3">
        <v>4751</v>
      </c>
      <c r="F890" s="3">
        <v>8514</v>
      </c>
      <c r="G890" s="3" t="s">
        <v>756</v>
      </c>
      <c r="H890" s="3">
        <v>0</v>
      </c>
      <c r="I890" s="3">
        <v>0</v>
      </c>
      <c r="J890" s="5">
        <v>13750</v>
      </c>
      <c r="K890" s="3">
        <v>0</v>
      </c>
      <c r="L890" s="3">
        <v>0</v>
      </c>
      <c r="M890" s="3">
        <v>0</v>
      </c>
      <c r="N890" s="5">
        <v>13750</v>
      </c>
      <c r="O890" s="3">
        <v>0</v>
      </c>
      <c r="P890" s="3">
        <v>0</v>
      </c>
      <c r="Q890" s="5">
        <v>14750</v>
      </c>
      <c r="R890" s="3">
        <v>0</v>
      </c>
      <c r="S890" s="3">
        <v>0</v>
      </c>
      <c r="T890" s="3">
        <v>0</v>
      </c>
      <c r="U890" s="3">
        <v>0</v>
      </c>
      <c r="V890" s="5">
        <v>2750</v>
      </c>
      <c r="W890" s="3">
        <v>0</v>
      </c>
      <c r="X890" s="3">
        <v>0</v>
      </c>
      <c r="Y890" s="3">
        <v>0</v>
      </c>
      <c r="Z890" s="3">
        <v>300</v>
      </c>
      <c r="AA890" s="5">
        <v>14000</v>
      </c>
      <c r="AB890" s="6">
        <v>59300</v>
      </c>
      <c r="AC890" s="2" t="str">
        <f>VLOOKUP(E890,'[1]Detailed Transfer Report (12)'!$K:$Y,13,FALSE)</f>
        <v>Muhammad Mumtaz Khan</v>
      </c>
      <c r="AD890" s="2" t="str">
        <f>VLOOKUP(E890,'[1]Detailed Transfer Report (12)'!$K:$Y,14,FALSE)</f>
        <v>Sardar Yasir Ilyas</v>
      </c>
      <c r="AE890" s="16">
        <f>VLOOKUP(E890,'[1]Detailed Transfer Report (12)'!$K:$Y,15,FALSE)</f>
        <v>44259</v>
      </c>
    </row>
    <row r="891" spans="1:31" x14ac:dyDescent="0.25">
      <c r="A891" s="9">
        <v>504</v>
      </c>
      <c r="B891" s="4">
        <v>44315</v>
      </c>
      <c r="C891" s="3" t="s">
        <v>44</v>
      </c>
      <c r="D891" s="3" t="s">
        <v>1276</v>
      </c>
      <c r="E891" s="3">
        <v>4757</v>
      </c>
      <c r="F891" s="3">
        <v>15769</v>
      </c>
      <c r="G891" s="3" t="s">
        <v>756</v>
      </c>
      <c r="H891" s="3">
        <v>0</v>
      </c>
      <c r="I891" s="3">
        <v>0</v>
      </c>
      <c r="J891" s="5">
        <v>13200</v>
      </c>
      <c r="K891" s="3">
        <v>0</v>
      </c>
      <c r="L891" s="3">
        <v>0</v>
      </c>
      <c r="M891" s="3">
        <v>0</v>
      </c>
      <c r="N891" s="5">
        <v>13200</v>
      </c>
      <c r="O891" s="3">
        <v>0</v>
      </c>
      <c r="P891" s="3">
        <v>0</v>
      </c>
      <c r="Q891" s="5">
        <v>14200</v>
      </c>
      <c r="R891" s="3">
        <v>0</v>
      </c>
      <c r="S891" s="3">
        <v>0</v>
      </c>
      <c r="T891" s="3">
        <v>0</v>
      </c>
      <c r="U891" s="3">
        <v>0</v>
      </c>
      <c r="V891" s="5">
        <v>2000</v>
      </c>
      <c r="W891" s="3">
        <v>0</v>
      </c>
      <c r="X891" s="3">
        <v>0</v>
      </c>
      <c r="Y891" s="3">
        <v>0</v>
      </c>
      <c r="Z891" s="3">
        <v>300</v>
      </c>
      <c r="AA891" s="5">
        <v>16000</v>
      </c>
      <c r="AB891" s="6">
        <v>118200</v>
      </c>
      <c r="AC891" s="2" t="str">
        <f>VLOOKUP(E891,'[1]Detailed Transfer Report (12)'!$K:$Y,13,FALSE)</f>
        <v>Muhammad Mumtaz Khan</v>
      </c>
      <c r="AD891" s="2" t="str">
        <f>VLOOKUP(E891,'[1]Detailed Transfer Report (12)'!$K:$Y,14,FALSE)</f>
        <v>Sardar Yasir Ilyas</v>
      </c>
      <c r="AE891" s="16">
        <f>VLOOKUP(E891,'[1]Detailed Transfer Report (12)'!$K:$Y,15,FALSE)</f>
        <v>44309</v>
      </c>
    </row>
    <row r="892" spans="1:31" x14ac:dyDescent="0.25">
      <c r="A892" s="9">
        <v>504</v>
      </c>
      <c r="B892" s="4">
        <v>44315</v>
      </c>
      <c r="C892" s="3" t="s">
        <v>127</v>
      </c>
      <c r="D892" s="3" t="s">
        <v>1277</v>
      </c>
      <c r="E892" s="3">
        <v>4758</v>
      </c>
      <c r="F892" s="3">
        <v>15770</v>
      </c>
      <c r="G892" s="3" t="s">
        <v>756</v>
      </c>
      <c r="H892" s="3">
        <v>0</v>
      </c>
      <c r="I892" s="3">
        <v>0</v>
      </c>
      <c r="J892" s="5">
        <v>11880</v>
      </c>
      <c r="K892" s="3">
        <v>0</v>
      </c>
      <c r="L892" s="3">
        <v>0</v>
      </c>
      <c r="M892" s="3">
        <v>0</v>
      </c>
      <c r="N892" s="5">
        <v>11880</v>
      </c>
      <c r="O892" s="3">
        <v>0</v>
      </c>
      <c r="P892" s="3">
        <v>0</v>
      </c>
      <c r="Q892" s="5">
        <v>12880</v>
      </c>
      <c r="R892" s="3">
        <v>0</v>
      </c>
      <c r="S892" s="3">
        <v>0</v>
      </c>
      <c r="T892" s="5">
        <v>2000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300</v>
      </c>
      <c r="AA892" s="5">
        <v>14000</v>
      </c>
      <c r="AB892" s="6">
        <v>171140</v>
      </c>
      <c r="AC892" s="2" t="str">
        <f>VLOOKUP(E892,'[1]Detailed Transfer Report (12)'!$K:$Y,13,FALSE)</f>
        <v>Muhammad Mumtaz Khan</v>
      </c>
      <c r="AD892" s="2" t="str">
        <f>VLOOKUP(E892,'[1]Detailed Transfer Report (12)'!$K:$Y,14,FALSE)</f>
        <v>Sardar Yasir Ilyas</v>
      </c>
      <c r="AE892" s="16">
        <f>VLOOKUP(E892,'[1]Detailed Transfer Report (12)'!$K:$Y,15,FALSE)</f>
        <v>44309</v>
      </c>
    </row>
    <row r="893" spans="1:31" x14ac:dyDescent="0.25">
      <c r="A893" s="10">
        <v>504</v>
      </c>
      <c r="B893" s="4">
        <v>44281</v>
      </c>
      <c r="C893" s="3" t="s">
        <v>114</v>
      </c>
      <c r="D893" s="3" t="s">
        <v>1278</v>
      </c>
      <c r="E893" s="3">
        <v>5495</v>
      </c>
      <c r="F893" s="3">
        <v>8515</v>
      </c>
      <c r="G893" s="3" t="s">
        <v>756</v>
      </c>
      <c r="H893" s="3">
        <v>0</v>
      </c>
      <c r="I893" s="3">
        <v>0</v>
      </c>
      <c r="J893" s="5">
        <v>2640</v>
      </c>
      <c r="K893" s="3">
        <v>0</v>
      </c>
      <c r="L893" s="3">
        <v>0</v>
      </c>
      <c r="M893" s="3">
        <v>0</v>
      </c>
      <c r="N893" s="5">
        <v>2640</v>
      </c>
      <c r="O893" s="3">
        <v>0</v>
      </c>
      <c r="P893" s="3">
        <v>0</v>
      </c>
      <c r="Q893" s="5">
        <v>3140</v>
      </c>
      <c r="R893" s="3">
        <v>0</v>
      </c>
      <c r="S893" s="3">
        <v>0</v>
      </c>
      <c r="T893" s="3">
        <v>0</v>
      </c>
      <c r="U893" s="3">
        <v>0</v>
      </c>
      <c r="V893" s="5">
        <v>2000</v>
      </c>
      <c r="W893" s="3">
        <v>0</v>
      </c>
      <c r="X893" s="3">
        <v>0</v>
      </c>
      <c r="Y893" s="3">
        <v>0</v>
      </c>
      <c r="Z893" s="3">
        <v>300</v>
      </c>
      <c r="AA893" s="5">
        <v>14000</v>
      </c>
      <c r="AB893" s="6">
        <v>195860</v>
      </c>
      <c r="AC893" s="2" t="str">
        <f>VLOOKUP(E893,'[1]Detailed Transfer Report (12)'!$K:$Y,13,FALSE)</f>
        <v>M mumtaz khan</v>
      </c>
      <c r="AD893" s="2" t="str">
        <f>VLOOKUP(E893,'[1]Detailed Transfer Report (12)'!$K:$Y,14,FALSE)</f>
        <v>Sardar Yasir Ilyas</v>
      </c>
      <c r="AE893" s="16">
        <f>VLOOKUP(E893,'[1]Detailed Transfer Report (12)'!$K:$Y,15,FALSE)</f>
        <v>44258</v>
      </c>
    </row>
    <row r="894" spans="1:31" x14ac:dyDescent="0.25">
      <c r="A894" s="7">
        <v>505</v>
      </c>
      <c r="B894" s="4">
        <v>44223</v>
      </c>
      <c r="C894" s="3" t="s">
        <v>901</v>
      </c>
      <c r="D894" s="3" t="s">
        <v>1279</v>
      </c>
      <c r="E894" s="3">
        <v>4754</v>
      </c>
      <c r="F894" s="3">
        <v>5513</v>
      </c>
      <c r="G894" s="3" t="s">
        <v>756</v>
      </c>
      <c r="H894" s="3">
        <v>0</v>
      </c>
      <c r="I894" s="3">
        <v>0</v>
      </c>
      <c r="J894" s="5">
        <v>5610</v>
      </c>
      <c r="K894" s="3">
        <v>0</v>
      </c>
      <c r="L894" s="3">
        <v>0</v>
      </c>
      <c r="M894" s="3">
        <v>0</v>
      </c>
      <c r="N894" s="5">
        <v>5610</v>
      </c>
      <c r="O894" s="3">
        <v>0</v>
      </c>
      <c r="P894" s="3">
        <v>0</v>
      </c>
      <c r="Q894" s="5">
        <v>6610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300</v>
      </c>
      <c r="AA894" s="5">
        <v>14000</v>
      </c>
      <c r="AB894" s="6">
        <v>32130</v>
      </c>
      <c r="AC894" s="2" t="str">
        <f>VLOOKUP(E894,'[1]Detailed Transfer Report (12)'!$K:$Y,13,FALSE)</f>
        <v>Zaheer shehzad</v>
      </c>
      <c r="AD894" s="2" t="str">
        <f>VLOOKUP(E894,'[1]Detailed Transfer Report (12)'!$K:$Y,14,FALSE)</f>
        <v>Sardar Yasir Ilyas</v>
      </c>
      <c r="AE894" s="16">
        <f>VLOOKUP(E894,'[1]Detailed Transfer Report (12)'!$K:$Y,15,FALSE)</f>
        <v>44238</v>
      </c>
    </row>
    <row r="895" spans="1:31" x14ac:dyDescent="0.25">
      <c r="A895" s="9">
        <v>505</v>
      </c>
      <c r="B895" s="4">
        <v>44223</v>
      </c>
      <c r="C895" s="3" t="s">
        <v>1280</v>
      </c>
      <c r="D895" s="3" t="s">
        <v>1281</v>
      </c>
      <c r="E895" s="3">
        <v>4706</v>
      </c>
      <c r="F895" s="3">
        <v>6456</v>
      </c>
      <c r="G895" s="3" t="s">
        <v>756</v>
      </c>
      <c r="H895" s="3">
        <v>0</v>
      </c>
      <c r="I895" s="3">
        <v>0</v>
      </c>
      <c r="J895" s="5">
        <v>167640</v>
      </c>
      <c r="K895" s="3">
        <v>0</v>
      </c>
      <c r="L895" s="3">
        <v>0</v>
      </c>
      <c r="M895" s="3">
        <v>0</v>
      </c>
      <c r="N895" s="5">
        <v>167640</v>
      </c>
      <c r="O895" s="3">
        <v>0</v>
      </c>
      <c r="P895" s="3">
        <v>0</v>
      </c>
      <c r="Q895" s="5">
        <v>168640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300</v>
      </c>
      <c r="AA895" s="5">
        <v>183640</v>
      </c>
      <c r="AB895" s="6">
        <v>719990</v>
      </c>
      <c r="AC895" s="2" t="str">
        <f>VLOOKUP(E895,'[1]Detailed Transfer Report (12)'!$K:$Y,13,FALSE)</f>
        <v>Muslim Khan</v>
      </c>
      <c r="AD895" s="2" t="str">
        <f>VLOOKUP(E895,'[1]Detailed Transfer Report (12)'!$K:$Y,14,FALSE)</f>
        <v>Sardar Yasir Ilyas</v>
      </c>
      <c r="AE895" s="16">
        <f>VLOOKUP(E895,'[1]Detailed Transfer Report (12)'!$K:$Y,15,FALSE)</f>
        <v>44245</v>
      </c>
    </row>
    <row r="896" spans="1:31" x14ac:dyDescent="0.25">
      <c r="A896" s="9">
        <v>505</v>
      </c>
      <c r="B896" s="4">
        <v>44298</v>
      </c>
      <c r="C896" s="3" t="s">
        <v>344</v>
      </c>
      <c r="D896" s="3" t="s">
        <v>1282</v>
      </c>
      <c r="E896" s="3">
        <v>4753</v>
      </c>
      <c r="F896" s="3">
        <v>14355</v>
      </c>
      <c r="G896" s="3" t="s">
        <v>756</v>
      </c>
      <c r="H896" s="3">
        <v>0</v>
      </c>
      <c r="I896" s="3">
        <v>0</v>
      </c>
      <c r="J896" s="5">
        <v>16500</v>
      </c>
      <c r="K896" s="3">
        <v>0</v>
      </c>
      <c r="L896" s="3">
        <v>0</v>
      </c>
      <c r="M896" s="3">
        <v>0</v>
      </c>
      <c r="N896" s="5">
        <v>16500</v>
      </c>
      <c r="O896" s="3">
        <v>0</v>
      </c>
      <c r="P896" s="3">
        <v>0</v>
      </c>
      <c r="Q896" s="5">
        <v>17500</v>
      </c>
      <c r="R896" s="3">
        <v>0</v>
      </c>
      <c r="S896" s="3">
        <v>0</v>
      </c>
      <c r="T896" s="3">
        <v>0</v>
      </c>
      <c r="U896" s="3">
        <v>0</v>
      </c>
      <c r="V896" s="5">
        <v>2000</v>
      </c>
      <c r="W896" s="3">
        <v>0</v>
      </c>
      <c r="X896" s="3">
        <v>0</v>
      </c>
      <c r="Y896" s="3">
        <v>0</v>
      </c>
      <c r="Z896" s="3">
        <v>300</v>
      </c>
      <c r="AA896" s="5">
        <v>16000</v>
      </c>
      <c r="AB896" s="6">
        <v>788790</v>
      </c>
      <c r="AC896" s="2" t="str">
        <f>VLOOKUP(E896,'[1]Detailed Transfer Report (12)'!$K:$Y,13,FALSE)</f>
        <v>Qulzam</v>
      </c>
      <c r="AD896" s="2" t="str">
        <f>VLOOKUP(E896,'[1]Detailed Transfer Report (12)'!$K:$Y,14,FALSE)</f>
        <v>Sardar Yasir Ilyas</v>
      </c>
      <c r="AE896" s="16">
        <f>VLOOKUP(E896,'[1]Detailed Transfer Report (12)'!$K:$Y,15,FALSE)</f>
        <v>44298</v>
      </c>
    </row>
    <row r="897" spans="1:31" x14ac:dyDescent="0.25">
      <c r="A897" s="9">
        <v>505</v>
      </c>
      <c r="B897" s="4">
        <v>44303</v>
      </c>
      <c r="C897" s="3" t="s">
        <v>46</v>
      </c>
      <c r="D897" s="3" t="s">
        <v>1283</v>
      </c>
      <c r="E897" s="3">
        <v>5484</v>
      </c>
      <c r="F897" s="3">
        <v>18345</v>
      </c>
      <c r="G897" s="3" t="s">
        <v>756</v>
      </c>
      <c r="H897" s="3">
        <v>0</v>
      </c>
      <c r="I897" s="3">
        <v>0</v>
      </c>
      <c r="J897" s="5">
        <v>26400</v>
      </c>
      <c r="K897" s="3">
        <v>0</v>
      </c>
      <c r="L897" s="3">
        <v>0</v>
      </c>
      <c r="M897" s="3">
        <v>0</v>
      </c>
      <c r="N897" s="5">
        <v>26400</v>
      </c>
      <c r="O897" s="3">
        <v>0</v>
      </c>
      <c r="P897" s="3">
        <v>0</v>
      </c>
      <c r="Q897" s="5">
        <v>27400</v>
      </c>
      <c r="R897" s="3">
        <v>0</v>
      </c>
      <c r="S897" s="3">
        <v>0</v>
      </c>
      <c r="T897" s="3">
        <v>0</v>
      </c>
      <c r="U897" s="3">
        <v>0</v>
      </c>
      <c r="V897" s="5">
        <v>2000</v>
      </c>
      <c r="W897" s="3">
        <v>0</v>
      </c>
      <c r="X897" s="3">
        <v>0</v>
      </c>
      <c r="Y897" s="3">
        <v>0</v>
      </c>
      <c r="Z897" s="3">
        <v>300</v>
      </c>
      <c r="AA897" s="5">
        <v>16000</v>
      </c>
      <c r="AB897" s="6">
        <v>887290</v>
      </c>
      <c r="AC897" s="2" t="str">
        <f>VLOOKUP(E897,'[1]Detailed Transfer Report (12)'!$K:$Y,13,FALSE)</f>
        <v>Muslim Khan</v>
      </c>
      <c r="AD897" s="2" t="str">
        <f>VLOOKUP(E897,'[1]Detailed Transfer Report (12)'!$K:$Y,14,FALSE)</f>
        <v>Sardar Yasir Ilyas</v>
      </c>
      <c r="AE897" s="16">
        <f>VLOOKUP(E897,'[1]Detailed Transfer Report (12)'!$K:$Y,15,FALSE)</f>
        <v>44349</v>
      </c>
    </row>
    <row r="898" spans="1:31" x14ac:dyDescent="0.25">
      <c r="A898" s="10">
        <v>505</v>
      </c>
      <c r="B898" s="4">
        <v>44361</v>
      </c>
      <c r="C898" s="3" t="s">
        <v>1284</v>
      </c>
      <c r="D898" s="3" t="s">
        <v>1285</v>
      </c>
      <c r="E898" s="3">
        <v>5485</v>
      </c>
      <c r="F898" s="3">
        <v>21044</v>
      </c>
      <c r="G898" s="3" t="s">
        <v>756</v>
      </c>
      <c r="H898" s="3">
        <v>0</v>
      </c>
      <c r="I898" s="3">
        <v>0</v>
      </c>
      <c r="J898" s="5">
        <v>26400</v>
      </c>
      <c r="K898" s="3">
        <v>0</v>
      </c>
      <c r="L898" s="3">
        <v>0</v>
      </c>
      <c r="M898" s="3">
        <v>0</v>
      </c>
      <c r="N898" s="5">
        <v>26400</v>
      </c>
      <c r="O898" s="3">
        <v>0</v>
      </c>
      <c r="P898" s="3">
        <v>0</v>
      </c>
      <c r="Q898" s="5">
        <v>27400</v>
      </c>
      <c r="R898" s="3">
        <v>0</v>
      </c>
      <c r="S898" s="3">
        <v>0</v>
      </c>
      <c r="T898" s="5">
        <v>2000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300</v>
      </c>
      <c r="AA898" s="5">
        <v>16000</v>
      </c>
      <c r="AB898" s="6">
        <v>985790</v>
      </c>
      <c r="AC898" s="2" t="str">
        <f>VLOOKUP(E898,'[1]Detailed Transfer Report (12)'!$K:$Y,13,FALSE)</f>
        <v>Muhammad Afzal</v>
      </c>
      <c r="AD898" s="2" t="str">
        <f>VLOOKUP(E898,'[1]Detailed Transfer Report (12)'!$K:$Y,14,FALSE)</f>
        <v>Sardar Yasir Ilyas</v>
      </c>
      <c r="AE898" s="16">
        <f>VLOOKUP(E898,'[1]Detailed Transfer Report (12)'!$K:$Y,15,FALSE)</f>
        <v>44371</v>
      </c>
    </row>
    <row r="899" spans="1:31" x14ac:dyDescent="0.25">
      <c r="A899" s="3">
        <v>506</v>
      </c>
      <c r="B899" s="4">
        <v>44099</v>
      </c>
      <c r="C899" s="3" t="s">
        <v>1286</v>
      </c>
      <c r="D899" s="3" t="s">
        <v>1287</v>
      </c>
      <c r="E899" s="3">
        <v>503</v>
      </c>
      <c r="F899" s="3">
        <v>15964</v>
      </c>
      <c r="G899" s="3" t="s">
        <v>41</v>
      </c>
      <c r="H899" s="3">
        <v>0</v>
      </c>
      <c r="I899" s="3">
        <v>0</v>
      </c>
      <c r="J899" s="5">
        <v>204000</v>
      </c>
      <c r="K899" s="3">
        <v>0</v>
      </c>
      <c r="L899" s="5">
        <v>1173000</v>
      </c>
      <c r="M899" s="3">
        <v>0</v>
      </c>
      <c r="N899" s="5">
        <v>205000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5">
        <v>213000</v>
      </c>
      <c r="X899" s="3">
        <v>0</v>
      </c>
      <c r="Y899" s="3">
        <v>0</v>
      </c>
      <c r="Z899" s="3">
        <v>300</v>
      </c>
      <c r="AA899" s="5">
        <v>204000</v>
      </c>
      <c r="AB899" s="6">
        <v>1999300</v>
      </c>
      <c r="AD899" s="2" t="str">
        <f>VLOOKUP(E899,'[1]Detailed Transfer Report (12)'!$K:$Y,14,FALSE)</f>
        <v>Sardar Tanveer Ilyas</v>
      </c>
      <c r="AE899" s="16"/>
    </row>
    <row r="900" spans="1:31" x14ac:dyDescent="0.25">
      <c r="A900" s="3">
        <v>507</v>
      </c>
      <c r="B900" s="4">
        <v>44307</v>
      </c>
      <c r="C900" s="3" t="s">
        <v>1288</v>
      </c>
      <c r="D900" s="3" t="s">
        <v>1289</v>
      </c>
      <c r="E900" s="3">
        <v>3852</v>
      </c>
      <c r="F900" s="3">
        <v>17915</v>
      </c>
      <c r="G900" s="3" t="s">
        <v>1179</v>
      </c>
      <c r="H900" s="3">
        <v>0</v>
      </c>
      <c r="I900" s="3">
        <v>0</v>
      </c>
      <c r="J900" s="5">
        <v>238750</v>
      </c>
      <c r="K900" s="3">
        <v>0</v>
      </c>
      <c r="L900" s="3">
        <v>0</v>
      </c>
      <c r="M900" s="3">
        <v>0</v>
      </c>
      <c r="N900" s="5">
        <v>238750</v>
      </c>
      <c r="O900" s="3">
        <v>0</v>
      </c>
      <c r="P900" s="3">
        <v>0</v>
      </c>
      <c r="Q900" s="5">
        <v>239750</v>
      </c>
      <c r="R900" s="5">
        <v>477500</v>
      </c>
      <c r="S900" s="3">
        <v>0</v>
      </c>
      <c r="T900" s="5">
        <v>2000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300</v>
      </c>
      <c r="AA900" s="5">
        <v>254750</v>
      </c>
      <c r="AB900" s="6">
        <v>1451800</v>
      </c>
      <c r="AC900" s="2" t="str">
        <f>VLOOKUP(E900,'[1]Detailed Transfer Report (12)'!$K:$Y,13,FALSE)</f>
        <v>Abdul Rahim</v>
      </c>
      <c r="AD900" s="2" t="str">
        <f>VLOOKUP(E900,'[1]Detailed Transfer Report (12)'!$K:$Y,14,FALSE)</f>
        <v>Sardar Yasir Ilyas</v>
      </c>
      <c r="AE900" s="16">
        <f>VLOOKUP(E900,'[1]Detailed Transfer Report (12)'!$K:$Y,15,FALSE)</f>
        <v>44343</v>
      </c>
    </row>
    <row r="901" spans="1:31" x14ac:dyDescent="0.25">
      <c r="A901" s="3">
        <v>508</v>
      </c>
      <c r="B901" s="4">
        <v>44139</v>
      </c>
      <c r="C901" s="3" t="s">
        <v>1290</v>
      </c>
      <c r="D901" s="3" t="s">
        <v>1291</v>
      </c>
      <c r="E901" s="11">
        <v>348834893490</v>
      </c>
      <c r="F901" s="3">
        <v>20358</v>
      </c>
      <c r="G901" s="3" t="s">
        <v>30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8">
        <v>0</v>
      </c>
      <c r="AC901" s="2" t="str">
        <f>VLOOKUP(E901,'[1]Detailed Transfer Report (12)'!$K:$Y,13,FALSE)</f>
        <v>Hassan Akhtar</v>
      </c>
      <c r="AD901" s="2" t="str">
        <f>VLOOKUP(E901,'[1]Detailed Transfer Report (12)'!$K:$Y,14,FALSE)</f>
        <v>Sardar Tanveer Ilyas</v>
      </c>
      <c r="AE901" s="16">
        <f>VLOOKUP(E901,'[1]Detailed Transfer Report (12)'!$K:$Y,15,FALSE)</f>
        <v>44138</v>
      </c>
    </row>
    <row r="902" spans="1:31" x14ac:dyDescent="0.25">
      <c r="A902" s="3">
        <v>509</v>
      </c>
      <c r="B902" s="4">
        <v>44127</v>
      </c>
      <c r="C902" s="3" t="s">
        <v>323</v>
      </c>
      <c r="D902" s="3" t="s">
        <v>1292</v>
      </c>
      <c r="E902" s="3">
        <v>3036</v>
      </c>
      <c r="F902" s="3">
        <v>21235</v>
      </c>
      <c r="G902" s="3" t="s">
        <v>30</v>
      </c>
      <c r="H902" s="3">
        <v>0</v>
      </c>
      <c r="I902" s="3">
        <v>0</v>
      </c>
      <c r="J902" s="5">
        <v>44000</v>
      </c>
      <c r="K902" s="3">
        <v>0</v>
      </c>
      <c r="L902" s="3">
        <v>0</v>
      </c>
      <c r="M902" s="3">
        <v>0</v>
      </c>
      <c r="N902" s="5">
        <v>45000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5">
        <v>26300</v>
      </c>
      <c r="X902" s="3">
        <v>0</v>
      </c>
      <c r="Y902" s="3">
        <v>0</v>
      </c>
      <c r="Z902" s="3">
        <v>0</v>
      </c>
      <c r="AA902" s="5">
        <v>44000</v>
      </c>
      <c r="AB902" s="6">
        <v>159300</v>
      </c>
      <c r="AC902" s="2" t="str">
        <f>VLOOKUP(E902,'[1]Detailed Transfer Report (12)'!$K:$Y,13,FALSE)</f>
        <v>Qazi Abdul Aziz</v>
      </c>
      <c r="AD902" s="2" t="str">
        <f>VLOOKUP(E902,'[1]Detailed Transfer Report (12)'!$K:$Y,14,FALSE)</f>
        <v>Sardar Tanveer Ilyas</v>
      </c>
      <c r="AE902" s="16">
        <f>VLOOKUP(E902,'[1]Detailed Transfer Report (12)'!$K:$Y,15,FALSE)</f>
        <v>44145</v>
      </c>
    </row>
    <row r="903" spans="1:31" ht="34.5" x14ac:dyDescent="0.25">
      <c r="A903" s="7">
        <v>510</v>
      </c>
      <c r="B903" s="4">
        <v>44313</v>
      </c>
      <c r="C903" s="3" t="s">
        <v>1293</v>
      </c>
      <c r="D903" s="3" t="s">
        <v>1294</v>
      </c>
      <c r="E903" s="3" t="s">
        <v>1295</v>
      </c>
      <c r="F903" s="3"/>
      <c r="G903" s="3" t="s">
        <v>41</v>
      </c>
      <c r="H903" s="3">
        <v>0</v>
      </c>
      <c r="I903" s="3">
        <v>0</v>
      </c>
      <c r="J903" s="5">
        <v>7400</v>
      </c>
      <c r="K903" s="3">
        <v>0</v>
      </c>
      <c r="L903" s="3">
        <v>0</v>
      </c>
      <c r="M903" s="3">
        <v>0</v>
      </c>
      <c r="N903" s="5">
        <v>7400</v>
      </c>
      <c r="O903" s="3">
        <v>0</v>
      </c>
      <c r="P903" s="3">
        <v>0</v>
      </c>
      <c r="Q903" s="5">
        <v>8400</v>
      </c>
      <c r="R903" s="3">
        <v>0</v>
      </c>
      <c r="S903" s="3">
        <v>0</v>
      </c>
      <c r="T903" s="3">
        <v>0</v>
      </c>
      <c r="U903" s="3">
        <v>0</v>
      </c>
      <c r="V903" s="5">
        <v>2000</v>
      </c>
      <c r="W903" s="3">
        <v>0</v>
      </c>
      <c r="X903" s="3">
        <v>0</v>
      </c>
      <c r="Y903" s="3">
        <v>0</v>
      </c>
      <c r="Z903" s="3">
        <v>300</v>
      </c>
      <c r="AA903" s="5">
        <v>35100</v>
      </c>
      <c r="AB903" s="6">
        <v>60600</v>
      </c>
      <c r="AE903" s="16"/>
    </row>
    <row r="904" spans="1:31" x14ac:dyDescent="0.25">
      <c r="A904" s="10">
        <v>510</v>
      </c>
      <c r="B904" s="4">
        <v>44221</v>
      </c>
      <c r="C904" s="3" t="s">
        <v>521</v>
      </c>
      <c r="D904" s="3" t="s">
        <v>1296</v>
      </c>
      <c r="E904" s="3">
        <v>554</v>
      </c>
      <c r="F904" s="3">
        <v>6773</v>
      </c>
      <c r="G904" s="3" t="s">
        <v>41</v>
      </c>
      <c r="H904" s="3">
        <v>0</v>
      </c>
      <c r="I904" s="3">
        <v>0</v>
      </c>
      <c r="J904" s="5">
        <v>15000</v>
      </c>
      <c r="K904" s="3">
        <v>0</v>
      </c>
      <c r="L904" s="3">
        <v>0</v>
      </c>
      <c r="M904" s="3">
        <v>0</v>
      </c>
      <c r="N904" s="5">
        <v>15000</v>
      </c>
      <c r="O904" s="3">
        <v>0</v>
      </c>
      <c r="P904" s="3">
        <v>0</v>
      </c>
      <c r="Q904" s="5">
        <v>16000</v>
      </c>
      <c r="R904" s="5">
        <v>30000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300</v>
      </c>
      <c r="AA904" s="5">
        <v>56500</v>
      </c>
      <c r="AB904" s="6">
        <v>193400</v>
      </c>
      <c r="AC904" s="2" t="str">
        <f>VLOOKUP(E904,'[1]Detailed Transfer Report (12)'!$K:$Y,13,FALSE)</f>
        <v>Saqlain Mehmood</v>
      </c>
      <c r="AD904" s="2" t="str">
        <f>VLOOKUP(E904,'[1]Detailed Transfer Report (12)'!$K:$Y,14,FALSE)</f>
        <v>Sardar Yasir Ilyas</v>
      </c>
      <c r="AE904" s="16">
        <f>VLOOKUP(E904,'[1]Detailed Transfer Report (12)'!$K:$Y,15,FALSE)</f>
        <v>44248</v>
      </c>
    </row>
    <row r="905" spans="1:31" x14ac:dyDescent="0.25">
      <c r="A905" s="3">
        <v>517</v>
      </c>
      <c r="B905" s="4">
        <v>43845</v>
      </c>
      <c r="C905" s="3" t="s">
        <v>46</v>
      </c>
      <c r="D905" s="3" t="s">
        <v>1297</v>
      </c>
      <c r="E905" s="3">
        <v>2488</v>
      </c>
      <c r="F905" s="3"/>
      <c r="G905" s="3" t="s">
        <v>30</v>
      </c>
      <c r="H905" s="3">
        <v>0</v>
      </c>
      <c r="I905" s="3">
        <v>0</v>
      </c>
      <c r="J905" s="5">
        <v>60000</v>
      </c>
      <c r="K905" s="3">
        <v>0</v>
      </c>
      <c r="L905" s="5">
        <v>500000</v>
      </c>
      <c r="M905" s="5">
        <v>120000</v>
      </c>
      <c r="N905" s="5">
        <v>181000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5">
        <v>89000</v>
      </c>
      <c r="W905" s="5">
        <v>100000</v>
      </c>
      <c r="X905" s="3">
        <v>0</v>
      </c>
      <c r="Y905" s="3">
        <v>0</v>
      </c>
      <c r="Z905" s="3">
        <v>0</v>
      </c>
      <c r="AA905" s="5">
        <v>60000</v>
      </c>
      <c r="AB905" s="6">
        <v>1110000</v>
      </c>
      <c r="AD905" s="2" t="str">
        <f>VLOOKUP(E905,'[1]Detailed Transfer Report (12)'!$K:$Y,14,FALSE)</f>
        <v>Sardar Tanveer Ilyas</v>
      </c>
      <c r="AE905" s="16"/>
    </row>
    <row r="906" spans="1:31" x14ac:dyDescent="0.25">
      <c r="A906" s="3">
        <v>518</v>
      </c>
      <c r="B906" s="4">
        <v>44082</v>
      </c>
      <c r="C906" s="3" t="s">
        <v>137</v>
      </c>
      <c r="D906" s="3" t="s">
        <v>1298</v>
      </c>
      <c r="E906" s="3">
        <v>3025</v>
      </c>
      <c r="F906" s="3">
        <v>12321</v>
      </c>
      <c r="G906" s="3" t="s">
        <v>30</v>
      </c>
      <c r="H906" s="3">
        <v>0</v>
      </c>
      <c r="I906" s="3">
        <v>0</v>
      </c>
      <c r="J906" s="5">
        <v>5500</v>
      </c>
      <c r="K906" s="3">
        <v>0</v>
      </c>
      <c r="L906" s="3">
        <v>0</v>
      </c>
      <c r="M906" s="3">
        <v>0</v>
      </c>
      <c r="N906" s="5">
        <v>14300</v>
      </c>
      <c r="O906" s="3">
        <v>0</v>
      </c>
      <c r="P906" s="3">
        <v>0</v>
      </c>
      <c r="Q906" s="5">
        <v>6500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5">
        <v>5500</v>
      </c>
      <c r="AB906" s="6">
        <v>31800</v>
      </c>
      <c r="AC906" s="2" t="str">
        <f>VLOOKUP(E906,'[1]Detailed Transfer Report (12)'!$K:$Y,13,FALSE)</f>
        <v>Hakeem Khan</v>
      </c>
      <c r="AD906" s="2" t="str">
        <f>VLOOKUP(E906,'[1]Detailed Transfer Report (12)'!$K:$Y,14,FALSE)</f>
        <v>Sardar Tanveer Ilyas</v>
      </c>
      <c r="AE906" s="16">
        <f>VLOOKUP(E906,'[1]Detailed Transfer Report (12)'!$K:$Y,15,FALSE)</f>
        <v>44077</v>
      </c>
    </row>
    <row r="907" spans="1:31" x14ac:dyDescent="0.25">
      <c r="A907" s="7">
        <v>519</v>
      </c>
      <c r="B907" s="4">
        <v>44027</v>
      </c>
      <c r="C907" s="3" t="s">
        <v>1299</v>
      </c>
      <c r="D907" s="3" t="s">
        <v>1300</v>
      </c>
      <c r="E907" s="11">
        <v>34853486</v>
      </c>
      <c r="F907" s="3">
        <v>11832</v>
      </c>
      <c r="G907" s="3" t="s">
        <v>30</v>
      </c>
      <c r="H907" s="3">
        <v>0</v>
      </c>
      <c r="I907" s="3">
        <v>0</v>
      </c>
      <c r="J907" s="5">
        <v>1500000</v>
      </c>
      <c r="K907" s="3">
        <v>0</v>
      </c>
      <c r="L907" s="3">
        <v>0</v>
      </c>
      <c r="M907" s="3">
        <v>0</v>
      </c>
      <c r="N907" s="5">
        <v>1500000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5">
        <v>25000</v>
      </c>
      <c r="W907" s="5">
        <v>1501300</v>
      </c>
      <c r="X907" s="3">
        <v>0</v>
      </c>
      <c r="Y907" s="3">
        <v>0</v>
      </c>
      <c r="Z907" s="3">
        <v>0</v>
      </c>
      <c r="AA907" s="5">
        <v>800000</v>
      </c>
      <c r="AB907" s="6">
        <v>5326300</v>
      </c>
      <c r="AC907" s="2" t="str">
        <f>VLOOKUP(E907,'[1]Detailed Transfer Report (12)'!$K:$Y,13,FALSE)</f>
        <v>M nasir jamal</v>
      </c>
      <c r="AD907" s="2" t="str">
        <f>VLOOKUP(E907,'[1]Detailed Transfer Report (12)'!$K:$Y,14,FALSE)</f>
        <v>Sardar Tanveer Ilyas</v>
      </c>
      <c r="AE907" s="16">
        <f>VLOOKUP(E907,'[1]Detailed Transfer Report (12)'!$K:$Y,15,FALSE)</f>
        <v>44071</v>
      </c>
    </row>
    <row r="908" spans="1:31" x14ac:dyDescent="0.25">
      <c r="A908" s="9">
        <v>519</v>
      </c>
      <c r="B908" s="4">
        <v>44082</v>
      </c>
      <c r="C908" s="3" t="s">
        <v>377</v>
      </c>
      <c r="D908" s="3" t="s">
        <v>1301</v>
      </c>
      <c r="E908" s="3">
        <v>2978</v>
      </c>
      <c r="F908" s="3">
        <v>12353</v>
      </c>
      <c r="G908" s="3" t="s">
        <v>30</v>
      </c>
      <c r="H908" s="3">
        <v>0</v>
      </c>
      <c r="I908" s="3">
        <v>0</v>
      </c>
      <c r="J908" s="5">
        <v>4400</v>
      </c>
      <c r="K908" s="3">
        <v>0</v>
      </c>
      <c r="L908" s="3">
        <v>0</v>
      </c>
      <c r="M908" s="3">
        <v>0</v>
      </c>
      <c r="N908" s="5">
        <v>14300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5">
        <v>4900</v>
      </c>
      <c r="AA908" s="5">
        <v>4400</v>
      </c>
      <c r="AB908" s="6">
        <v>5354300</v>
      </c>
      <c r="AC908" s="2" t="str">
        <f>VLOOKUP(E908,'[1]Detailed Transfer Report (12)'!$K:$Y,13,FALSE)</f>
        <v>Mst naveed kausar</v>
      </c>
      <c r="AD908" s="2" t="str">
        <f>VLOOKUP(E908,'[1]Detailed Transfer Report (12)'!$K:$Y,14,FALSE)</f>
        <v>Sardar Tanveer Ilyas</v>
      </c>
      <c r="AE908" s="16">
        <f>VLOOKUP(E908,'[1]Detailed Transfer Report (12)'!$K:$Y,15,FALSE)</f>
        <v>44077</v>
      </c>
    </row>
    <row r="909" spans="1:31" x14ac:dyDescent="0.25">
      <c r="A909" s="10">
        <v>519</v>
      </c>
      <c r="B909" s="4">
        <v>44027</v>
      </c>
      <c r="C909" s="3" t="s">
        <v>1302</v>
      </c>
      <c r="D909" s="3" t="s">
        <v>1303</v>
      </c>
      <c r="E909" s="3" t="s">
        <v>1304</v>
      </c>
      <c r="F909" s="3">
        <v>2812</v>
      </c>
      <c r="G909" s="3" t="s">
        <v>30</v>
      </c>
      <c r="H909" s="3">
        <v>0</v>
      </c>
      <c r="I909" s="3">
        <v>0</v>
      </c>
      <c r="J909" s="5">
        <v>500000</v>
      </c>
      <c r="K909" s="3">
        <v>0</v>
      </c>
      <c r="L909" s="3">
        <v>0</v>
      </c>
      <c r="M909" s="3">
        <v>0</v>
      </c>
      <c r="N909" s="5">
        <v>2000000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5">
        <v>4700</v>
      </c>
      <c r="U909" s="3">
        <v>0</v>
      </c>
      <c r="V909" s="5">
        <v>25000</v>
      </c>
      <c r="W909" s="5">
        <v>50000</v>
      </c>
      <c r="X909" s="3">
        <v>0</v>
      </c>
      <c r="Y909" s="3">
        <v>0</v>
      </c>
      <c r="Z909" s="5">
        <v>4900</v>
      </c>
      <c r="AA909" s="5">
        <v>500000</v>
      </c>
      <c r="AB909" s="6">
        <v>8438900</v>
      </c>
      <c r="AC909" s="2" t="str">
        <f>VLOOKUP(E909,'[1]Detailed Transfer Report (12)'!$K:$Y,13,FALSE)</f>
        <v>Asifa Naseer</v>
      </c>
      <c r="AD909" s="2" t="str">
        <f>VLOOKUP(E909,'[1]Detailed Transfer Report (12)'!$K:$Y,14,FALSE)</f>
        <v>Sardar Tanveer Ilyas</v>
      </c>
      <c r="AE909" s="16">
        <f>VLOOKUP(E909,'[1]Detailed Transfer Report (12)'!$K:$Y,15,FALSE)</f>
        <v>44070</v>
      </c>
    </row>
    <row r="910" spans="1:31" x14ac:dyDescent="0.25">
      <c r="A910" s="7">
        <v>520</v>
      </c>
      <c r="B910" s="4">
        <v>44011</v>
      </c>
      <c r="C910" s="3" t="s">
        <v>46</v>
      </c>
      <c r="D910" s="3" t="s">
        <v>1305</v>
      </c>
      <c r="E910" s="3">
        <v>4344</v>
      </c>
      <c r="F910" s="3"/>
      <c r="G910" s="3" t="s">
        <v>756</v>
      </c>
      <c r="H910" s="3">
        <v>0</v>
      </c>
      <c r="I910" s="3">
        <v>0</v>
      </c>
      <c r="J910" s="5">
        <v>30000</v>
      </c>
      <c r="K910" s="3">
        <v>0</v>
      </c>
      <c r="L910" s="3">
        <v>0</v>
      </c>
      <c r="M910" s="3">
        <v>0</v>
      </c>
      <c r="N910" s="5">
        <v>91000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5">
        <v>22000</v>
      </c>
      <c r="X910" s="3">
        <v>0</v>
      </c>
      <c r="Y910" s="3">
        <v>0</v>
      </c>
      <c r="Z910" s="3">
        <v>0</v>
      </c>
      <c r="AA910" s="5">
        <v>30000</v>
      </c>
      <c r="AB910" s="6">
        <v>173000</v>
      </c>
      <c r="AD910" s="2" t="str">
        <f>VLOOKUP(E910,'[1]Detailed Transfer Report (12)'!$K:$Y,14,FALSE)</f>
        <v>Sardar Tanveer Ilyas</v>
      </c>
      <c r="AE910" s="16"/>
    </row>
    <row r="911" spans="1:31" x14ac:dyDescent="0.25">
      <c r="A911" s="9">
        <v>520</v>
      </c>
      <c r="B911" s="4">
        <v>44088</v>
      </c>
      <c r="C911" s="3" t="s">
        <v>1306</v>
      </c>
      <c r="D911" s="3" t="s">
        <v>1307</v>
      </c>
      <c r="E911" s="3" t="s">
        <v>1308</v>
      </c>
      <c r="F911" s="3">
        <v>23428</v>
      </c>
      <c r="G911" s="3" t="s">
        <v>756</v>
      </c>
      <c r="H911" s="3">
        <v>0</v>
      </c>
      <c r="I911" s="3">
        <v>0</v>
      </c>
      <c r="J911" s="5">
        <v>230000</v>
      </c>
      <c r="K911" s="3">
        <v>0</v>
      </c>
      <c r="L911" s="3">
        <v>0</v>
      </c>
      <c r="M911" s="3">
        <v>0</v>
      </c>
      <c r="N911" s="5">
        <v>230000</v>
      </c>
      <c r="O911" s="3">
        <v>0</v>
      </c>
      <c r="P911" s="3">
        <v>0</v>
      </c>
      <c r="Q911" s="5">
        <v>231000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300</v>
      </c>
      <c r="AA911" s="5">
        <v>239000</v>
      </c>
      <c r="AB911" s="6">
        <v>1103300</v>
      </c>
      <c r="AC911" s="2" t="str">
        <f>VLOOKUP(E911,'[1]Detailed Transfer Report (12)'!$K:$Y,13,FALSE)</f>
        <v>Muhammad Saleem</v>
      </c>
      <c r="AD911" s="2" t="str">
        <f>VLOOKUP(E911,'[1]Detailed Transfer Report (12)'!$K:$Y,14,FALSE)</f>
        <v>Sardar Tanveer Ilyas</v>
      </c>
      <c r="AE911" s="16">
        <f>VLOOKUP(E911,'[1]Detailed Transfer Report (12)'!$K:$Y,15,FALSE)</f>
        <v>44163</v>
      </c>
    </row>
    <row r="912" spans="1:31" x14ac:dyDescent="0.25">
      <c r="A912" s="10">
        <v>520</v>
      </c>
      <c r="B912" s="4">
        <v>44011</v>
      </c>
      <c r="C912" s="3" t="s">
        <v>840</v>
      </c>
      <c r="D912" s="3" t="s">
        <v>1309</v>
      </c>
      <c r="E912" s="3">
        <v>4216</v>
      </c>
      <c r="F912" s="3"/>
      <c r="G912" s="3" t="s">
        <v>756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6">
        <v>1103300</v>
      </c>
      <c r="AC912" s="2" t="str">
        <f>VLOOKUP(E912,'[1]Detailed Transfer Report (12)'!$K:$Y,13,FALSE)</f>
        <v>Ansar Bibi</v>
      </c>
      <c r="AD912" s="2" t="str">
        <f>VLOOKUP(E912,'[1]Detailed Transfer Report (12)'!$K:$Y,14,FALSE)</f>
        <v>Sardar Tanveer Ilyas</v>
      </c>
      <c r="AE912" s="16"/>
    </row>
    <row r="913" spans="1:31" x14ac:dyDescent="0.25">
      <c r="A913" s="3">
        <v>523</v>
      </c>
      <c r="B913" s="4">
        <v>44172</v>
      </c>
      <c r="C913" s="3" t="s">
        <v>44</v>
      </c>
      <c r="D913" s="3" t="s">
        <v>1310</v>
      </c>
      <c r="E913" s="3">
        <v>3101</v>
      </c>
      <c r="F913" s="3">
        <v>26306</v>
      </c>
      <c r="G913" s="3" t="s">
        <v>30</v>
      </c>
      <c r="H913" s="3">
        <v>0</v>
      </c>
      <c r="I913" s="3">
        <v>0</v>
      </c>
      <c r="J913" s="5">
        <v>11000</v>
      </c>
      <c r="K913" s="3">
        <v>0</v>
      </c>
      <c r="L913" s="3">
        <v>0</v>
      </c>
      <c r="M913" s="3">
        <v>0</v>
      </c>
      <c r="N913" s="5">
        <v>11000</v>
      </c>
      <c r="O913" s="3">
        <v>0</v>
      </c>
      <c r="P913" s="3">
        <v>0</v>
      </c>
      <c r="Q913" s="5">
        <v>12000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300</v>
      </c>
      <c r="AA913" s="5">
        <v>16000</v>
      </c>
      <c r="AB913" s="6">
        <v>50300</v>
      </c>
      <c r="AC913" s="2" t="str">
        <f>VLOOKUP(E913,'[1]Detailed Transfer Report (12)'!$K:$Y,13,FALSE)</f>
        <v>Azam Elahi</v>
      </c>
      <c r="AD913" s="2" t="str">
        <f>VLOOKUP(E913,'[1]Detailed Transfer Report (12)'!$K:$Y,14,FALSE)</f>
        <v>Sardar Tanveer Ilyas</v>
      </c>
      <c r="AE913" s="16">
        <f>VLOOKUP(E913,'[1]Detailed Transfer Report (12)'!$K:$Y,15,FALSE)</f>
        <v>44187</v>
      </c>
    </row>
    <row r="914" spans="1:31" x14ac:dyDescent="0.25">
      <c r="A914" s="3">
        <v>524</v>
      </c>
      <c r="B914" s="4">
        <v>44237</v>
      </c>
      <c r="C914" s="3" t="s">
        <v>1311</v>
      </c>
      <c r="D914" s="3" t="s">
        <v>1312</v>
      </c>
      <c r="E914" s="3" t="s">
        <v>1313</v>
      </c>
      <c r="F914" s="3">
        <v>13175</v>
      </c>
      <c r="G914" s="3" t="s">
        <v>30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8">
        <v>0</v>
      </c>
      <c r="AC914" s="2" t="str">
        <f>VLOOKUP(E914,'[1]Detailed Transfer Report (12)'!$K:$Y,13,FALSE)</f>
        <v>Mst shehnaz begum</v>
      </c>
      <c r="AD914" s="2" t="str">
        <f>VLOOKUP(E914,'[1]Detailed Transfer Report (12)'!$K:$Y,14,FALSE)</f>
        <v>Sardar Tanveer Ilyas</v>
      </c>
      <c r="AE914" s="16">
        <f>VLOOKUP(E914,'[1]Detailed Transfer Report (12)'!$K:$Y,15,FALSE)</f>
        <v>44084</v>
      </c>
    </row>
    <row r="915" spans="1:31" x14ac:dyDescent="0.25">
      <c r="A915" s="7">
        <v>525</v>
      </c>
      <c r="B915" s="4">
        <v>44572</v>
      </c>
      <c r="C915" s="3" t="s">
        <v>1314</v>
      </c>
      <c r="D915" s="3" t="s">
        <v>1315</v>
      </c>
      <c r="E915" s="3">
        <v>2546</v>
      </c>
      <c r="F915" s="3"/>
      <c r="G915" s="3" t="s">
        <v>30</v>
      </c>
      <c r="H915" s="3">
        <v>0</v>
      </c>
      <c r="I915" s="3">
        <v>0</v>
      </c>
      <c r="J915" s="5">
        <v>5000</v>
      </c>
      <c r="K915" s="3">
        <v>0</v>
      </c>
      <c r="L915" s="3">
        <v>0</v>
      </c>
      <c r="M915" s="3">
        <v>0</v>
      </c>
      <c r="N915" s="5">
        <v>5000</v>
      </c>
      <c r="O915" s="3">
        <v>0</v>
      </c>
      <c r="P915" s="3">
        <v>0</v>
      </c>
      <c r="Q915" s="5">
        <v>15000</v>
      </c>
      <c r="R915" s="5">
        <v>10000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5">
        <v>10000</v>
      </c>
      <c r="AB915" s="6">
        <v>45000</v>
      </c>
      <c r="AD915" s="2" t="str">
        <f>VLOOKUP(E915,'[1]Detailed Transfer Report (12)'!$K:$Y,14,FALSE)</f>
        <v>Sardar Tanveer Ilyas</v>
      </c>
      <c r="AE915" s="16"/>
    </row>
    <row r="916" spans="1:31" x14ac:dyDescent="0.25">
      <c r="A916" s="10">
        <v>525</v>
      </c>
      <c r="B916" s="4">
        <v>44572</v>
      </c>
      <c r="C916" s="3" t="s">
        <v>1067</v>
      </c>
      <c r="D916" s="3" t="s">
        <v>1316</v>
      </c>
      <c r="E916" s="3">
        <v>2450</v>
      </c>
      <c r="F916" s="3"/>
      <c r="G916" s="3" t="s">
        <v>30</v>
      </c>
      <c r="H916" s="3">
        <v>0</v>
      </c>
      <c r="I916" s="3">
        <v>0</v>
      </c>
      <c r="J916" s="5">
        <v>9240</v>
      </c>
      <c r="K916" s="3">
        <v>0</v>
      </c>
      <c r="L916" s="3">
        <v>0</v>
      </c>
      <c r="M916" s="3">
        <v>0</v>
      </c>
      <c r="N916" s="5">
        <v>9240</v>
      </c>
      <c r="O916" s="3">
        <v>0</v>
      </c>
      <c r="P916" s="3">
        <v>0</v>
      </c>
      <c r="Q916" s="5">
        <v>27720</v>
      </c>
      <c r="R916" s="5">
        <v>18480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5">
        <v>10000</v>
      </c>
      <c r="AB916" s="6">
        <v>119680</v>
      </c>
      <c r="AD916" s="2" t="str">
        <f>VLOOKUP(E916,'[1]Detailed Transfer Report (12)'!$K:$Y,14,FALSE)</f>
        <v>Sardar Tanveer Ilyas</v>
      </c>
      <c r="AE916" s="16"/>
    </row>
    <row r="917" spans="1:31" x14ac:dyDescent="0.25">
      <c r="A917" s="7">
        <v>526</v>
      </c>
      <c r="B917" s="4">
        <v>44088</v>
      </c>
      <c r="C917" s="3" t="s">
        <v>153</v>
      </c>
      <c r="D917" s="3" t="s">
        <v>1317</v>
      </c>
      <c r="E917" s="3">
        <v>3527</v>
      </c>
      <c r="F917" s="3">
        <v>12995</v>
      </c>
      <c r="G917" s="3" t="s">
        <v>30</v>
      </c>
      <c r="H917" s="3">
        <v>0</v>
      </c>
      <c r="I917" s="3">
        <v>0</v>
      </c>
      <c r="J917" s="5">
        <v>2750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300</v>
      </c>
      <c r="W917" s="5">
        <v>14000</v>
      </c>
      <c r="X917" s="3">
        <v>0</v>
      </c>
      <c r="Y917" s="3">
        <v>0</v>
      </c>
      <c r="Z917" s="5">
        <v>3250</v>
      </c>
      <c r="AA917" s="5">
        <v>2750</v>
      </c>
      <c r="AB917" s="6">
        <v>23050</v>
      </c>
      <c r="AC917" s="2" t="str">
        <f>VLOOKUP(E917,'[1]Detailed Transfer Report (12)'!$K:$Y,13,FALSE)</f>
        <v>Rahim bakhsh</v>
      </c>
      <c r="AD917" s="2" t="str">
        <f>VLOOKUP(E917,'[1]Detailed Transfer Report (12)'!$K:$Y,14,FALSE)</f>
        <v>Sardar Tanveer Ilyas</v>
      </c>
      <c r="AE917" s="16">
        <f>VLOOKUP(E917,'[1]Detailed Transfer Report (12)'!$K:$Y,15,FALSE)</f>
        <v>44083</v>
      </c>
    </row>
    <row r="918" spans="1:31" x14ac:dyDescent="0.25">
      <c r="A918" s="9">
        <v>526</v>
      </c>
      <c r="B918" s="4">
        <v>44088</v>
      </c>
      <c r="C918" s="3" t="s">
        <v>855</v>
      </c>
      <c r="D918" s="3" t="s">
        <v>1318</v>
      </c>
      <c r="E918" s="3">
        <v>3023</v>
      </c>
      <c r="F918" s="3">
        <v>13010</v>
      </c>
      <c r="G918" s="3" t="s">
        <v>30</v>
      </c>
      <c r="H918" s="3">
        <v>0</v>
      </c>
      <c r="I918" s="3">
        <v>0</v>
      </c>
      <c r="J918" s="5">
        <v>1840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300</v>
      </c>
      <c r="W918" s="5">
        <v>14000</v>
      </c>
      <c r="X918" s="3">
        <v>0</v>
      </c>
      <c r="Y918" s="3">
        <v>0</v>
      </c>
      <c r="Z918" s="5">
        <v>2340</v>
      </c>
      <c r="AA918" s="5">
        <v>1840</v>
      </c>
      <c r="AB918" s="6">
        <v>43370</v>
      </c>
      <c r="AC918" s="2" t="str">
        <f>VLOOKUP(E918,'[1]Detailed Transfer Report (12)'!$K:$Y,13,FALSE)</f>
        <v>Rahim bakhsh</v>
      </c>
      <c r="AD918" s="2" t="str">
        <f>VLOOKUP(E918,'[1]Detailed Transfer Report (12)'!$K:$Y,14,FALSE)</f>
        <v>Sardar Tanveer Ilyas</v>
      </c>
      <c r="AE918" s="16">
        <f>VLOOKUP(E918,'[1]Detailed Transfer Report (12)'!$K:$Y,15,FALSE)</f>
        <v>44083</v>
      </c>
    </row>
    <row r="919" spans="1:31" x14ac:dyDescent="0.25">
      <c r="A919" s="10">
        <v>526</v>
      </c>
      <c r="B919" s="4">
        <v>44088</v>
      </c>
      <c r="C919" s="3" t="s">
        <v>153</v>
      </c>
      <c r="D919" s="3" t="s">
        <v>1319</v>
      </c>
      <c r="E919" s="3">
        <v>4598</v>
      </c>
      <c r="F919" s="3">
        <v>12996</v>
      </c>
      <c r="G919" s="3" t="s">
        <v>30</v>
      </c>
      <c r="H919" s="3">
        <v>0</v>
      </c>
      <c r="I919" s="3">
        <v>0</v>
      </c>
      <c r="J919" s="5">
        <v>2750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300</v>
      </c>
      <c r="W919" s="5">
        <v>14000</v>
      </c>
      <c r="X919" s="3">
        <v>0</v>
      </c>
      <c r="Y919" s="3">
        <v>0</v>
      </c>
      <c r="Z919" s="5">
        <v>3250</v>
      </c>
      <c r="AA919" s="5">
        <v>2750</v>
      </c>
      <c r="AB919" s="6">
        <v>66420</v>
      </c>
      <c r="AC919" s="2" t="str">
        <f>VLOOKUP(E919,'[1]Detailed Transfer Report (12)'!$K:$Y,13,FALSE)</f>
        <v>tahir mehmood</v>
      </c>
      <c r="AD919" s="2" t="str">
        <f>VLOOKUP(E919,'[1]Detailed Transfer Report (12)'!$K:$Y,14,FALSE)</f>
        <v>Sardar Tanveer Ilyas</v>
      </c>
      <c r="AE919" s="16">
        <f>VLOOKUP(E919,'[1]Detailed Transfer Report (12)'!$K:$Y,15,FALSE)</f>
        <v>44083</v>
      </c>
    </row>
    <row r="920" spans="1:31" x14ac:dyDescent="0.25">
      <c r="A920" s="3">
        <v>527</v>
      </c>
      <c r="B920" s="4">
        <v>44092</v>
      </c>
      <c r="C920" s="3" t="s">
        <v>700</v>
      </c>
      <c r="D920" s="3" t="s">
        <v>1320</v>
      </c>
      <c r="E920" s="3">
        <v>2399</v>
      </c>
      <c r="F920" s="3"/>
      <c r="G920" s="3" t="s">
        <v>30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8">
        <v>0</v>
      </c>
      <c r="AD920" s="2" t="str">
        <f>VLOOKUP(E920,'[1]Detailed Transfer Report (12)'!$K:$Y,14,FALSE)</f>
        <v>Sardar Tanveer Ilyas</v>
      </c>
      <c r="AE920" s="16"/>
    </row>
    <row r="921" spans="1:31" x14ac:dyDescent="0.25">
      <c r="A921" s="7">
        <v>528</v>
      </c>
      <c r="B921" s="4">
        <v>44509</v>
      </c>
      <c r="C921" s="3" t="s">
        <v>1321</v>
      </c>
      <c r="D921" s="3" t="s">
        <v>1322</v>
      </c>
      <c r="E921" s="3">
        <v>568</v>
      </c>
      <c r="F921" s="3">
        <v>5595</v>
      </c>
      <c r="G921" s="3" t="s">
        <v>41</v>
      </c>
      <c r="H921" s="5">
        <v>18000</v>
      </c>
      <c r="I921" s="3">
        <v>0</v>
      </c>
      <c r="J921" s="5">
        <v>9000</v>
      </c>
      <c r="K921" s="3">
        <v>0</v>
      </c>
      <c r="L921" s="3">
        <v>0</v>
      </c>
      <c r="M921" s="3">
        <v>0</v>
      </c>
      <c r="N921" s="5">
        <v>9000</v>
      </c>
      <c r="O921" s="3">
        <v>0</v>
      </c>
      <c r="P921" s="3">
        <v>0</v>
      </c>
      <c r="Q921" s="5">
        <v>10000</v>
      </c>
      <c r="R921" s="3">
        <v>0</v>
      </c>
      <c r="S921" s="3">
        <v>0</v>
      </c>
      <c r="T921" s="3">
        <v>300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5">
        <v>2000</v>
      </c>
      <c r="AA921" s="5">
        <v>16000</v>
      </c>
      <c r="AB921" s="6">
        <v>64300</v>
      </c>
      <c r="AD921" s="2" t="str">
        <f>VLOOKUP(E921,'[1]Detailed Transfer Report (12)'!$K:$Y,14,FALSE)</f>
        <v>Sardar Tanveer Ilyas</v>
      </c>
      <c r="AE921" s="16"/>
    </row>
    <row r="922" spans="1:31" x14ac:dyDescent="0.25">
      <c r="A922" s="9">
        <v>528</v>
      </c>
      <c r="B922" s="4">
        <v>44172</v>
      </c>
      <c r="C922" s="3" t="s">
        <v>44</v>
      </c>
      <c r="D922" s="3" t="s">
        <v>1323</v>
      </c>
      <c r="E922" s="3">
        <v>615</v>
      </c>
      <c r="F922" s="3">
        <v>2010</v>
      </c>
      <c r="G922" s="3" t="s">
        <v>41</v>
      </c>
      <c r="H922" s="3">
        <v>0</v>
      </c>
      <c r="I922" s="3">
        <v>0</v>
      </c>
      <c r="J922" s="5">
        <v>20000</v>
      </c>
      <c r="K922" s="3">
        <v>0</v>
      </c>
      <c r="L922" s="3">
        <v>0</v>
      </c>
      <c r="M922" s="3">
        <v>0</v>
      </c>
      <c r="N922" s="5">
        <v>20000</v>
      </c>
      <c r="O922" s="3">
        <v>0</v>
      </c>
      <c r="P922" s="3">
        <v>0</v>
      </c>
      <c r="Q922" s="5">
        <v>21000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5">
        <v>30000</v>
      </c>
      <c r="X922" s="3">
        <v>0</v>
      </c>
      <c r="Y922" s="3">
        <v>0</v>
      </c>
      <c r="Z922" s="3">
        <v>300</v>
      </c>
      <c r="AA922" s="5">
        <v>16000</v>
      </c>
      <c r="AB922" s="6">
        <v>171600</v>
      </c>
      <c r="AC922" s="2" t="str">
        <f>VLOOKUP(E922,'[1]Detailed Transfer Report (12)'!$K:$Y,13,FALSE)</f>
        <v>Abdul Qayyum Khan</v>
      </c>
      <c r="AD922" s="2" t="str">
        <f>VLOOKUP(E922,'[1]Detailed Transfer Report (12)'!$K:$Y,14,FALSE)</f>
        <v>Sardar Tanveer Ilyas</v>
      </c>
      <c r="AE922" s="16">
        <f>VLOOKUP(E922,'[1]Detailed Transfer Report (12)'!$K:$Y,15,FALSE)</f>
        <v>44214</v>
      </c>
    </row>
    <row r="923" spans="1:31" ht="34.5" x14ac:dyDescent="0.25">
      <c r="A923" s="10">
        <v>528</v>
      </c>
      <c r="B923" s="4">
        <v>44530</v>
      </c>
      <c r="C923" s="3" t="s">
        <v>672</v>
      </c>
      <c r="D923" s="3" t="s">
        <v>822</v>
      </c>
      <c r="E923" s="3" t="s">
        <v>1295</v>
      </c>
      <c r="F923" s="3"/>
      <c r="G923" s="3" t="s">
        <v>41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6">
        <v>171600</v>
      </c>
      <c r="AE923" s="16"/>
    </row>
    <row r="924" spans="1:31" x14ac:dyDescent="0.25">
      <c r="A924" s="7">
        <v>529</v>
      </c>
      <c r="B924" s="4">
        <v>44124</v>
      </c>
      <c r="C924" s="3" t="s">
        <v>1324</v>
      </c>
      <c r="D924" s="3" t="s">
        <v>1325</v>
      </c>
      <c r="E924" s="3">
        <v>466</v>
      </c>
      <c r="F924" s="3">
        <v>20713</v>
      </c>
      <c r="G924" s="3" t="s">
        <v>41</v>
      </c>
      <c r="H924" s="3">
        <v>0</v>
      </c>
      <c r="I924" s="3">
        <v>0</v>
      </c>
      <c r="J924" s="5">
        <v>31500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5">
        <v>14300</v>
      </c>
      <c r="W924" s="5">
        <v>48000</v>
      </c>
      <c r="X924" s="3">
        <v>0</v>
      </c>
      <c r="Y924" s="3">
        <v>0</v>
      </c>
      <c r="Z924" s="5">
        <v>32500</v>
      </c>
      <c r="AA924" s="5">
        <v>31500</v>
      </c>
      <c r="AB924" s="6">
        <v>157800</v>
      </c>
      <c r="AC924" s="2" t="str">
        <f>VLOOKUP(E924,'[1]Detailed Transfer Report (12)'!$K:$Y,13,FALSE)</f>
        <v>Muhammad Zain Noor</v>
      </c>
      <c r="AD924" s="2" t="str">
        <f>VLOOKUP(E924,'[1]Detailed Transfer Report (12)'!$K:$Y,14,FALSE)</f>
        <v>Sardar Tanveer Ilyas</v>
      </c>
      <c r="AE924" s="16">
        <f>VLOOKUP(E924,'[1]Detailed Transfer Report (12)'!$K:$Y,15,FALSE)</f>
        <v>44140</v>
      </c>
    </row>
    <row r="925" spans="1:31" x14ac:dyDescent="0.25">
      <c r="A925" s="9">
        <v>529</v>
      </c>
      <c r="B925" s="4">
        <v>44124</v>
      </c>
      <c r="C925" s="3" t="s">
        <v>1326</v>
      </c>
      <c r="D925" s="3" t="s">
        <v>1327</v>
      </c>
      <c r="E925" s="3">
        <v>467</v>
      </c>
      <c r="F925" s="3">
        <v>20714</v>
      </c>
      <c r="G925" s="3" t="s">
        <v>41</v>
      </c>
      <c r="H925" s="3">
        <v>0</v>
      </c>
      <c r="I925" s="3">
        <v>0</v>
      </c>
      <c r="J925" s="5">
        <v>33500</v>
      </c>
      <c r="K925" s="3">
        <v>0</v>
      </c>
      <c r="L925" s="3">
        <v>0</v>
      </c>
      <c r="M925" s="3">
        <v>0</v>
      </c>
      <c r="N925" s="5">
        <v>33500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5">
        <v>14300</v>
      </c>
      <c r="W925" s="5">
        <v>52000</v>
      </c>
      <c r="X925" s="3">
        <v>0</v>
      </c>
      <c r="Y925" s="3">
        <v>0</v>
      </c>
      <c r="Z925" s="5">
        <v>34500</v>
      </c>
      <c r="AA925" s="3">
        <v>0</v>
      </c>
      <c r="AB925" s="6">
        <v>325600</v>
      </c>
      <c r="AC925" s="2" t="str">
        <f>VLOOKUP(E925,'[1]Detailed Transfer Report (12)'!$K:$Y,13,FALSE)</f>
        <v>Sabir khan</v>
      </c>
      <c r="AD925" s="2" t="str">
        <f>VLOOKUP(E925,'[1]Detailed Transfer Report (12)'!$K:$Y,14,FALSE)</f>
        <v>Sardar Tanveer Ilyas</v>
      </c>
      <c r="AE925" s="16">
        <f>VLOOKUP(E925,'[1]Detailed Transfer Report (12)'!$K:$Y,15,FALSE)</f>
        <v>44140</v>
      </c>
    </row>
    <row r="926" spans="1:31" x14ac:dyDescent="0.25">
      <c r="A926" s="9">
        <v>529</v>
      </c>
      <c r="B926" s="4">
        <v>44124</v>
      </c>
      <c r="C926" s="3" t="s">
        <v>1326</v>
      </c>
      <c r="D926" s="3" t="s">
        <v>1328</v>
      </c>
      <c r="E926" s="3">
        <v>463</v>
      </c>
      <c r="F926" s="3">
        <v>20715</v>
      </c>
      <c r="G926" s="3" t="s">
        <v>41</v>
      </c>
      <c r="H926" s="3">
        <v>0</v>
      </c>
      <c r="I926" s="3">
        <v>0</v>
      </c>
      <c r="J926" s="5">
        <v>33500</v>
      </c>
      <c r="K926" s="3">
        <v>0</v>
      </c>
      <c r="L926" s="3">
        <v>0</v>
      </c>
      <c r="M926" s="3">
        <v>0</v>
      </c>
      <c r="N926" s="5">
        <v>33500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5">
        <v>14300</v>
      </c>
      <c r="W926" s="5">
        <v>52000</v>
      </c>
      <c r="X926" s="3">
        <v>0</v>
      </c>
      <c r="Y926" s="3">
        <v>0</v>
      </c>
      <c r="Z926" s="5">
        <v>34500</v>
      </c>
      <c r="AA926" s="3">
        <v>0</v>
      </c>
      <c r="AB926" s="6">
        <v>493400</v>
      </c>
      <c r="AC926" s="2" t="str">
        <f>VLOOKUP(E926,'[1]Detailed Transfer Report (12)'!$K:$Y,13,FALSE)</f>
        <v>Sher afzal</v>
      </c>
      <c r="AD926" s="2" t="str">
        <f>VLOOKUP(E926,'[1]Detailed Transfer Report (12)'!$K:$Y,14,FALSE)</f>
        <v>Sardar Tanveer Ilyas</v>
      </c>
      <c r="AE926" s="16">
        <f>VLOOKUP(E926,'[1]Detailed Transfer Report (12)'!$K:$Y,15,FALSE)</f>
        <v>44140</v>
      </c>
    </row>
    <row r="927" spans="1:31" x14ac:dyDescent="0.25">
      <c r="A927" s="9">
        <v>529</v>
      </c>
      <c r="B927" s="4">
        <v>44124</v>
      </c>
      <c r="C927" s="3" t="s">
        <v>194</v>
      </c>
      <c r="D927" s="3" t="s">
        <v>1329</v>
      </c>
      <c r="E927" s="3">
        <v>456</v>
      </c>
      <c r="F927" s="3">
        <v>19418</v>
      </c>
      <c r="G927" s="3" t="s">
        <v>41</v>
      </c>
      <c r="H927" s="3">
        <v>0</v>
      </c>
      <c r="I927" s="3">
        <v>0</v>
      </c>
      <c r="J927" s="5">
        <v>48000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5">
        <v>14300</v>
      </c>
      <c r="W927" s="5">
        <v>74000</v>
      </c>
      <c r="X927" s="3">
        <v>0</v>
      </c>
      <c r="Y927" s="3">
        <v>0</v>
      </c>
      <c r="Z927" s="5">
        <v>49000</v>
      </c>
      <c r="AA927" s="5">
        <v>48000</v>
      </c>
      <c r="AB927" s="6">
        <v>726700</v>
      </c>
      <c r="AC927" s="2" t="str">
        <f>VLOOKUP(E927,'[1]Detailed Transfer Report (12)'!$K:$Y,13,FALSE)</f>
        <v>M yasin</v>
      </c>
      <c r="AD927" s="2" t="str">
        <f>VLOOKUP(E927,'[1]Detailed Transfer Report (12)'!$K:$Y,14,FALSE)</f>
        <v>Sardar Tanveer Ilyas</v>
      </c>
      <c r="AE927" s="16">
        <f>VLOOKUP(E927,'[1]Detailed Transfer Report (12)'!$K:$Y,15,FALSE)</f>
        <v>44130</v>
      </c>
    </row>
    <row r="928" spans="1:31" ht="34.5" x14ac:dyDescent="0.25">
      <c r="A928" s="9">
        <v>529</v>
      </c>
      <c r="B928" s="4">
        <v>44357</v>
      </c>
      <c r="C928" s="3" t="s">
        <v>1330</v>
      </c>
      <c r="D928" s="3" t="s">
        <v>176</v>
      </c>
      <c r="E928" s="3" t="s">
        <v>1295</v>
      </c>
      <c r="F928" s="3"/>
      <c r="G928" s="3" t="s">
        <v>41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6">
        <v>726700</v>
      </c>
      <c r="AE928" s="16"/>
    </row>
    <row r="929" spans="1:31" x14ac:dyDescent="0.25">
      <c r="A929" s="9">
        <v>529</v>
      </c>
      <c r="B929" s="4">
        <v>44412</v>
      </c>
      <c r="C929" s="3" t="s">
        <v>1331</v>
      </c>
      <c r="D929" s="3" t="s">
        <v>1332</v>
      </c>
      <c r="E929" s="3">
        <v>500</v>
      </c>
      <c r="F929" s="3">
        <v>20744</v>
      </c>
      <c r="G929" s="3" t="s">
        <v>41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6">
        <v>726700</v>
      </c>
      <c r="AC929" s="2" t="str">
        <f>VLOOKUP(E929,'[1]Detailed Transfer Report (12)'!$K:$Y,13,FALSE)</f>
        <v>Rameez raja</v>
      </c>
      <c r="AD929" s="2" t="str">
        <f>VLOOKUP(E929,'[1]Detailed Transfer Report (12)'!$K:$Y,14,FALSE)</f>
        <v>Sardar Yasir Ilyas</v>
      </c>
      <c r="AE929" s="16">
        <f>VLOOKUP(E929,'[1]Detailed Transfer Report (12)'!$K:$Y,15,FALSE)</f>
        <v>44369</v>
      </c>
    </row>
    <row r="930" spans="1:31" ht="34.5" x14ac:dyDescent="0.25">
      <c r="A930" s="9">
        <v>529</v>
      </c>
      <c r="B930" s="4">
        <v>44412</v>
      </c>
      <c r="C930" s="3" t="s">
        <v>153</v>
      </c>
      <c r="D930" s="3" t="s">
        <v>1332</v>
      </c>
      <c r="E930" s="3" t="s">
        <v>1295</v>
      </c>
      <c r="F930" s="3"/>
      <c r="G930" s="3" t="s">
        <v>41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6">
        <v>726700</v>
      </c>
      <c r="AE930" s="16"/>
    </row>
    <row r="931" spans="1:31" x14ac:dyDescent="0.25">
      <c r="A931" s="9">
        <v>529</v>
      </c>
      <c r="B931" s="4">
        <v>44582</v>
      </c>
      <c r="C931" s="3" t="s">
        <v>621</v>
      </c>
      <c r="D931" s="3" t="s">
        <v>1333</v>
      </c>
      <c r="E931" s="3">
        <v>545</v>
      </c>
      <c r="F931" s="3">
        <v>8339</v>
      </c>
      <c r="G931" s="3" t="s">
        <v>41</v>
      </c>
      <c r="H931" s="3">
        <v>0</v>
      </c>
      <c r="I931" s="3">
        <v>0</v>
      </c>
      <c r="J931" s="5">
        <v>10000</v>
      </c>
      <c r="K931" s="3">
        <v>0</v>
      </c>
      <c r="L931" s="3">
        <v>0</v>
      </c>
      <c r="M931" s="3">
        <v>0</v>
      </c>
      <c r="N931" s="5">
        <v>10000</v>
      </c>
      <c r="O931" s="3">
        <v>0</v>
      </c>
      <c r="P931" s="3">
        <v>0</v>
      </c>
      <c r="Q931" s="5">
        <v>31000</v>
      </c>
      <c r="R931" s="3">
        <v>0</v>
      </c>
      <c r="S931" s="3">
        <v>0</v>
      </c>
      <c r="T931" s="3">
        <v>300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5">
        <v>2000</v>
      </c>
      <c r="AA931" s="5">
        <v>31000</v>
      </c>
      <c r="AB931" s="6">
        <v>811000</v>
      </c>
      <c r="AC931" s="2" t="str">
        <f>VLOOKUP(E931,'[1]Detailed Transfer Report (12)'!$K:$Y,13,FALSE)</f>
        <v>M zarar ul gulzar</v>
      </c>
      <c r="AD931" s="2" t="str">
        <f>VLOOKUP(E931,'[1]Detailed Transfer Report (12)'!$K:$Y,14,FALSE)</f>
        <v>Sardar Yasir Ilyas</v>
      </c>
      <c r="AE931" s="16">
        <f>VLOOKUP(E931,'[1]Detailed Transfer Report (12)'!$K:$Y,15,FALSE)</f>
        <v>44557</v>
      </c>
    </row>
    <row r="932" spans="1:31" x14ac:dyDescent="0.25">
      <c r="A932" s="9">
        <v>529</v>
      </c>
      <c r="B932" s="4">
        <v>44265</v>
      </c>
      <c r="C932" s="3" t="s">
        <v>1334</v>
      </c>
      <c r="D932" s="3" t="s">
        <v>1335</v>
      </c>
      <c r="E932" s="3">
        <v>473</v>
      </c>
      <c r="F932" s="3">
        <v>10933</v>
      </c>
      <c r="G932" s="3" t="s">
        <v>41</v>
      </c>
      <c r="H932" s="3">
        <v>0</v>
      </c>
      <c r="I932" s="3">
        <v>0</v>
      </c>
      <c r="J932" s="5">
        <v>93700</v>
      </c>
      <c r="K932" s="3">
        <v>0</v>
      </c>
      <c r="L932" s="3">
        <v>0</v>
      </c>
      <c r="M932" s="3">
        <v>0</v>
      </c>
      <c r="N932" s="5">
        <v>93700</v>
      </c>
      <c r="O932" s="3">
        <v>0</v>
      </c>
      <c r="P932" s="3">
        <v>0</v>
      </c>
      <c r="Q932" s="5">
        <v>94700</v>
      </c>
      <c r="R932" s="3">
        <v>0</v>
      </c>
      <c r="S932" s="3">
        <v>0</v>
      </c>
      <c r="T932" s="3">
        <v>0</v>
      </c>
      <c r="U932" s="3">
        <v>0</v>
      </c>
      <c r="V932" s="5">
        <v>2000</v>
      </c>
      <c r="W932" s="3">
        <v>0</v>
      </c>
      <c r="X932" s="3">
        <v>0</v>
      </c>
      <c r="Y932" s="3">
        <v>0</v>
      </c>
      <c r="Z932" s="3">
        <v>300</v>
      </c>
      <c r="AA932" s="5">
        <v>146150</v>
      </c>
      <c r="AB932" s="6">
        <v>1241550</v>
      </c>
      <c r="AC932" s="2" t="str">
        <f>VLOOKUP(E932,'[1]Detailed Transfer Report (12)'!$K:$Y,13,FALSE)</f>
        <v>Muhammad Gulzar Khan</v>
      </c>
      <c r="AD932" s="2" t="str">
        <f>VLOOKUP(E932,'[1]Detailed Transfer Report (12)'!$K:$Y,14,FALSE)</f>
        <v>Sardar Yasir Ilyas</v>
      </c>
      <c r="AE932" s="16">
        <f>VLOOKUP(E932,'[1]Detailed Transfer Report (12)'!$K:$Y,15,FALSE)</f>
        <v>44274</v>
      </c>
    </row>
    <row r="933" spans="1:31" x14ac:dyDescent="0.25">
      <c r="A933" s="10">
        <v>529</v>
      </c>
      <c r="B933" s="4">
        <v>44376</v>
      </c>
      <c r="C933" s="3" t="s">
        <v>1336</v>
      </c>
      <c r="D933" s="3" t="s">
        <v>1332</v>
      </c>
      <c r="E933" s="3">
        <v>544</v>
      </c>
      <c r="F933" s="3">
        <v>24166</v>
      </c>
      <c r="G933" s="3" t="s">
        <v>41</v>
      </c>
      <c r="H933" s="3">
        <v>0</v>
      </c>
      <c r="I933" s="3">
        <v>0</v>
      </c>
      <c r="J933" s="5">
        <v>43000</v>
      </c>
      <c r="K933" s="3">
        <v>0</v>
      </c>
      <c r="L933" s="3">
        <v>0</v>
      </c>
      <c r="M933" s="3">
        <v>0</v>
      </c>
      <c r="N933" s="5">
        <v>43000</v>
      </c>
      <c r="O933" s="3">
        <v>0</v>
      </c>
      <c r="P933" s="3">
        <v>0</v>
      </c>
      <c r="Q933" s="5">
        <v>44000</v>
      </c>
      <c r="R933" s="5">
        <v>80000</v>
      </c>
      <c r="S933" s="3">
        <v>0</v>
      </c>
      <c r="T933" s="3">
        <v>0</v>
      </c>
      <c r="U933" s="3">
        <v>0</v>
      </c>
      <c r="V933" s="5">
        <v>2000</v>
      </c>
      <c r="W933" s="3">
        <v>0</v>
      </c>
      <c r="X933" s="3">
        <v>0</v>
      </c>
      <c r="Y933" s="3">
        <v>0</v>
      </c>
      <c r="Z933" s="3">
        <v>300</v>
      </c>
      <c r="AA933" s="5">
        <v>100500</v>
      </c>
      <c r="AB933" s="6">
        <v>1554350</v>
      </c>
      <c r="AC933" s="2" t="str">
        <f>VLOOKUP(E933,'[1]Detailed Transfer Report (12)'!$K:$Y,13,FALSE)</f>
        <v>M saeed</v>
      </c>
      <c r="AD933" s="2" t="str">
        <f>VLOOKUP(E933,'[1]Detailed Transfer Report (12)'!$K:$Y,14,FALSE)</f>
        <v>Sardar Yasir Ilyas</v>
      </c>
      <c r="AE933" s="16">
        <f>VLOOKUP(E933,'[1]Detailed Transfer Report (12)'!$K:$Y,15,FALSE)</f>
        <v>44392</v>
      </c>
    </row>
    <row r="934" spans="1:31" x14ac:dyDescent="0.25">
      <c r="A934" s="7">
        <v>530</v>
      </c>
      <c r="B934" s="4">
        <v>44077</v>
      </c>
      <c r="C934" s="3" t="s">
        <v>153</v>
      </c>
      <c r="D934" s="3" t="s">
        <v>1337</v>
      </c>
      <c r="E934" s="3">
        <v>3027</v>
      </c>
      <c r="F934" s="3">
        <v>17052</v>
      </c>
      <c r="G934" s="3" t="s">
        <v>30</v>
      </c>
      <c r="H934" s="3">
        <v>0</v>
      </c>
      <c r="I934" s="3">
        <v>0</v>
      </c>
      <c r="J934" s="5">
        <v>2750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5">
        <v>10300</v>
      </c>
      <c r="X934" s="3">
        <v>0</v>
      </c>
      <c r="Y934" s="3">
        <v>0</v>
      </c>
      <c r="Z934" s="5">
        <v>3250</v>
      </c>
      <c r="AA934" s="5">
        <v>2750</v>
      </c>
      <c r="AB934" s="6">
        <v>19050</v>
      </c>
      <c r="AC934" s="2" t="str">
        <f>VLOOKUP(E934,'[1]Detailed Transfer Report (12)'!$K:$Y,13,FALSE)</f>
        <v>M imtiaz</v>
      </c>
      <c r="AD934" s="2" t="str">
        <f>VLOOKUP(E934,'[1]Detailed Transfer Report (12)'!$K:$Y,14,FALSE)</f>
        <v>Sardar Tanveer Ilyas</v>
      </c>
      <c r="AE934" s="16">
        <f>VLOOKUP(E934,'[1]Detailed Transfer Report (12)'!$K:$Y,15,FALSE)</f>
        <v>44113</v>
      </c>
    </row>
    <row r="935" spans="1:31" x14ac:dyDescent="0.25">
      <c r="A935" s="9">
        <v>530</v>
      </c>
      <c r="B935" s="4">
        <v>44077</v>
      </c>
      <c r="C935" s="3" t="s">
        <v>153</v>
      </c>
      <c r="D935" s="3" t="s">
        <v>1338</v>
      </c>
      <c r="E935" s="3">
        <v>3029</v>
      </c>
      <c r="F935" s="3">
        <v>17285</v>
      </c>
      <c r="G935" s="3" t="s">
        <v>30</v>
      </c>
      <c r="H935" s="3">
        <v>0</v>
      </c>
      <c r="I935" s="3">
        <v>0</v>
      </c>
      <c r="J935" s="5">
        <v>2750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5">
        <v>10300</v>
      </c>
      <c r="X935" s="3">
        <v>0</v>
      </c>
      <c r="Y935" s="3">
        <v>0</v>
      </c>
      <c r="Z935" s="5">
        <v>3250</v>
      </c>
      <c r="AA935" s="5">
        <v>2750</v>
      </c>
      <c r="AB935" s="6">
        <v>38100</v>
      </c>
      <c r="AC935" s="2" t="str">
        <f>VLOOKUP(E935,'[1]Detailed Transfer Report (12)'!$K:$Y,13,FALSE)</f>
        <v>Sadaqat hussain</v>
      </c>
      <c r="AD935" s="2" t="str">
        <f>VLOOKUP(E935,'[1]Detailed Transfer Report (12)'!$K:$Y,14,FALSE)</f>
        <v>Sardar Tanveer Ilyas</v>
      </c>
      <c r="AE935" s="16">
        <f>VLOOKUP(E935,'[1]Detailed Transfer Report (12)'!$K:$Y,15,FALSE)</f>
        <v>44116</v>
      </c>
    </row>
    <row r="936" spans="1:31" x14ac:dyDescent="0.25">
      <c r="A936" s="9">
        <v>530</v>
      </c>
      <c r="B936" s="4">
        <v>44077</v>
      </c>
      <c r="C936" s="3" t="s">
        <v>137</v>
      </c>
      <c r="D936" s="3" t="s">
        <v>1339</v>
      </c>
      <c r="E936" s="3">
        <v>3028</v>
      </c>
      <c r="F936" s="3">
        <v>17055</v>
      </c>
      <c r="G936" s="3" t="s">
        <v>30</v>
      </c>
      <c r="H936" s="3">
        <v>0</v>
      </c>
      <c r="I936" s="3">
        <v>0</v>
      </c>
      <c r="J936" s="5">
        <v>5500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650</v>
      </c>
      <c r="W936" s="5">
        <v>10300</v>
      </c>
      <c r="X936" s="3">
        <v>0</v>
      </c>
      <c r="Y936" s="3">
        <v>0</v>
      </c>
      <c r="Z936" s="5">
        <v>6500</v>
      </c>
      <c r="AA936" s="5">
        <v>5500</v>
      </c>
      <c r="AB936" s="6">
        <v>66550</v>
      </c>
      <c r="AC936" s="2" t="str">
        <f>VLOOKUP(E936,'[1]Detailed Transfer Report (12)'!$K:$Y,13,FALSE)</f>
        <v>M zaheer khan</v>
      </c>
      <c r="AD936" s="2" t="str">
        <f>VLOOKUP(E936,'[1]Detailed Transfer Report (12)'!$K:$Y,14,FALSE)</f>
        <v>Sardar Tanveer Ilyas</v>
      </c>
      <c r="AE936" s="16">
        <f>VLOOKUP(E936,'[1]Detailed Transfer Report (12)'!$K:$Y,15,FALSE)</f>
        <v>44113</v>
      </c>
    </row>
    <row r="937" spans="1:31" x14ac:dyDescent="0.25">
      <c r="A937" s="9">
        <v>530</v>
      </c>
      <c r="B937" s="4">
        <v>44077</v>
      </c>
      <c r="C937" s="3" t="s">
        <v>153</v>
      </c>
      <c r="D937" s="3" t="s">
        <v>1340</v>
      </c>
      <c r="E937" s="3">
        <v>3026</v>
      </c>
      <c r="F937" s="3">
        <v>17051</v>
      </c>
      <c r="G937" s="3" t="s">
        <v>30</v>
      </c>
      <c r="H937" s="3">
        <v>0</v>
      </c>
      <c r="I937" s="3">
        <v>0</v>
      </c>
      <c r="J937" s="5">
        <v>2750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5">
        <v>10300</v>
      </c>
      <c r="X937" s="3">
        <v>0</v>
      </c>
      <c r="Y937" s="3">
        <v>0</v>
      </c>
      <c r="Z937" s="5">
        <v>3250</v>
      </c>
      <c r="AA937" s="5">
        <v>2750</v>
      </c>
      <c r="AB937" s="6">
        <v>85600</v>
      </c>
      <c r="AC937" s="2" t="str">
        <f>VLOOKUP(E937,'[1]Detailed Transfer Report (12)'!$K:$Y,13,FALSE)</f>
        <v>Saeed Anwar</v>
      </c>
      <c r="AD937" s="2" t="str">
        <f>VLOOKUP(E937,'[1]Detailed Transfer Report (12)'!$K:$Y,14,FALSE)</f>
        <v>Sardar Tanveer Ilyas</v>
      </c>
      <c r="AE937" s="16">
        <f>VLOOKUP(E937,'[1]Detailed Transfer Report (12)'!$K:$Y,15,FALSE)</f>
        <v>44113</v>
      </c>
    </row>
    <row r="938" spans="1:31" x14ac:dyDescent="0.25">
      <c r="A938" s="9">
        <v>530</v>
      </c>
      <c r="B938" s="4">
        <v>44077</v>
      </c>
      <c r="C938" s="3" t="s">
        <v>153</v>
      </c>
      <c r="D938" s="3" t="s">
        <v>1341</v>
      </c>
      <c r="E938" s="3">
        <v>3030</v>
      </c>
      <c r="F938" s="3">
        <v>17286</v>
      </c>
      <c r="G938" s="3" t="s">
        <v>30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5">
        <v>450000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6">
        <v>535600</v>
      </c>
      <c r="AC938" s="2" t="str">
        <f>VLOOKUP(E938,'[1]Detailed Transfer Report (12)'!$K:$Y,13,FALSE)</f>
        <v>Nazim hussain</v>
      </c>
      <c r="AD938" s="2" t="str">
        <f>VLOOKUP(E938,'[1]Detailed Transfer Report (12)'!$K:$Y,14,FALSE)</f>
        <v>Sardar Tanveer Ilyas</v>
      </c>
      <c r="AE938" s="16">
        <f>VLOOKUP(E938,'[1]Detailed Transfer Report (12)'!$K:$Y,15,FALSE)</f>
        <v>44116</v>
      </c>
    </row>
    <row r="939" spans="1:31" x14ac:dyDescent="0.25">
      <c r="A939" s="10">
        <v>530</v>
      </c>
      <c r="B939" s="4">
        <v>44076</v>
      </c>
      <c r="C939" s="3" t="s">
        <v>521</v>
      </c>
      <c r="D939" s="3" t="s">
        <v>1342</v>
      </c>
      <c r="E939" s="3">
        <v>3034</v>
      </c>
      <c r="F939" s="3">
        <v>17054</v>
      </c>
      <c r="G939" s="3" t="s">
        <v>30</v>
      </c>
      <c r="H939" s="3">
        <v>0</v>
      </c>
      <c r="I939" s="3">
        <v>0</v>
      </c>
      <c r="J939" s="5">
        <v>8250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5">
        <v>10300</v>
      </c>
      <c r="X939" s="3">
        <v>0</v>
      </c>
      <c r="Y939" s="3">
        <v>0</v>
      </c>
      <c r="Z939" s="5">
        <v>9250</v>
      </c>
      <c r="AA939" s="5">
        <v>8250</v>
      </c>
      <c r="AB939" s="6">
        <v>571650</v>
      </c>
      <c r="AC939" s="2" t="str">
        <f>VLOOKUP(E939,'[1]Detailed Transfer Report (12)'!$K:$Y,13,FALSE)</f>
        <v>Hafiz Ejaz Hussain</v>
      </c>
      <c r="AD939" s="2" t="str">
        <f>VLOOKUP(E939,'[1]Detailed Transfer Report (12)'!$K:$Y,14,FALSE)</f>
        <v>Sardar Tanveer Ilyas</v>
      </c>
      <c r="AE939" s="16">
        <f>VLOOKUP(E939,'[1]Detailed Transfer Report (12)'!$K:$Y,15,FALSE)</f>
        <v>44113</v>
      </c>
    </row>
    <row r="940" spans="1:31" x14ac:dyDescent="0.25">
      <c r="A940" s="3">
        <v>531</v>
      </c>
      <c r="B940" s="4">
        <v>44097</v>
      </c>
      <c r="C940" s="3" t="s">
        <v>1067</v>
      </c>
      <c r="D940" s="3" t="s">
        <v>1343</v>
      </c>
      <c r="E940" s="3">
        <v>3432</v>
      </c>
      <c r="F940" s="3">
        <v>13391</v>
      </c>
      <c r="G940" s="3" t="s">
        <v>30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8">
        <v>0</v>
      </c>
      <c r="AC940" s="2" t="str">
        <f>VLOOKUP(E940,'[1]Detailed Transfer Report (12)'!$K:$Y,13,FALSE)</f>
        <v>ameer afsar</v>
      </c>
      <c r="AD940" s="2" t="str">
        <f>VLOOKUP(E940,'[1]Detailed Transfer Report (12)'!$K:$Y,14,FALSE)</f>
        <v>Sardar Tanveer Ilyas</v>
      </c>
      <c r="AE940" s="16">
        <f>VLOOKUP(E940,'[1]Detailed Transfer Report (12)'!$K:$Y,15,FALSE)</f>
        <v>44086</v>
      </c>
    </row>
    <row r="941" spans="1:31" x14ac:dyDescent="0.25">
      <c r="A941" s="7">
        <v>532</v>
      </c>
      <c r="B941" s="4">
        <v>44105</v>
      </c>
      <c r="C941" s="3" t="s">
        <v>995</v>
      </c>
      <c r="D941" s="3" t="s">
        <v>1344</v>
      </c>
      <c r="E941" s="3">
        <v>457</v>
      </c>
      <c r="F941" s="3">
        <v>17274</v>
      </c>
      <c r="G941" s="3" t="s">
        <v>41</v>
      </c>
      <c r="H941" s="3">
        <v>0</v>
      </c>
      <c r="I941" s="3">
        <v>0</v>
      </c>
      <c r="J941" s="5">
        <v>9000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5">
        <v>10000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300</v>
      </c>
      <c r="AA941" s="3">
        <v>0</v>
      </c>
      <c r="AB941" s="6">
        <v>19300</v>
      </c>
      <c r="AC941" s="2" t="str">
        <f>VLOOKUP(E941,'[1]Detailed Transfer Report (12)'!$K:$Y,13,FALSE)</f>
        <v>Nisar ahmed</v>
      </c>
      <c r="AD941" s="2" t="str">
        <f>VLOOKUP(E941,'[1]Detailed Transfer Report (12)'!$K:$Y,14,FALSE)</f>
        <v>Sardar Tanveer Ilyas</v>
      </c>
      <c r="AE941" s="16">
        <f>VLOOKUP(E941,'[1]Detailed Transfer Report (12)'!$K:$Y,15,FALSE)</f>
        <v>44114</v>
      </c>
    </row>
    <row r="942" spans="1:31" x14ac:dyDescent="0.25">
      <c r="A942" s="10">
        <v>532</v>
      </c>
      <c r="B942" s="4">
        <v>44105</v>
      </c>
      <c r="C942" s="3" t="s">
        <v>366</v>
      </c>
      <c r="D942" s="3" t="s">
        <v>1345</v>
      </c>
      <c r="E942" s="3">
        <v>3478</v>
      </c>
      <c r="F942" s="3">
        <v>17273</v>
      </c>
      <c r="G942" s="3" t="s">
        <v>30</v>
      </c>
      <c r="H942" s="3">
        <v>0</v>
      </c>
      <c r="I942" s="3">
        <v>0</v>
      </c>
      <c r="J942" s="5">
        <v>1000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5">
        <v>1500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300</v>
      </c>
      <c r="AA942" s="3">
        <v>0</v>
      </c>
      <c r="AB942" s="6">
        <v>22100</v>
      </c>
      <c r="AC942" s="2" t="str">
        <f>VLOOKUP(E942,'[1]Detailed Transfer Report (12)'!$K:$Y,13,FALSE)</f>
        <v>Nisar ahmed</v>
      </c>
      <c r="AD942" s="2" t="str">
        <f>VLOOKUP(E942,'[1]Detailed Transfer Report (12)'!$K:$Y,14,FALSE)</f>
        <v>Sardar Tanveer Ilyas</v>
      </c>
      <c r="AE942" s="16">
        <f>VLOOKUP(E942,'[1]Detailed Transfer Report (12)'!$K:$Y,15,FALSE)</f>
        <v>44114</v>
      </c>
    </row>
    <row r="943" spans="1:31" x14ac:dyDescent="0.25">
      <c r="A943" s="3">
        <v>534</v>
      </c>
      <c r="B943" s="4">
        <v>44114</v>
      </c>
      <c r="C943" s="3" t="s">
        <v>153</v>
      </c>
      <c r="D943" s="3" t="s">
        <v>1346</v>
      </c>
      <c r="E943" s="3">
        <v>3032</v>
      </c>
      <c r="F943" s="3">
        <v>21834</v>
      </c>
      <c r="G943" s="3" t="s">
        <v>30</v>
      </c>
      <c r="H943" s="3">
        <v>0</v>
      </c>
      <c r="I943" s="3">
        <v>0</v>
      </c>
      <c r="J943" s="5">
        <v>2750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5">
        <v>3550</v>
      </c>
      <c r="R943" s="3">
        <v>0</v>
      </c>
      <c r="S943" s="3">
        <v>0</v>
      </c>
      <c r="T943" s="3">
        <v>0</v>
      </c>
      <c r="U943" s="3">
        <v>0</v>
      </c>
      <c r="V943" s="5">
        <v>50000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6">
        <v>56300</v>
      </c>
      <c r="AC943" s="2" t="str">
        <f>VLOOKUP(E943,'[1]Detailed Transfer Report (12)'!$K:$Y,13,FALSE)</f>
        <v>Shabana Aftab</v>
      </c>
      <c r="AD943" s="2" t="str">
        <f>VLOOKUP(E943,'[1]Detailed Transfer Report (12)'!$K:$Y,14,FALSE)</f>
        <v>Sardar Tanveer Ilyas</v>
      </c>
      <c r="AE943" s="16">
        <f>VLOOKUP(E943,'[1]Detailed Transfer Report (12)'!$K:$Y,15,FALSE)</f>
        <v>44149</v>
      </c>
    </row>
    <row r="944" spans="1:31" x14ac:dyDescent="0.25">
      <c r="A944" s="7">
        <v>535</v>
      </c>
      <c r="B944" s="4">
        <v>44214</v>
      </c>
      <c r="C944" s="3" t="s">
        <v>1347</v>
      </c>
      <c r="D944" s="3" t="s">
        <v>1348</v>
      </c>
      <c r="E944" s="3" t="s">
        <v>1349</v>
      </c>
      <c r="F944" s="3">
        <v>4056</v>
      </c>
      <c r="G944" s="3" t="s">
        <v>41</v>
      </c>
      <c r="H944" s="3">
        <v>0</v>
      </c>
      <c r="I944" s="3">
        <v>0</v>
      </c>
      <c r="J944" s="5">
        <v>467600</v>
      </c>
      <c r="K944" s="3">
        <v>0</v>
      </c>
      <c r="L944" s="3">
        <v>0</v>
      </c>
      <c r="M944" s="3">
        <v>0</v>
      </c>
      <c r="N944" s="5">
        <v>467600</v>
      </c>
      <c r="O944" s="3">
        <v>0</v>
      </c>
      <c r="P944" s="3">
        <v>0</v>
      </c>
      <c r="Q944" s="5">
        <v>468600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300</v>
      </c>
      <c r="AA944" s="5">
        <v>755400</v>
      </c>
      <c r="AB944" s="6">
        <v>2159500</v>
      </c>
      <c r="AC944" s="2" t="str">
        <f>VLOOKUP(E944,'[1]Detailed Transfer Report (12)'!$K:$Y,13,FALSE)</f>
        <v>Saeed abbas</v>
      </c>
      <c r="AD944" s="2" t="str">
        <f>VLOOKUP(E944,'[1]Detailed Transfer Report (12)'!$K:$Y,14,FALSE)</f>
        <v>Sardar Yasir Ilyas</v>
      </c>
      <c r="AE944" s="16">
        <f>VLOOKUP(E944,'[1]Detailed Transfer Report (12)'!$K:$Y,15,FALSE)</f>
        <v>44228</v>
      </c>
    </row>
    <row r="945" spans="1:31" x14ac:dyDescent="0.25">
      <c r="A945" s="9">
        <v>535</v>
      </c>
      <c r="B945" s="4">
        <v>44244</v>
      </c>
      <c r="C945" s="3" t="s">
        <v>44</v>
      </c>
      <c r="D945" s="3" t="s">
        <v>1350</v>
      </c>
      <c r="E945" s="3">
        <v>493</v>
      </c>
      <c r="F945" s="3">
        <v>12284</v>
      </c>
      <c r="G945" s="3" t="s">
        <v>41</v>
      </c>
      <c r="H945" s="3">
        <v>0</v>
      </c>
      <c r="I945" s="3">
        <v>0</v>
      </c>
      <c r="J945" s="5">
        <v>20000</v>
      </c>
      <c r="K945" s="3">
        <v>0</v>
      </c>
      <c r="L945" s="3">
        <v>0</v>
      </c>
      <c r="M945" s="3">
        <v>0</v>
      </c>
      <c r="N945" s="5">
        <v>20000</v>
      </c>
      <c r="O945" s="3">
        <v>0</v>
      </c>
      <c r="P945" s="3">
        <v>0</v>
      </c>
      <c r="Q945" s="5">
        <v>21000</v>
      </c>
      <c r="R945" s="3">
        <v>0</v>
      </c>
      <c r="S945" s="3">
        <v>0</v>
      </c>
      <c r="T945" s="3">
        <v>0</v>
      </c>
      <c r="U945" s="3">
        <v>0</v>
      </c>
      <c r="V945" s="5">
        <v>2000</v>
      </c>
      <c r="W945" s="3">
        <v>0</v>
      </c>
      <c r="X945" s="3">
        <v>0</v>
      </c>
      <c r="Y945" s="3">
        <v>0</v>
      </c>
      <c r="Z945" s="3">
        <v>300</v>
      </c>
      <c r="AA945" s="5">
        <v>56000</v>
      </c>
      <c r="AB945" s="6">
        <v>2278800</v>
      </c>
      <c r="AC945" s="2" t="str">
        <f>VLOOKUP(E945,'[1]Detailed Transfer Report (12)'!$K:$Y,13,FALSE)</f>
        <v>Bilal qayyum</v>
      </c>
      <c r="AD945" s="2" t="str">
        <f>VLOOKUP(E945,'[1]Detailed Transfer Report (12)'!$K:$Y,14,FALSE)</f>
        <v>Sardar Yasir Ilyas</v>
      </c>
      <c r="AE945" s="16">
        <f>VLOOKUP(E945,'[1]Detailed Transfer Report (12)'!$K:$Y,15,FALSE)</f>
        <v>44286</v>
      </c>
    </row>
    <row r="946" spans="1:31" x14ac:dyDescent="0.25">
      <c r="A946" s="9">
        <v>535</v>
      </c>
      <c r="B946" s="4">
        <v>44244</v>
      </c>
      <c r="C946" s="3" t="s">
        <v>323</v>
      </c>
      <c r="D946" s="3" t="s">
        <v>1351</v>
      </c>
      <c r="E946" s="3">
        <v>502</v>
      </c>
      <c r="F946" s="3">
        <v>12285</v>
      </c>
      <c r="G946" s="3" t="s">
        <v>41</v>
      </c>
      <c r="H946" s="3">
        <v>0</v>
      </c>
      <c r="I946" s="3">
        <v>0</v>
      </c>
      <c r="J946" s="5">
        <v>100000</v>
      </c>
      <c r="K946" s="3">
        <v>0</v>
      </c>
      <c r="L946" s="3">
        <v>0</v>
      </c>
      <c r="M946" s="3">
        <v>0</v>
      </c>
      <c r="N946" s="5">
        <v>100000</v>
      </c>
      <c r="O946" s="3">
        <v>0</v>
      </c>
      <c r="P946" s="3">
        <v>0</v>
      </c>
      <c r="Q946" s="5">
        <v>101000</v>
      </c>
      <c r="R946" s="3">
        <v>0</v>
      </c>
      <c r="S946" s="3">
        <v>0</v>
      </c>
      <c r="T946" s="3">
        <v>0</v>
      </c>
      <c r="U946" s="3">
        <v>0</v>
      </c>
      <c r="V946" s="5">
        <v>2000</v>
      </c>
      <c r="W946" s="3">
        <v>0</v>
      </c>
      <c r="X946" s="3">
        <v>0</v>
      </c>
      <c r="Y946" s="3">
        <v>0</v>
      </c>
      <c r="Z946" s="3">
        <v>300</v>
      </c>
      <c r="AA946" s="5">
        <v>186000</v>
      </c>
      <c r="AB946" s="6">
        <v>2768100</v>
      </c>
      <c r="AD946" s="2" t="str">
        <f>VLOOKUP(E946,'[1]Detailed Transfer Report (12)'!$K:$Y,14,FALSE)</f>
        <v>Sardar Tanveer Ilyas</v>
      </c>
      <c r="AE946" s="16"/>
    </row>
    <row r="947" spans="1:31" x14ac:dyDescent="0.25">
      <c r="A947" s="9">
        <v>535</v>
      </c>
      <c r="B947" s="4">
        <v>44442</v>
      </c>
      <c r="C947" s="3" t="s">
        <v>264</v>
      </c>
      <c r="D947" s="3" t="s">
        <v>1352</v>
      </c>
      <c r="E947" s="3">
        <v>618</v>
      </c>
      <c r="F947" s="3">
        <v>11782</v>
      </c>
      <c r="G947" s="3" t="s">
        <v>41</v>
      </c>
      <c r="H947" s="3">
        <v>0</v>
      </c>
      <c r="I947" s="3">
        <v>0</v>
      </c>
      <c r="J947" s="5">
        <v>16000</v>
      </c>
      <c r="K947" s="3">
        <v>0</v>
      </c>
      <c r="L947" s="3">
        <v>0</v>
      </c>
      <c r="M947" s="3">
        <v>0</v>
      </c>
      <c r="N947" s="5">
        <v>16000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300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5">
        <v>2000</v>
      </c>
      <c r="AA947" s="5">
        <v>58000</v>
      </c>
      <c r="AB947" s="6">
        <v>2860400</v>
      </c>
      <c r="AC947" s="2" t="str">
        <f>VLOOKUP(E947,'[1]Detailed Transfer Report (12)'!$K:$Y,13,FALSE)</f>
        <v>shehzad mehmood</v>
      </c>
      <c r="AD947" s="2" t="str">
        <f>VLOOKUP(E947,'[1]Detailed Transfer Report (12)'!$K:$Y,14,FALSE)</f>
        <v>Sardar Yasir Ilyas</v>
      </c>
      <c r="AE947" s="16">
        <f>VLOOKUP(E947,'[1]Detailed Transfer Report (12)'!$K:$Y,15,FALSE)</f>
        <v>44282</v>
      </c>
    </row>
    <row r="948" spans="1:31" x14ac:dyDescent="0.25">
      <c r="A948" s="9">
        <v>535</v>
      </c>
      <c r="B948" s="4">
        <v>44214</v>
      </c>
      <c r="C948" s="3" t="s">
        <v>137</v>
      </c>
      <c r="D948" s="3" t="s">
        <v>1353</v>
      </c>
      <c r="E948" s="3">
        <v>465</v>
      </c>
      <c r="F948" s="3">
        <v>5514</v>
      </c>
      <c r="G948" s="3" t="s">
        <v>41</v>
      </c>
      <c r="H948" s="3">
        <v>0</v>
      </c>
      <c r="I948" s="3">
        <v>0</v>
      </c>
      <c r="J948" s="5">
        <v>10000</v>
      </c>
      <c r="K948" s="3">
        <v>0</v>
      </c>
      <c r="L948" s="3">
        <v>0</v>
      </c>
      <c r="M948" s="3">
        <v>0</v>
      </c>
      <c r="N948" s="5">
        <v>10000</v>
      </c>
      <c r="O948" s="3">
        <v>0</v>
      </c>
      <c r="P948" s="3">
        <v>0</v>
      </c>
      <c r="Q948" s="5">
        <v>11000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300</v>
      </c>
      <c r="AA948" s="5">
        <v>49000</v>
      </c>
      <c r="AB948" s="6">
        <v>2940700</v>
      </c>
      <c r="AC948" s="2" t="str">
        <f>VLOOKUP(E948,'[1]Detailed Transfer Report (12)'!$K:$Y,13,FALSE)</f>
        <v>Ajmal Mehmood</v>
      </c>
      <c r="AD948" s="2" t="str">
        <f>VLOOKUP(E948,'[1]Detailed Transfer Report (12)'!$K:$Y,14,FALSE)</f>
        <v>Sardar Yasir Ilyas</v>
      </c>
      <c r="AE948" s="16">
        <f>VLOOKUP(E948,'[1]Detailed Transfer Report (12)'!$K:$Y,15,FALSE)</f>
        <v>44238</v>
      </c>
    </row>
    <row r="949" spans="1:31" x14ac:dyDescent="0.25">
      <c r="A949" s="9">
        <v>535</v>
      </c>
      <c r="B949" s="4">
        <v>44342</v>
      </c>
      <c r="C949" s="3" t="s">
        <v>1354</v>
      </c>
      <c r="D949" s="3" t="s">
        <v>1355</v>
      </c>
      <c r="E949" s="3">
        <v>497</v>
      </c>
      <c r="F949" s="3">
        <v>18631</v>
      </c>
      <c r="G949" s="3" t="s">
        <v>41</v>
      </c>
      <c r="H949" s="3">
        <v>0</v>
      </c>
      <c r="I949" s="3">
        <v>0</v>
      </c>
      <c r="J949" s="5">
        <v>480000</v>
      </c>
      <c r="K949" s="3">
        <v>0</v>
      </c>
      <c r="L949" s="5">
        <v>1196944</v>
      </c>
      <c r="M949" s="3">
        <v>0</v>
      </c>
      <c r="N949" s="5">
        <v>480000</v>
      </c>
      <c r="O949" s="3">
        <v>0</v>
      </c>
      <c r="P949" s="3">
        <v>0</v>
      </c>
      <c r="Q949" s="5">
        <v>481000</v>
      </c>
      <c r="R949" s="3">
        <v>0</v>
      </c>
      <c r="S949" s="3">
        <v>0</v>
      </c>
      <c r="T949" s="5">
        <v>2000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300</v>
      </c>
      <c r="AA949" s="5">
        <v>776000</v>
      </c>
      <c r="AB949" s="6">
        <v>6356944</v>
      </c>
      <c r="AC949" s="2" t="str">
        <f>VLOOKUP(E949,'[1]Detailed Transfer Report (12)'!$K:$Y,13,FALSE)</f>
        <v>Shamim akhtar</v>
      </c>
      <c r="AD949" s="2" t="str">
        <f>VLOOKUP(E949,'[1]Detailed Transfer Report (12)'!$K:$Y,14,FALSE)</f>
        <v>Sardar Yasir Ilyas</v>
      </c>
      <c r="AE949" s="16">
        <f>VLOOKUP(E949,'[1]Detailed Transfer Report (12)'!$K:$Y,15,FALSE)</f>
        <v>44351</v>
      </c>
    </row>
    <row r="950" spans="1:31" x14ac:dyDescent="0.25">
      <c r="A950" s="9">
        <v>535</v>
      </c>
      <c r="B950" s="4">
        <v>44244</v>
      </c>
      <c r="C950" s="3" t="s">
        <v>1356</v>
      </c>
      <c r="D950" s="3" t="s">
        <v>1357</v>
      </c>
      <c r="E950" s="3">
        <v>494</v>
      </c>
      <c r="F950" s="3">
        <v>12283</v>
      </c>
      <c r="G950" s="3" t="s">
        <v>41</v>
      </c>
      <c r="H950" s="3">
        <v>0</v>
      </c>
      <c r="I950" s="3">
        <v>0</v>
      </c>
      <c r="J950" s="5">
        <v>140780</v>
      </c>
      <c r="K950" s="3">
        <v>0</v>
      </c>
      <c r="L950" s="3">
        <v>0</v>
      </c>
      <c r="M950" s="3">
        <v>0</v>
      </c>
      <c r="N950" s="5">
        <v>140780</v>
      </c>
      <c r="O950" s="3">
        <v>0</v>
      </c>
      <c r="P950" s="3">
        <v>0</v>
      </c>
      <c r="Q950" s="5">
        <v>141780</v>
      </c>
      <c r="R950" s="3">
        <v>0</v>
      </c>
      <c r="S950" s="3">
        <v>0</v>
      </c>
      <c r="T950" s="3">
        <v>0</v>
      </c>
      <c r="U950" s="3">
        <v>0</v>
      </c>
      <c r="V950" s="5">
        <v>2000</v>
      </c>
      <c r="W950" s="3">
        <v>0</v>
      </c>
      <c r="X950" s="3">
        <v>0</v>
      </c>
      <c r="Y950" s="3">
        <v>0</v>
      </c>
      <c r="Z950" s="3">
        <v>300</v>
      </c>
      <c r="AA950" s="5">
        <v>247170</v>
      </c>
      <c r="AB950" s="6">
        <v>7029754</v>
      </c>
      <c r="AC950" s="2" t="str">
        <f>VLOOKUP(E950,'[1]Detailed Transfer Report (12)'!$K:$Y,13,FALSE)</f>
        <v>Zaib un nisa</v>
      </c>
      <c r="AD950" s="2" t="str">
        <f>VLOOKUP(E950,'[1]Detailed Transfer Report (12)'!$K:$Y,14,FALSE)</f>
        <v>Sardar Yasir Ilyas</v>
      </c>
      <c r="AE950" s="16">
        <f>VLOOKUP(E950,'[1]Detailed Transfer Report (12)'!$K:$Y,15,FALSE)</f>
        <v>44276</v>
      </c>
    </row>
    <row r="951" spans="1:31" x14ac:dyDescent="0.25">
      <c r="A951" s="10">
        <v>535</v>
      </c>
      <c r="B951" s="4">
        <v>44244</v>
      </c>
      <c r="C951" s="3" t="s">
        <v>1358</v>
      </c>
      <c r="D951" s="3" t="s">
        <v>1359</v>
      </c>
      <c r="E951" s="3">
        <v>606</v>
      </c>
      <c r="F951" s="3">
        <v>11783</v>
      </c>
      <c r="G951" s="3" t="s">
        <v>41</v>
      </c>
      <c r="H951" s="3">
        <v>0</v>
      </c>
      <c r="I951" s="3">
        <v>0</v>
      </c>
      <c r="J951" s="5">
        <v>461670</v>
      </c>
      <c r="K951" s="3">
        <v>0</v>
      </c>
      <c r="L951" s="5">
        <v>3000000</v>
      </c>
      <c r="M951" s="3">
        <v>0</v>
      </c>
      <c r="N951" s="5">
        <v>461670</v>
      </c>
      <c r="O951" s="3">
        <v>0</v>
      </c>
      <c r="P951" s="3">
        <v>0</v>
      </c>
      <c r="Q951" s="5">
        <v>462670</v>
      </c>
      <c r="R951" s="3">
        <v>0</v>
      </c>
      <c r="S951" s="5">
        <v>162000</v>
      </c>
      <c r="T951" s="3">
        <v>0</v>
      </c>
      <c r="U951" s="3">
        <v>0</v>
      </c>
      <c r="V951" s="5">
        <v>2000</v>
      </c>
      <c r="W951" s="3">
        <v>0</v>
      </c>
      <c r="X951" s="3">
        <v>0</v>
      </c>
      <c r="Y951" s="3">
        <v>0</v>
      </c>
      <c r="Z951" s="3">
        <v>300</v>
      </c>
      <c r="AA951" s="5">
        <v>748505</v>
      </c>
      <c r="AB951" s="6">
        <v>12328569</v>
      </c>
      <c r="AC951" s="2" t="str">
        <f>VLOOKUP(E951,'[1]Detailed Transfer Report (12)'!$K:$Y,13,FALSE)</f>
        <v>Muhammad Rabnawaz</v>
      </c>
      <c r="AD951" s="2" t="str">
        <f>VLOOKUP(E951,'[1]Detailed Transfer Report (12)'!$K:$Y,14,FALSE)</f>
        <v>Sardar Yasir Ilyas</v>
      </c>
      <c r="AE951" s="16">
        <f>VLOOKUP(E951,'[1]Detailed Transfer Report (12)'!$K:$Y,15,FALSE)</f>
        <v>44282</v>
      </c>
    </row>
    <row r="952" spans="1:31" x14ac:dyDescent="0.25">
      <c r="A952" s="7">
        <v>536</v>
      </c>
      <c r="B952" s="4">
        <v>44537</v>
      </c>
      <c r="C952" s="3" t="s">
        <v>1360</v>
      </c>
      <c r="D952" s="3" t="s">
        <v>1361</v>
      </c>
      <c r="E952" s="3">
        <v>566</v>
      </c>
      <c r="F952" s="3">
        <v>8338</v>
      </c>
      <c r="G952" s="3" t="s">
        <v>41</v>
      </c>
      <c r="H952" s="5">
        <v>540000</v>
      </c>
      <c r="I952" s="3">
        <v>0</v>
      </c>
      <c r="J952" s="5">
        <v>270000</v>
      </c>
      <c r="K952" s="3">
        <v>0</v>
      </c>
      <c r="L952" s="5">
        <v>1143000</v>
      </c>
      <c r="M952" s="3">
        <v>0</v>
      </c>
      <c r="N952" s="5">
        <v>270000</v>
      </c>
      <c r="O952" s="3">
        <v>0</v>
      </c>
      <c r="P952" s="3">
        <v>0</v>
      </c>
      <c r="Q952" s="5">
        <v>271000</v>
      </c>
      <c r="R952" s="3">
        <v>0</v>
      </c>
      <c r="S952" s="3">
        <v>0</v>
      </c>
      <c r="T952" s="3">
        <v>300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5">
        <v>2000</v>
      </c>
      <c r="AA952" s="5">
        <v>461000</v>
      </c>
      <c r="AB952" s="6">
        <v>2957300</v>
      </c>
      <c r="AD952" s="2" t="str">
        <f>VLOOKUP(E952,'[1]Detailed Transfer Report (12)'!$K:$Y,14,FALSE)</f>
        <v>Sardar Tanveer Ilyas</v>
      </c>
      <c r="AE952" s="16"/>
    </row>
    <row r="953" spans="1:31" x14ac:dyDescent="0.25">
      <c r="A953" s="10">
        <v>536</v>
      </c>
      <c r="B953" s="4">
        <v>44816</v>
      </c>
      <c r="C953" s="3" t="s">
        <v>621</v>
      </c>
      <c r="D953" s="3" t="s">
        <v>822</v>
      </c>
      <c r="E953" s="3">
        <v>740</v>
      </c>
      <c r="F953" s="3">
        <v>20369</v>
      </c>
      <c r="G953" s="3" t="s">
        <v>41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6">
        <v>2957300</v>
      </c>
      <c r="AC953" s="2" t="str">
        <f>VLOOKUP(E953,'[1]Detailed Transfer Report (12)'!$K:$Y,13,FALSE)</f>
        <v>Waqar Ul Gulzar</v>
      </c>
      <c r="AD953" s="2" t="str">
        <f>VLOOKUP(E953,'[1]Detailed Transfer Report (12)'!$K:$Y,14,FALSE)</f>
        <v>Sardar Yasir Ilyas</v>
      </c>
      <c r="AE953" s="16">
        <f>VLOOKUP(E953,'[1]Detailed Transfer Report (12)'!$K:$Y,15,FALSE)</f>
        <v>44803</v>
      </c>
    </row>
    <row r="954" spans="1:31" x14ac:dyDescent="0.25">
      <c r="A954" s="7">
        <v>537</v>
      </c>
      <c r="B954" s="4">
        <v>44174</v>
      </c>
      <c r="C954" s="3" t="s">
        <v>1362</v>
      </c>
      <c r="D954" s="3" t="s">
        <v>1363</v>
      </c>
      <c r="E954" s="3">
        <v>1876</v>
      </c>
      <c r="F954" s="3">
        <v>605</v>
      </c>
      <c r="G954" s="3" t="s">
        <v>30</v>
      </c>
      <c r="H954" s="3">
        <v>0</v>
      </c>
      <c r="I954" s="3">
        <v>0</v>
      </c>
      <c r="J954" s="5">
        <v>8000</v>
      </c>
      <c r="K954" s="3">
        <v>0</v>
      </c>
      <c r="L954" s="3">
        <v>0</v>
      </c>
      <c r="M954" s="3">
        <v>0</v>
      </c>
      <c r="N954" s="5">
        <v>8000</v>
      </c>
      <c r="O954" s="3">
        <v>0</v>
      </c>
      <c r="P954" s="3">
        <v>0</v>
      </c>
      <c r="Q954" s="5">
        <v>32000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5">
        <v>15000</v>
      </c>
      <c r="AB954" s="6">
        <v>63000</v>
      </c>
      <c r="AC954" s="2" t="str">
        <f>VLOOKUP(E954,'[1]Detailed Transfer Report (12)'!$K:$Y,13,FALSE)</f>
        <v>M talha ahmed</v>
      </c>
      <c r="AD954" s="2" t="str">
        <f>VLOOKUP(E954,'[1]Detailed Transfer Report (12)'!$K:$Y,14,FALSE)</f>
        <v>Sardar Yasir Ilyas</v>
      </c>
      <c r="AE954" s="16">
        <f>VLOOKUP(E954,'[1]Detailed Transfer Report (12)'!$K:$Y,15,FALSE)</f>
        <v>44223</v>
      </c>
    </row>
    <row r="955" spans="1:31" x14ac:dyDescent="0.25">
      <c r="A955" s="10">
        <v>537</v>
      </c>
      <c r="B955" s="4">
        <v>44938</v>
      </c>
      <c r="C955" s="3" t="s">
        <v>1364</v>
      </c>
      <c r="D955" s="3" t="s">
        <v>1365</v>
      </c>
      <c r="E955" s="3">
        <v>1804</v>
      </c>
      <c r="F955" s="3">
        <v>6663</v>
      </c>
      <c r="G955" s="3" t="s">
        <v>30</v>
      </c>
      <c r="H955" s="3">
        <v>0</v>
      </c>
      <c r="I955" s="3">
        <v>0</v>
      </c>
      <c r="J955" s="5">
        <v>18000</v>
      </c>
      <c r="K955" s="3">
        <v>0</v>
      </c>
      <c r="L955" s="3">
        <v>0</v>
      </c>
      <c r="M955" s="3">
        <v>0</v>
      </c>
      <c r="N955" s="5">
        <v>9000</v>
      </c>
      <c r="O955" s="3">
        <v>0</v>
      </c>
      <c r="P955" s="3">
        <v>0</v>
      </c>
      <c r="Q955" s="5">
        <v>36000</v>
      </c>
      <c r="R955" s="5">
        <v>36000</v>
      </c>
      <c r="S955" s="5">
        <v>1000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5">
        <v>16000</v>
      </c>
      <c r="AB955" s="6">
        <v>179000</v>
      </c>
      <c r="AC955" s="2" t="str">
        <f>VLOOKUP(E955,'[1]Detailed Transfer Report (12)'!$K:$Y,13,FALSE)</f>
        <v>Muhammad Musa Kiyani</v>
      </c>
      <c r="AD955" s="2" t="str">
        <f>VLOOKUP(E955,'[1]Detailed Transfer Report (12)'!$K:$Y,14,FALSE)</f>
        <v>Sardar Yasir Ilyas</v>
      </c>
      <c r="AE955" s="16">
        <f>VLOOKUP(E955,'[1]Detailed Transfer Report (12)'!$K:$Y,15,FALSE)</f>
        <v>44910</v>
      </c>
    </row>
    <row r="956" spans="1:31" x14ac:dyDescent="0.25">
      <c r="A956" s="3">
        <v>538</v>
      </c>
      <c r="B956" s="4">
        <v>44174</v>
      </c>
      <c r="C956" s="3" t="s">
        <v>1366</v>
      </c>
      <c r="D956" s="3" t="s">
        <v>1367</v>
      </c>
      <c r="E956" s="3">
        <v>3522</v>
      </c>
      <c r="F956" s="3">
        <v>27744</v>
      </c>
      <c r="G956" s="3" t="s">
        <v>30</v>
      </c>
      <c r="H956" s="3">
        <v>0</v>
      </c>
      <c r="I956" s="3">
        <v>0</v>
      </c>
      <c r="J956" s="5">
        <v>11000</v>
      </c>
      <c r="K956" s="3">
        <v>0</v>
      </c>
      <c r="L956" s="3">
        <v>0</v>
      </c>
      <c r="M956" s="3">
        <v>0</v>
      </c>
      <c r="N956" s="5">
        <v>11000</v>
      </c>
      <c r="O956" s="3">
        <v>0</v>
      </c>
      <c r="P956" s="3">
        <v>0</v>
      </c>
      <c r="Q956" s="5">
        <v>12000</v>
      </c>
      <c r="R956" s="5">
        <v>22000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300</v>
      </c>
      <c r="AA956" s="5">
        <v>16000</v>
      </c>
      <c r="AB956" s="6">
        <v>72300</v>
      </c>
      <c r="AC956" s="2" t="str">
        <f>VLOOKUP(E956,'[1]Detailed Transfer Report (12)'!$K:$Y,13,FALSE)</f>
        <v>Muhammad Younis</v>
      </c>
      <c r="AD956" s="2" t="str">
        <f>VLOOKUP(E956,'[1]Detailed Transfer Report (12)'!$K:$Y,14,FALSE)</f>
        <v>Sardar Yasir Ilyas</v>
      </c>
      <c r="AE956" s="16">
        <f>VLOOKUP(E956,'[1]Detailed Transfer Report (12)'!$K:$Y,15,FALSE)</f>
        <v>44196</v>
      </c>
    </row>
    <row r="957" spans="1:31" x14ac:dyDescent="0.25">
      <c r="A957" s="3">
        <v>539</v>
      </c>
      <c r="B957" s="4">
        <v>44174</v>
      </c>
      <c r="C957" s="3" t="s">
        <v>44</v>
      </c>
      <c r="D957" s="3" t="s">
        <v>1368</v>
      </c>
      <c r="E957" s="3">
        <v>455</v>
      </c>
      <c r="F957" s="3">
        <v>26387</v>
      </c>
      <c r="G957" s="3" t="s">
        <v>41</v>
      </c>
      <c r="H957" s="3">
        <v>0</v>
      </c>
      <c r="I957" s="3">
        <v>0</v>
      </c>
      <c r="J957" s="5">
        <v>20000</v>
      </c>
      <c r="K957" s="3">
        <v>0</v>
      </c>
      <c r="L957" s="3">
        <v>0</v>
      </c>
      <c r="M957" s="3">
        <v>0</v>
      </c>
      <c r="N957" s="5">
        <v>20000</v>
      </c>
      <c r="O957" s="3">
        <v>0</v>
      </c>
      <c r="P957" s="3">
        <v>0</v>
      </c>
      <c r="Q957" s="5">
        <v>21000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5">
        <v>30000</v>
      </c>
      <c r="X957" s="3">
        <v>0</v>
      </c>
      <c r="Y957" s="3">
        <v>0</v>
      </c>
      <c r="Z957" s="3">
        <v>300</v>
      </c>
      <c r="AA957" s="5">
        <v>16000</v>
      </c>
      <c r="AB957" s="6">
        <v>107300</v>
      </c>
      <c r="AC957" s="2" t="str">
        <f>VLOOKUP(E957,'[1]Detailed Transfer Report (12)'!$K:$Y,13,FALSE)</f>
        <v>Yasir mehmood</v>
      </c>
      <c r="AD957" s="2" t="str">
        <f>VLOOKUP(E957,'[1]Detailed Transfer Report (12)'!$K:$Y,14,FALSE)</f>
        <v>Sardar Tanveer Ilyas</v>
      </c>
      <c r="AE957" s="16">
        <f>VLOOKUP(E957,'[1]Detailed Transfer Report (12)'!$K:$Y,15,FALSE)</f>
        <v>44187</v>
      </c>
    </row>
    <row r="958" spans="1:31" x14ac:dyDescent="0.25">
      <c r="A958" s="7">
        <v>540</v>
      </c>
      <c r="B958" s="4">
        <v>44174</v>
      </c>
      <c r="C958" s="3" t="s">
        <v>1369</v>
      </c>
      <c r="D958" s="3" t="s">
        <v>1370</v>
      </c>
      <c r="E958" s="3">
        <v>3253</v>
      </c>
      <c r="F958" s="3">
        <v>27567</v>
      </c>
      <c r="G958" s="3" t="s">
        <v>30</v>
      </c>
      <c r="H958" s="3">
        <v>0</v>
      </c>
      <c r="I958" s="3">
        <v>0</v>
      </c>
      <c r="J958" s="5">
        <v>4400</v>
      </c>
      <c r="K958" s="3">
        <v>0</v>
      </c>
      <c r="L958" s="3">
        <v>0</v>
      </c>
      <c r="M958" s="3">
        <v>0</v>
      </c>
      <c r="N958" s="5">
        <v>4400</v>
      </c>
      <c r="O958" s="3">
        <v>0</v>
      </c>
      <c r="P958" s="3">
        <v>0</v>
      </c>
      <c r="Q958" s="5">
        <v>4900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300</v>
      </c>
      <c r="AA958" s="5">
        <v>14000</v>
      </c>
      <c r="AB958" s="6">
        <v>28000</v>
      </c>
      <c r="AC958" s="2" t="str">
        <f>VLOOKUP(E958,'[1]Detailed Transfer Report (12)'!$K:$Y,13,FALSE)</f>
        <v>qazi ijaz hussain</v>
      </c>
      <c r="AD958" s="2" t="str">
        <f>VLOOKUP(E958,'[1]Detailed Transfer Report (12)'!$K:$Y,14,FALSE)</f>
        <v>Sardar Yasir Ilyas</v>
      </c>
      <c r="AE958" s="16">
        <f>VLOOKUP(E958,'[1]Detailed Transfer Report (12)'!$K:$Y,15,FALSE)</f>
        <v>44195</v>
      </c>
    </row>
    <row r="959" spans="1:31" x14ac:dyDescent="0.25">
      <c r="A959" s="9">
        <v>540</v>
      </c>
      <c r="B959" s="4">
        <v>44174</v>
      </c>
      <c r="C959" s="3" t="s">
        <v>855</v>
      </c>
      <c r="D959" s="3" t="s">
        <v>1371</v>
      </c>
      <c r="E959" s="3">
        <v>3530</v>
      </c>
      <c r="F959" s="3">
        <v>1940</v>
      </c>
      <c r="G959" s="3" t="s">
        <v>30</v>
      </c>
      <c r="H959" s="3">
        <v>0</v>
      </c>
      <c r="I959" s="3">
        <v>0</v>
      </c>
      <c r="J959" s="5">
        <v>1840</v>
      </c>
      <c r="K959" s="3">
        <v>0</v>
      </c>
      <c r="L959" s="3">
        <v>0</v>
      </c>
      <c r="M959" s="3">
        <v>0</v>
      </c>
      <c r="N959" s="5">
        <v>1840</v>
      </c>
      <c r="O959" s="3">
        <v>0</v>
      </c>
      <c r="P959" s="3">
        <v>0</v>
      </c>
      <c r="Q959" s="5">
        <v>2340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300</v>
      </c>
      <c r="AA959" s="5">
        <v>14000</v>
      </c>
      <c r="AB959" s="6">
        <v>48320</v>
      </c>
      <c r="AC959" s="2" t="str">
        <f>VLOOKUP(E959,'[1]Detailed Transfer Report (12)'!$K:$Y,13,FALSE)</f>
        <v>Asad mehmood</v>
      </c>
      <c r="AD959" s="2" t="str">
        <f>VLOOKUP(E959,'[1]Detailed Transfer Report (12)'!$K:$Y,14,FALSE)</f>
        <v>Sardar Yasir Ilyas</v>
      </c>
      <c r="AE959" s="16">
        <f>VLOOKUP(E959,'[1]Detailed Transfer Report (12)'!$K:$Y,15,FALSE)</f>
        <v>44214</v>
      </c>
    </row>
    <row r="960" spans="1:31" x14ac:dyDescent="0.25">
      <c r="A960" s="10">
        <v>540</v>
      </c>
      <c r="B960" s="4">
        <v>44174</v>
      </c>
      <c r="C960" s="3" t="s">
        <v>995</v>
      </c>
      <c r="D960" s="3" t="s">
        <v>1372</v>
      </c>
      <c r="E960" s="3">
        <v>3251</v>
      </c>
      <c r="F960" s="3">
        <v>27224</v>
      </c>
      <c r="G960" s="3" t="s">
        <v>30</v>
      </c>
      <c r="H960" s="3">
        <v>0</v>
      </c>
      <c r="I960" s="3">
        <v>0</v>
      </c>
      <c r="J960" s="5">
        <v>4950</v>
      </c>
      <c r="K960" s="3">
        <v>0</v>
      </c>
      <c r="L960" s="3">
        <v>0</v>
      </c>
      <c r="M960" s="3">
        <v>0</v>
      </c>
      <c r="N960" s="5">
        <v>4950</v>
      </c>
      <c r="O960" s="3">
        <v>0</v>
      </c>
      <c r="P960" s="3">
        <v>0</v>
      </c>
      <c r="Q960" s="5">
        <v>5450</v>
      </c>
      <c r="R960" s="5">
        <v>9900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300</v>
      </c>
      <c r="AA960" s="5">
        <v>14000</v>
      </c>
      <c r="AB960" s="6">
        <v>87870</v>
      </c>
      <c r="AC960" s="2" t="str">
        <f>VLOOKUP(E960,'[1]Detailed Transfer Report (12)'!$K:$Y,13,FALSE)</f>
        <v>Qazi mazhar hussain</v>
      </c>
      <c r="AD960" s="2" t="str">
        <f>VLOOKUP(E960,'[1]Detailed Transfer Report (12)'!$K:$Y,14,FALSE)</f>
        <v>Sardar Yasir Ilyas</v>
      </c>
      <c r="AE960" s="16">
        <f>VLOOKUP(E960,'[1]Detailed Transfer Report (12)'!$K:$Y,15,FALSE)</f>
        <v>44194</v>
      </c>
    </row>
    <row r="961" spans="1:31" x14ac:dyDescent="0.25">
      <c r="A961" s="3">
        <v>541</v>
      </c>
      <c r="B961" s="4">
        <v>44174</v>
      </c>
      <c r="C961" s="3" t="s">
        <v>723</v>
      </c>
      <c r="D961" s="3" t="s">
        <v>1373</v>
      </c>
      <c r="E961" s="3">
        <v>1349</v>
      </c>
      <c r="F961" s="3">
        <v>48</v>
      </c>
      <c r="G961" s="3" t="s">
        <v>30</v>
      </c>
      <c r="H961" s="3">
        <v>0</v>
      </c>
      <c r="I961" s="3">
        <v>0</v>
      </c>
      <c r="J961" s="5">
        <v>6400</v>
      </c>
      <c r="K961" s="3">
        <v>0</v>
      </c>
      <c r="L961" s="3">
        <v>0</v>
      </c>
      <c r="M961" s="3">
        <v>0</v>
      </c>
      <c r="N961" s="5">
        <v>6400</v>
      </c>
      <c r="O961" s="3">
        <v>0</v>
      </c>
      <c r="P961" s="3">
        <v>0</v>
      </c>
      <c r="Q961" s="5">
        <v>25600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5">
        <v>15000</v>
      </c>
      <c r="AB961" s="6">
        <v>53400</v>
      </c>
      <c r="AD961" s="2" t="str">
        <f>VLOOKUP(E961,'[1]Detailed Transfer Report (12)'!$K:$Y,14,FALSE)</f>
        <v>Sardar Tanveer Ilyas</v>
      </c>
      <c r="AE961" s="16"/>
    </row>
    <row r="962" spans="1:31" x14ac:dyDescent="0.25">
      <c r="A962" s="3">
        <v>542</v>
      </c>
      <c r="B962" s="4">
        <v>44174</v>
      </c>
      <c r="C962" s="3" t="s">
        <v>153</v>
      </c>
      <c r="D962" s="3" t="s">
        <v>1374</v>
      </c>
      <c r="E962" s="3"/>
      <c r="F962" s="3"/>
      <c r="G962" s="3" t="s">
        <v>30</v>
      </c>
      <c r="H962" s="3">
        <v>0</v>
      </c>
      <c r="I962" s="3">
        <v>0</v>
      </c>
      <c r="J962" s="5">
        <v>11000</v>
      </c>
      <c r="K962" s="3">
        <v>0</v>
      </c>
      <c r="L962" s="5">
        <v>600000</v>
      </c>
      <c r="M962" s="3">
        <v>0</v>
      </c>
      <c r="N962" s="5">
        <v>11000</v>
      </c>
      <c r="O962" s="3">
        <v>0</v>
      </c>
      <c r="P962" s="3">
        <v>0</v>
      </c>
      <c r="Q962" s="5">
        <v>12000</v>
      </c>
      <c r="R962" s="3">
        <v>0</v>
      </c>
      <c r="S962" s="3">
        <v>0</v>
      </c>
      <c r="T962" s="3">
        <v>0</v>
      </c>
      <c r="U962" s="3">
        <v>0</v>
      </c>
      <c r="V962" s="5">
        <v>2000</v>
      </c>
      <c r="W962" s="3">
        <v>0</v>
      </c>
      <c r="X962" s="3">
        <v>0</v>
      </c>
      <c r="Y962" s="3">
        <v>0</v>
      </c>
      <c r="Z962" s="3">
        <v>300</v>
      </c>
      <c r="AA962" s="5">
        <v>16000</v>
      </c>
      <c r="AB962" s="6">
        <v>652300</v>
      </c>
      <c r="AE962" s="16"/>
    </row>
    <row r="963" spans="1:31" x14ac:dyDescent="0.25">
      <c r="A963" s="3">
        <v>543</v>
      </c>
      <c r="B963" s="4">
        <v>44223</v>
      </c>
      <c r="C963" s="3" t="s">
        <v>116</v>
      </c>
      <c r="D963" s="3" t="s">
        <v>1375</v>
      </c>
      <c r="E963" s="3">
        <v>3427</v>
      </c>
      <c r="F963" s="3">
        <v>4771</v>
      </c>
      <c r="G963" s="3" t="s">
        <v>30</v>
      </c>
      <c r="H963" s="3">
        <v>0</v>
      </c>
      <c r="I963" s="3">
        <v>0</v>
      </c>
      <c r="J963" s="5">
        <v>18700</v>
      </c>
      <c r="K963" s="3">
        <v>0</v>
      </c>
      <c r="L963" s="3">
        <v>0</v>
      </c>
      <c r="M963" s="3">
        <v>0</v>
      </c>
      <c r="N963" s="5">
        <v>18700</v>
      </c>
      <c r="O963" s="3">
        <v>0</v>
      </c>
      <c r="P963" s="3">
        <v>0</v>
      </c>
      <c r="Q963" s="5">
        <v>19700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300</v>
      </c>
      <c r="AA963" s="5">
        <v>16000</v>
      </c>
      <c r="AB963" s="6">
        <v>73400</v>
      </c>
      <c r="AC963" s="2" t="str">
        <f>VLOOKUP(E963,'[1]Detailed Transfer Report (12)'!$K:$Y,13,FALSE)</f>
        <v>Mst naveed kausar</v>
      </c>
      <c r="AD963" s="2" t="str">
        <f>VLOOKUP(E963,'[1]Detailed Transfer Report (12)'!$K:$Y,14,FALSE)</f>
        <v>Sardar Yasir Ilyas</v>
      </c>
      <c r="AE963" s="16">
        <f>VLOOKUP(E963,'[1]Detailed Transfer Report (12)'!$K:$Y,15,FALSE)</f>
        <v>44233</v>
      </c>
    </row>
    <row r="964" spans="1:31" x14ac:dyDescent="0.25">
      <c r="A964" s="3">
        <v>544</v>
      </c>
      <c r="B964" s="4">
        <v>44033</v>
      </c>
      <c r="C964" s="3" t="s">
        <v>1376</v>
      </c>
      <c r="D964" s="3" t="s">
        <v>1377</v>
      </c>
      <c r="E964" s="3">
        <v>3838</v>
      </c>
      <c r="F964" s="3">
        <v>1079</v>
      </c>
      <c r="G964" s="3" t="s">
        <v>1179</v>
      </c>
      <c r="H964" s="3">
        <v>0</v>
      </c>
      <c r="I964" s="3">
        <v>0</v>
      </c>
      <c r="J964" s="5">
        <v>115000</v>
      </c>
      <c r="K964" s="3">
        <v>0</v>
      </c>
      <c r="L964" s="3">
        <v>0</v>
      </c>
      <c r="M964" s="3">
        <v>0</v>
      </c>
      <c r="N964" s="5">
        <v>115000</v>
      </c>
      <c r="O964" s="3">
        <v>0</v>
      </c>
      <c r="P964" s="3">
        <v>0</v>
      </c>
      <c r="Q964" s="5">
        <v>116000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300</v>
      </c>
      <c r="AA964" s="5">
        <v>105000</v>
      </c>
      <c r="AB964" s="6">
        <v>451300</v>
      </c>
      <c r="AC964" s="2" t="str">
        <f>VLOOKUP(E964,'[1]Detailed Transfer Report (12)'!$K:$Y,13,FALSE)</f>
        <v>Ahmed waheed akhtar</v>
      </c>
      <c r="AD964" s="2" t="str">
        <f>VLOOKUP(E964,'[1]Detailed Transfer Report (12)'!$K:$Y,14,FALSE)</f>
        <v>Sardar Yasir Ilyas</v>
      </c>
      <c r="AE964" s="16">
        <f>VLOOKUP(E964,'[1]Detailed Transfer Report (12)'!$K:$Y,15,FALSE)</f>
        <v>44207</v>
      </c>
    </row>
    <row r="965" spans="1:31" x14ac:dyDescent="0.25">
      <c r="A965" s="7">
        <v>545</v>
      </c>
      <c r="B965" s="4">
        <v>44214</v>
      </c>
      <c r="C965" s="3" t="s">
        <v>313</v>
      </c>
      <c r="D965" s="3" t="s">
        <v>1378</v>
      </c>
      <c r="E965" s="3">
        <v>3442</v>
      </c>
      <c r="F965" s="3">
        <v>3484</v>
      </c>
      <c r="G965" s="3" t="s">
        <v>30</v>
      </c>
      <c r="H965" s="3">
        <v>0</v>
      </c>
      <c r="I965" s="3">
        <v>0</v>
      </c>
      <c r="J965" s="5">
        <v>7700</v>
      </c>
      <c r="K965" s="3">
        <v>0</v>
      </c>
      <c r="L965" s="3">
        <v>0</v>
      </c>
      <c r="M965" s="3">
        <v>0</v>
      </c>
      <c r="N965" s="5">
        <v>7700</v>
      </c>
      <c r="O965" s="3">
        <v>0</v>
      </c>
      <c r="P965" s="3">
        <v>0</v>
      </c>
      <c r="Q965" s="5">
        <v>8700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300</v>
      </c>
      <c r="AA965" s="5">
        <v>14000</v>
      </c>
      <c r="AB965" s="6">
        <v>38400</v>
      </c>
      <c r="AC965" s="2" t="str">
        <f>VLOOKUP(E965,'[1]Detailed Transfer Report (12)'!$K:$Y,13,FALSE)</f>
        <v>Azhar Mehmood</v>
      </c>
      <c r="AD965" s="2" t="str">
        <f>VLOOKUP(E965,'[1]Detailed Transfer Report (12)'!$K:$Y,14,FALSE)</f>
        <v>Sardar Yasir Ilyas</v>
      </c>
      <c r="AE965" s="16">
        <f>VLOOKUP(E965,'[1]Detailed Transfer Report (12)'!$K:$Y,15,FALSE)</f>
        <v>44223</v>
      </c>
    </row>
    <row r="966" spans="1:31" x14ac:dyDescent="0.25">
      <c r="A966" s="9">
        <v>545</v>
      </c>
      <c r="B966" s="4">
        <v>44214</v>
      </c>
      <c r="C966" s="3" t="s">
        <v>153</v>
      </c>
      <c r="D966" s="3" t="s">
        <v>1379</v>
      </c>
      <c r="E966" s="3">
        <v>3437</v>
      </c>
      <c r="F966" s="3">
        <v>3482</v>
      </c>
      <c r="G966" s="3" t="s">
        <v>30</v>
      </c>
      <c r="H966" s="3">
        <v>0</v>
      </c>
      <c r="I966" s="3">
        <v>0</v>
      </c>
      <c r="J966" s="5">
        <v>2750</v>
      </c>
      <c r="K966" s="3">
        <v>0</v>
      </c>
      <c r="L966" s="3">
        <v>0</v>
      </c>
      <c r="M966" s="3">
        <v>0</v>
      </c>
      <c r="N966" s="5">
        <v>2750</v>
      </c>
      <c r="O966" s="3">
        <v>0</v>
      </c>
      <c r="P966" s="3">
        <v>0</v>
      </c>
      <c r="Q966" s="5">
        <v>3250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300</v>
      </c>
      <c r="AA966" s="5">
        <v>14000</v>
      </c>
      <c r="AB966" s="6">
        <v>61450</v>
      </c>
      <c r="AC966" s="2" t="str">
        <f>VLOOKUP(E966,'[1]Detailed Transfer Report (12)'!$K:$Y,13,FALSE)</f>
        <v>Mazhar Hussain</v>
      </c>
      <c r="AD966" s="2" t="str">
        <f>VLOOKUP(E966,'[1]Detailed Transfer Report (12)'!$K:$Y,14,FALSE)</f>
        <v>Sardar Yasir Ilyas</v>
      </c>
      <c r="AE966" s="16">
        <f>VLOOKUP(E966,'[1]Detailed Transfer Report (12)'!$K:$Y,15,FALSE)</f>
        <v>44223</v>
      </c>
    </row>
    <row r="967" spans="1:31" x14ac:dyDescent="0.25">
      <c r="A967" s="9">
        <v>545</v>
      </c>
      <c r="B967" s="4">
        <v>44214</v>
      </c>
      <c r="C967" s="3" t="s">
        <v>1380</v>
      </c>
      <c r="D967" s="3" t="s">
        <v>1381</v>
      </c>
      <c r="E967" s="3">
        <v>3449</v>
      </c>
      <c r="F967" s="3">
        <v>3486</v>
      </c>
      <c r="G967" s="3" t="s">
        <v>30</v>
      </c>
      <c r="H967" s="3">
        <v>0</v>
      </c>
      <c r="I967" s="3">
        <v>0</v>
      </c>
      <c r="J967" s="5">
        <v>1930</v>
      </c>
      <c r="K967" s="3">
        <v>0</v>
      </c>
      <c r="L967" s="3">
        <v>0</v>
      </c>
      <c r="M967" s="3">
        <v>0</v>
      </c>
      <c r="N967" s="5">
        <v>1930</v>
      </c>
      <c r="O967" s="3">
        <v>0</v>
      </c>
      <c r="P967" s="3">
        <v>0</v>
      </c>
      <c r="Q967" s="5">
        <v>2430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300</v>
      </c>
      <c r="AA967" s="5">
        <v>14000</v>
      </c>
      <c r="AB967" s="6">
        <v>82040</v>
      </c>
      <c r="AC967" s="2" t="str">
        <f>VLOOKUP(E967,'[1]Detailed Transfer Report (12)'!$K:$Y,13,FALSE)</f>
        <v>M bashir</v>
      </c>
      <c r="AD967" s="2" t="str">
        <f>VLOOKUP(E967,'[1]Detailed Transfer Report (12)'!$K:$Y,14,FALSE)</f>
        <v>Sardar Yasir Ilyas</v>
      </c>
      <c r="AE967" s="16">
        <f>VLOOKUP(E967,'[1]Detailed Transfer Report (12)'!$K:$Y,15,FALSE)</f>
        <v>44223</v>
      </c>
    </row>
    <row r="968" spans="1:31" x14ac:dyDescent="0.25">
      <c r="A968" s="9">
        <v>545</v>
      </c>
      <c r="B968" s="4">
        <v>44214</v>
      </c>
      <c r="C968" s="3" t="s">
        <v>581</v>
      </c>
      <c r="D968" s="3" t="s">
        <v>1382</v>
      </c>
      <c r="E968" s="3">
        <v>3447</v>
      </c>
      <c r="F968" s="3">
        <v>3485</v>
      </c>
      <c r="G968" s="3" t="s">
        <v>30</v>
      </c>
      <c r="H968" s="3">
        <v>0</v>
      </c>
      <c r="I968" s="3">
        <v>0</v>
      </c>
      <c r="J968" s="5">
        <v>6600</v>
      </c>
      <c r="K968" s="3">
        <v>0</v>
      </c>
      <c r="L968" s="3">
        <v>0</v>
      </c>
      <c r="M968" s="3">
        <v>0</v>
      </c>
      <c r="N968" s="5">
        <v>6600</v>
      </c>
      <c r="O968" s="3">
        <v>0</v>
      </c>
      <c r="P968" s="3">
        <v>0</v>
      </c>
      <c r="Q968" s="5">
        <v>7600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300</v>
      </c>
      <c r="AA968" s="5">
        <v>14000</v>
      </c>
      <c r="AB968" s="6">
        <v>117140</v>
      </c>
      <c r="AC968" s="2" t="str">
        <f>VLOOKUP(E968,'[1]Detailed Transfer Report (12)'!$K:$Y,13,FALSE)</f>
        <v>Azhar Mehmood</v>
      </c>
      <c r="AD968" s="2" t="str">
        <f>VLOOKUP(E968,'[1]Detailed Transfer Report (12)'!$K:$Y,14,FALSE)</f>
        <v>Sardar Yasir Ilyas</v>
      </c>
      <c r="AE968" s="16">
        <f>VLOOKUP(E968,'[1]Detailed Transfer Report (12)'!$K:$Y,15,FALSE)</f>
        <v>44223</v>
      </c>
    </row>
    <row r="969" spans="1:31" x14ac:dyDescent="0.25">
      <c r="A969" s="9">
        <v>545</v>
      </c>
      <c r="B969" s="4">
        <v>44214</v>
      </c>
      <c r="C969" s="3" t="s">
        <v>153</v>
      </c>
      <c r="D969" s="3" t="s">
        <v>1383</v>
      </c>
      <c r="E969" s="3">
        <v>3436</v>
      </c>
      <c r="F969" s="3">
        <v>3481</v>
      </c>
      <c r="G969" s="3" t="s">
        <v>30</v>
      </c>
      <c r="H969" s="3">
        <v>0</v>
      </c>
      <c r="I969" s="3">
        <v>0</v>
      </c>
      <c r="J969" s="5">
        <v>2750</v>
      </c>
      <c r="K969" s="3">
        <v>0</v>
      </c>
      <c r="L969" s="3">
        <v>0</v>
      </c>
      <c r="M969" s="3">
        <v>0</v>
      </c>
      <c r="N969" s="5">
        <v>2750</v>
      </c>
      <c r="O969" s="3">
        <v>0</v>
      </c>
      <c r="P969" s="3">
        <v>0</v>
      </c>
      <c r="Q969" s="5">
        <v>3250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300</v>
      </c>
      <c r="AA969" s="5">
        <v>14000</v>
      </c>
      <c r="AB969" s="6">
        <v>140190</v>
      </c>
      <c r="AC969" s="2" t="str">
        <f>VLOOKUP(E969,'[1]Detailed Transfer Report (12)'!$K:$Y,13,FALSE)</f>
        <v>Mazhar Hussain</v>
      </c>
      <c r="AD969" s="2" t="str">
        <f>VLOOKUP(E969,'[1]Detailed Transfer Report (12)'!$K:$Y,14,FALSE)</f>
        <v>Sardar Yasir Ilyas</v>
      </c>
      <c r="AE969" s="16">
        <f>VLOOKUP(E969,'[1]Detailed Transfer Report (12)'!$K:$Y,15,FALSE)</f>
        <v>44223</v>
      </c>
    </row>
    <row r="970" spans="1:31" x14ac:dyDescent="0.25">
      <c r="A970" s="9">
        <v>545</v>
      </c>
      <c r="B970" s="4">
        <v>44214</v>
      </c>
      <c r="C970" s="3" t="s">
        <v>1384</v>
      </c>
      <c r="D970" s="3" t="s">
        <v>1385</v>
      </c>
      <c r="E970" s="3">
        <v>4602</v>
      </c>
      <c r="F970" s="3">
        <v>3483</v>
      </c>
      <c r="G970" s="3" t="s">
        <v>30</v>
      </c>
      <c r="H970" s="3">
        <v>0</v>
      </c>
      <c r="I970" s="3">
        <v>0</v>
      </c>
      <c r="J970" s="5">
        <v>16750</v>
      </c>
      <c r="K970" s="3">
        <v>0</v>
      </c>
      <c r="L970" s="3">
        <v>0</v>
      </c>
      <c r="M970" s="3">
        <v>0</v>
      </c>
      <c r="N970" s="5">
        <v>16750</v>
      </c>
      <c r="O970" s="3">
        <v>0</v>
      </c>
      <c r="P970" s="3">
        <v>0</v>
      </c>
      <c r="Q970" s="5">
        <v>17750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300</v>
      </c>
      <c r="AA970" s="5">
        <v>16000</v>
      </c>
      <c r="AB970" s="6">
        <v>207740</v>
      </c>
      <c r="AC970" s="2" t="str">
        <f>VLOOKUP(E970,'[1]Detailed Transfer Report (12)'!$K:$Y,13,FALSE)</f>
        <v>Mazhar Hussain</v>
      </c>
      <c r="AD970" s="2" t="str">
        <f>VLOOKUP(E970,'[1]Detailed Transfer Report (12)'!$K:$Y,14,FALSE)</f>
        <v>Sardar Yasir Ilyas</v>
      </c>
      <c r="AE970" s="16">
        <f>VLOOKUP(E970,'[1]Detailed Transfer Report (12)'!$K:$Y,15,FALSE)</f>
        <v>44223</v>
      </c>
    </row>
    <row r="971" spans="1:31" x14ac:dyDescent="0.25">
      <c r="A971" s="10">
        <v>545</v>
      </c>
      <c r="B971" s="4">
        <v>44214</v>
      </c>
      <c r="C971" s="3" t="s">
        <v>1386</v>
      </c>
      <c r="D971" s="3" t="s">
        <v>1387</v>
      </c>
      <c r="E971" s="3">
        <v>2301</v>
      </c>
      <c r="F971" s="3"/>
      <c r="G971" s="3" t="s">
        <v>30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6">
        <v>207740</v>
      </c>
      <c r="AD971" s="2" t="str">
        <f>VLOOKUP(E971,'[1]Detailed Transfer Report (12)'!$K:$Y,14,FALSE)</f>
        <v>Sardar Tanveer Ilyas</v>
      </c>
      <c r="AE971" s="16"/>
    </row>
    <row r="972" spans="1:31" x14ac:dyDescent="0.25">
      <c r="A972" s="3">
        <v>546</v>
      </c>
      <c r="B972" s="4">
        <v>44223</v>
      </c>
      <c r="C972" s="3" t="s">
        <v>44</v>
      </c>
      <c r="D972" s="3" t="s">
        <v>1388</v>
      </c>
      <c r="E972" s="3">
        <v>3443</v>
      </c>
      <c r="F972" s="3">
        <v>5285</v>
      </c>
      <c r="G972" s="3" t="s">
        <v>30</v>
      </c>
      <c r="H972" s="3">
        <v>0</v>
      </c>
      <c r="I972" s="3">
        <v>0</v>
      </c>
      <c r="J972" s="5">
        <v>11000</v>
      </c>
      <c r="K972" s="3">
        <v>0</v>
      </c>
      <c r="L972" s="3">
        <v>0</v>
      </c>
      <c r="M972" s="3">
        <v>0</v>
      </c>
      <c r="N972" s="5">
        <v>11000</v>
      </c>
      <c r="O972" s="3">
        <v>0</v>
      </c>
      <c r="P972" s="3">
        <v>0</v>
      </c>
      <c r="Q972" s="5">
        <v>12000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300</v>
      </c>
      <c r="AA972" s="5">
        <v>16000</v>
      </c>
      <c r="AB972" s="6">
        <v>50300</v>
      </c>
      <c r="AC972" s="2" t="str">
        <f>VLOOKUP(E972,'[1]Detailed Transfer Report (12)'!$K:$Y,13,FALSE)</f>
        <v>Azam Elahi</v>
      </c>
      <c r="AD972" s="2" t="str">
        <f>VLOOKUP(E972,'[1]Detailed Transfer Report (12)'!$K:$Y,14,FALSE)</f>
        <v>Sardar Yasir Ilyas</v>
      </c>
      <c r="AE972" s="16">
        <f>VLOOKUP(E972,'[1]Detailed Transfer Report (12)'!$K:$Y,15,FALSE)</f>
        <v>44237</v>
      </c>
    </row>
    <row r="973" spans="1:31" x14ac:dyDescent="0.25">
      <c r="A973" s="3">
        <v>547</v>
      </c>
      <c r="B973" s="4">
        <v>44223</v>
      </c>
      <c r="C973" s="3" t="s">
        <v>137</v>
      </c>
      <c r="D973" s="3" t="s">
        <v>1389</v>
      </c>
      <c r="E973" s="3">
        <v>4744</v>
      </c>
      <c r="F973" s="3">
        <v>4401</v>
      </c>
      <c r="G973" s="3" t="s">
        <v>756</v>
      </c>
      <c r="H973" s="3">
        <v>0</v>
      </c>
      <c r="I973" s="3">
        <v>0</v>
      </c>
      <c r="J973" s="5">
        <v>6600</v>
      </c>
      <c r="K973" s="3">
        <v>0</v>
      </c>
      <c r="L973" s="3">
        <v>0</v>
      </c>
      <c r="M973" s="3">
        <v>0</v>
      </c>
      <c r="N973" s="5">
        <v>6600</v>
      </c>
      <c r="O973" s="3">
        <v>0</v>
      </c>
      <c r="P973" s="3">
        <v>0</v>
      </c>
      <c r="Q973" s="5">
        <v>7600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300</v>
      </c>
      <c r="X973" s="3">
        <v>0</v>
      </c>
      <c r="Y973" s="3">
        <v>0</v>
      </c>
      <c r="Z973" s="3">
        <v>0</v>
      </c>
      <c r="AA973" s="5">
        <v>14000</v>
      </c>
      <c r="AB973" s="6">
        <v>35100</v>
      </c>
      <c r="AC973" s="2" t="str">
        <f>VLOOKUP(E973,'[1]Detailed Transfer Report (12)'!$K:$Y,13,FALSE)</f>
        <v>Sikandar ali</v>
      </c>
      <c r="AD973" s="2" t="str">
        <f>VLOOKUP(E973,'[1]Detailed Transfer Report (12)'!$K:$Y,14,FALSE)</f>
        <v>Sardar Yasir Ilyas</v>
      </c>
      <c r="AE973" s="16">
        <f>VLOOKUP(E973,'[1]Detailed Transfer Report (12)'!$K:$Y,15,FALSE)</f>
        <v>44230</v>
      </c>
    </row>
    <row r="974" spans="1:31" x14ac:dyDescent="0.25">
      <c r="A974" s="3">
        <v>548</v>
      </c>
      <c r="B974" s="4">
        <v>44246</v>
      </c>
      <c r="C974" s="3" t="s">
        <v>536</v>
      </c>
      <c r="D974" s="3" t="s">
        <v>1390</v>
      </c>
      <c r="E974" s="3">
        <v>1875</v>
      </c>
      <c r="F974" s="3">
        <v>1707</v>
      </c>
      <c r="G974" s="3" t="s">
        <v>30</v>
      </c>
      <c r="H974" s="3">
        <v>0</v>
      </c>
      <c r="I974" s="3">
        <v>0</v>
      </c>
      <c r="J974" s="5">
        <v>4000</v>
      </c>
      <c r="K974" s="3">
        <v>0</v>
      </c>
      <c r="L974" s="3">
        <v>0</v>
      </c>
      <c r="M974" s="3">
        <v>0</v>
      </c>
      <c r="N974" s="5">
        <v>4000</v>
      </c>
      <c r="O974" s="3">
        <v>0</v>
      </c>
      <c r="P974" s="3">
        <v>0</v>
      </c>
      <c r="Q974" s="5">
        <v>16000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5">
        <v>15000</v>
      </c>
      <c r="AB974" s="6">
        <v>39000</v>
      </c>
      <c r="AC974" s="2" t="str">
        <f>VLOOKUP(E974,'[1]Detailed Transfer Report (12)'!$K:$Y,13,FALSE)</f>
        <v>Musarrat</v>
      </c>
      <c r="AD974" s="2" t="str">
        <f>VLOOKUP(E974,'[1]Detailed Transfer Report (12)'!$K:$Y,14,FALSE)</f>
        <v>Sardar Yasir Ilyas</v>
      </c>
      <c r="AE974" s="16">
        <f>VLOOKUP(E974,'[1]Detailed Transfer Report (12)'!$K:$Y,15,FALSE)</f>
        <v>44270</v>
      </c>
    </row>
    <row r="975" spans="1:31" x14ac:dyDescent="0.25">
      <c r="A975" s="7">
        <v>549</v>
      </c>
      <c r="B975" s="4">
        <v>44223</v>
      </c>
      <c r="C975" s="3" t="s">
        <v>153</v>
      </c>
      <c r="D975" s="3" t="s">
        <v>1391</v>
      </c>
      <c r="E975" s="3">
        <v>3856</v>
      </c>
      <c r="F975" s="3">
        <v>10435</v>
      </c>
      <c r="G975" s="3" t="s">
        <v>1179</v>
      </c>
      <c r="H975" s="3">
        <v>0</v>
      </c>
      <c r="I975" s="3">
        <v>0</v>
      </c>
      <c r="J975" s="5">
        <v>5120</v>
      </c>
      <c r="K975" s="3">
        <v>0</v>
      </c>
      <c r="L975" s="3">
        <v>0</v>
      </c>
      <c r="M975" s="3">
        <v>0</v>
      </c>
      <c r="N975" s="5">
        <v>5120</v>
      </c>
      <c r="O975" s="3">
        <v>0</v>
      </c>
      <c r="P975" s="3">
        <v>0</v>
      </c>
      <c r="Q975" s="5">
        <v>6120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300</v>
      </c>
      <c r="AA975" s="5">
        <v>14000</v>
      </c>
      <c r="AB975" s="6">
        <v>30660</v>
      </c>
      <c r="AC975" s="2" t="str">
        <f>VLOOKUP(E975,'[1]Detailed Transfer Report (12)'!$K:$Y,13,FALSE)</f>
        <v>tahir mehmood</v>
      </c>
      <c r="AD975" s="2" t="str">
        <f>VLOOKUP(E975,'[1]Detailed Transfer Report (12)'!$K:$Y,14,FALSE)</f>
        <v>Sardar Yasir Ilyas</v>
      </c>
      <c r="AE975" s="16">
        <f>VLOOKUP(E975,'[1]Detailed Transfer Report (12)'!$K:$Y,15,FALSE)</f>
        <v>44271</v>
      </c>
    </row>
    <row r="976" spans="1:31" x14ac:dyDescent="0.25">
      <c r="A976" s="10">
        <v>549</v>
      </c>
      <c r="B976" s="4">
        <v>44223</v>
      </c>
      <c r="C976" s="3" t="s">
        <v>153</v>
      </c>
      <c r="D976" s="3" t="s">
        <v>1392</v>
      </c>
      <c r="E976" s="3">
        <v>3864</v>
      </c>
      <c r="F976" s="3">
        <v>10436</v>
      </c>
      <c r="G976" s="3" t="s">
        <v>1179</v>
      </c>
      <c r="H976" s="3">
        <v>0</v>
      </c>
      <c r="I976" s="3">
        <v>0</v>
      </c>
      <c r="J976" s="5">
        <v>5120</v>
      </c>
      <c r="K976" s="3">
        <v>0</v>
      </c>
      <c r="L976" s="3">
        <v>0</v>
      </c>
      <c r="M976" s="3">
        <v>0</v>
      </c>
      <c r="N976" s="5">
        <v>5120</v>
      </c>
      <c r="O976" s="3">
        <v>0</v>
      </c>
      <c r="P976" s="3">
        <v>0</v>
      </c>
      <c r="Q976" s="5">
        <v>6120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300</v>
      </c>
      <c r="AA976" s="5">
        <v>14000</v>
      </c>
      <c r="AB976" s="6">
        <v>61320</v>
      </c>
      <c r="AC976" s="2" t="str">
        <f>VLOOKUP(E976,'[1]Detailed Transfer Report (12)'!$K:$Y,13,FALSE)</f>
        <v>tahir mehmood</v>
      </c>
      <c r="AD976" s="2" t="str">
        <f>VLOOKUP(E976,'[1]Detailed Transfer Report (12)'!$K:$Y,14,FALSE)</f>
        <v>Sardar Yasir Ilyas</v>
      </c>
      <c r="AE976" s="16">
        <f>VLOOKUP(E976,'[1]Detailed Transfer Report (12)'!$K:$Y,15,FALSE)</f>
        <v>44271</v>
      </c>
    </row>
    <row r="977" spans="1:31" x14ac:dyDescent="0.25">
      <c r="A977" s="3">
        <v>550</v>
      </c>
      <c r="B977" s="4">
        <v>44236</v>
      </c>
      <c r="C977" s="3" t="s">
        <v>46</v>
      </c>
      <c r="D977" s="3" t="s">
        <v>1393</v>
      </c>
      <c r="E977" s="3">
        <v>3575</v>
      </c>
      <c r="F977" s="3">
        <v>5572</v>
      </c>
      <c r="G977" s="3" t="s">
        <v>1179</v>
      </c>
      <c r="H977" s="3">
        <v>0</v>
      </c>
      <c r="I977" s="3">
        <v>0</v>
      </c>
      <c r="J977" s="5">
        <v>41000</v>
      </c>
      <c r="K977" s="3">
        <v>0</v>
      </c>
      <c r="L977" s="3">
        <v>0</v>
      </c>
      <c r="M977" s="3">
        <v>0</v>
      </c>
      <c r="N977" s="5">
        <v>41000</v>
      </c>
      <c r="O977" s="3">
        <v>0</v>
      </c>
      <c r="P977" s="3">
        <v>0</v>
      </c>
      <c r="Q977" s="5">
        <v>42000</v>
      </c>
      <c r="R977" s="3">
        <v>0</v>
      </c>
      <c r="S977" s="3">
        <v>0</v>
      </c>
      <c r="T977" s="3">
        <v>0</v>
      </c>
      <c r="U977" s="3">
        <v>0</v>
      </c>
      <c r="V977" s="5">
        <v>2000</v>
      </c>
      <c r="W977" s="3">
        <v>0</v>
      </c>
      <c r="X977" s="3">
        <v>0</v>
      </c>
      <c r="Y977" s="3">
        <v>0</v>
      </c>
      <c r="Z977" s="3">
        <v>300</v>
      </c>
      <c r="AA977" s="5">
        <v>16000</v>
      </c>
      <c r="AB977" s="6">
        <v>142300</v>
      </c>
      <c r="AC977" s="2" t="str">
        <f>VLOOKUP(E977,'[1]Detailed Transfer Report (12)'!$K:$Y,13,FALSE)</f>
        <v>Feroz Ud Din</v>
      </c>
      <c r="AD977" s="2" t="str">
        <f>VLOOKUP(E977,'[1]Detailed Transfer Report (12)'!$K:$Y,14,FALSE)</f>
        <v>Sardar Yasir Ilyas</v>
      </c>
      <c r="AE977" s="16">
        <f>VLOOKUP(E977,'[1]Detailed Transfer Report (12)'!$K:$Y,15,FALSE)</f>
        <v>44239</v>
      </c>
    </row>
    <row r="978" spans="1:31" x14ac:dyDescent="0.25">
      <c r="A978" s="3">
        <v>551</v>
      </c>
      <c r="B978" s="4">
        <v>44246</v>
      </c>
      <c r="C978" s="3" t="s">
        <v>1394</v>
      </c>
      <c r="D978" s="3" t="s">
        <v>1395</v>
      </c>
      <c r="E978" s="3">
        <v>3853</v>
      </c>
      <c r="F978" s="3">
        <v>9556</v>
      </c>
      <c r="G978" s="3" t="s">
        <v>1179</v>
      </c>
      <c r="H978" s="3">
        <v>0</v>
      </c>
      <c r="I978" s="3">
        <v>0</v>
      </c>
      <c r="J978" s="5">
        <v>75000</v>
      </c>
      <c r="K978" s="3">
        <v>0</v>
      </c>
      <c r="L978" s="3">
        <v>0</v>
      </c>
      <c r="M978" s="3">
        <v>0</v>
      </c>
      <c r="N978" s="5">
        <v>75000</v>
      </c>
      <c r="O978" s="3">
        <v>0</v>
      </c>
      <c r="P978" s="3">
        <v>0</v>
      </c>
      <c r="Q978" s="5">
        <v>76000</v>
      </c>
      <c r="R978" s="3">
        <v>0</v>
      </c>
      <c r="S978" s="3">
        <v>0</v>
      </c>
      <c r="T978" s="3">
        <v>0</v>
      </c>
      <c r="U978" s="3">
        <v>0</v>
      </c>
      <c r="V978" s="5">
        <v>2000</v>
      </c>
      <c r="W978" s="3">
        <v>0</v>
      </c>
      <c r="X978" s="3">
        <v>0</v>
      </c>
      <c r="Y978" s="3">
        <v>0</v>
      </c>
      <c r="Z978" s="3">
        <v>300</v>
      </c>
      <c r="AA978" s="5">
        <v>91000</v>
      </c>
      <c r="AB978" s="6">
        <v>319300</v>
      </c>
      <c r="AC978" s="2" t="str">
        <f>VLOOKUP(E978,'[1]Detailed Transfer Report (12)'!$K:$Y,13,FALSE)</f>
        <v>Raheela Bibi</v>
      </c>
      <c r="AD978" s="2" t="str">
        <f>VLOOKUP(E978,'[1]Detailed Transfer Report (12)'!$K:$Y,14,FALSE)</f>
        <v>Sardar Yasir Ilyas</v>
      </c>
      <c r="AE978" s="16">
        <f>VLOOKUP(E978,'[1]Detailed Transfer Report (12)'!$K:$Y,15,FALSE)</f>
        <v>44265</v>
      </c>
    </row>
    <row r="979" spans="1:31" x14ac:dyDescent="0.25">
      <c r="A979" s="7">
        <v>552</v>
      </c>
      <c r="B979" s="4">
        <v>44263</v>
      </c>
      <c r="C979" s="3" t="s">
        <v>1396</v>
      </c>
      <c r="D979" s="3" t="s">
        <v>1397</v>
      </c>
      <c r="E979" s="3">
        <v>3274</v>
      </c>
      <c r="F979" s="3">
        <v>36337</v>
      </c>
      <c r="G979" s="3" t="s">
        <v>30</v>
      </c>
      <c r="H979" s="3">
        <v>0</v>
      </c>
      <c r="I979" s="3">
        <v>0</v>
      </c>
      <c r="J979" s="3">
        <v>700</v>
      </c>
      <c r="K979" s="3">
        <v>0</v>
      </c>
      <c r="L979" s="3">
        <v>0</v>
      </c>
      <c r="M979" s="3">
        <v>0</v>
      </c>
      <c r="N979" s="3">
        <v>700</v>
      </c>
      <c r="O979" s="3">
        <v>0</v>
      </c>
      <c r="P979" s="3">
        <v>0</v>
      </c>
      <c r="Q979" s="5">
        <v>1200</v>
      </c>
      <c r="R979" s="3">
        <v>0</v>
      </c>
      <c r="S979" s="3">
        <v>0</v>
      </c>
      <c r="T979" s="3">
        <v>0</v>
      </c>
      <c r="U979" s="3">
        <v>0</v>
      </c>
      <c r="V979" s="5">
        <v>2000</v>
      </c>
      <c r="W979" s="3">
        <v>0</v>
      </c>
      <c r="X979" s="3">
        <v>0</v>
      </c>
      <c r="Y979" s="3">
        <v>0</v>
      </c>
      <c r="Z979" s="3">
        <v>300</v>
      </c>
      <c r="AA979" s="5">
        <v>14000</v>
      </c>
      <c r="AB979" s="6">
        <v>18900</v>
      </c>
      <c r="AC979" s="2" t="str">
        <f>VLOOKUP(E979,'[1]Detailed Transfer Report (12)'!$K:$Y,13,FALSE)</f>
        <v>Nusrat iqbal</v>
      </c>
      <c r="AD979" s="2" t="str">
        <f>VLOOKUP(E979,'[1]Detailed Transfer Report (12)'!$K:$Y,14,FALSE)</f>
        <v>Sardar Yasir Ilyas</v>
      </c>
      <c r="AE979" s="16">
        <f>VLOOKUP(E979,'[1]Detailed Transfer Report (12)'!$K:$Y,15,FALSE)</f>
        <v>44523</v>
      </c>
    </row>
    <row r="980" spans="1:31" ht="23.25" x14ac:dyDescent="0.25">
      <c r="A980" s="9">
        <v>552</v>
      </c>
      <c r="B980" s="4">
        <v>44263</v>
      </c>
      <c r="C980" s="3" t="s">
        <v>1398</v>
      </c>
      <c r="D980" s="3" t="s">
        <v>1399</v>
      </c>
      <c r="E980" s="3" t="s">
        <v>1400</v>
      </c>
      <c r="F980" s="3">
        <v>13362</v>
      </c>
      <c r="G980" s="3" t="s">
        <v>30</v>
      </c>
      <c r="H980" s="3">
        <v>0</v>
      </c>
      <c r="I980" s="3">
        <v>0</v>
      </c>
      <c r="J980" s="5">
        <v>15400</v>
      </c>
      <c r="K980" s="3">
        <v>0</v>
      </c>
      <c r="L980" s="3">
        <v>0</v>
      </c>
      <c r="M980" s="3">
        <v>0</v>
      </c>
      <c r="N980" s="5">
        <v>15400</v>
      </c>
      <c r="O980" s="3">
        <v>0</v>
      </c>
      <c r="P980" s="3">
        <v>0</v>
      </c>
      <c r="Q980" s="5">
        <v>16400</v>
      </c>
      <c r="R980" s="3">
        <v>0</v>
      </c>
      <c r="S980" s="3">
        <v>0</v>
      </c>
      <c r="T980" s="3">
        <v>0</v>
      </c>
      <c r="U980" s="3">
        <v>0</v>
      </c>
      <c r="V980" s="5">
        <v>2000</v>
      </c>
      <c r="W980" s="3">
        <v>0</v>
      </c>
      <c r="X980" s="3">
        <v>0</v>
      </c>
      <c r="Y980" s="3">
        <v>0</v>
      </c>
      <c r="Z980" s="3">
        <v>300</v>
      </c>
      <c r="AA980" s="5">
        <v>16000</v>
      </c>
      <c r="AB980" s="6">
        <v>84400</v>
      </c>
      <c r="AC980" s="2" t="str">
        <f>VLOOKUP(E980,'[1]Detailed Transfer Report (12)'!$K:$Y,13,FALSE)</f>
        <v>Atiq ur rehman</v>
      </c>
      <c r="AD980" s="2" t="str">
        <f>VLOOKUP(E980,'[1]Detailed Transfer Report (12)'!$K:$Y,14,FALSE)</f>
        <v>Sardar Yasir Ilyas</v>
      </c>
      <c r="AE980" s="16">
        <f>VLOOKUP(E980,'[1]Detailed Transfer Report (12)'!$K:$Y,15,FALSE)</f>
        <v>44293</v>
      </c>
    </row>
    <row r="981" spans="1:31" ht="34.5" x14ac:dyDescent="0.25">
      <c r="A981" s="9">
        <v>552</v>
      </c>
      <c r="B981" s="4">
        <v>44266</v>
      </c>
      <c r="C981" s="3" t="s">
        <v>1401</v>
      </c>
      <c r="D981" s="3" t="s">
        <v>1402</v>
      </c>
      <c r="E981" s="3" t="s">
        <v>1295</v>
      </c>
      <c r="F981" s="3"/>
      <c r="G981" s="3" t="s">
        <v>30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6">
        <v>84400</v>
      </c>
      <c r="AE981" s="16"/>
    </row>
    <row r="982" spans="1:31" x14ac:dyDescent="0.25">
      <c r="A982" s="10">
        <v>552</v>
      </c>
      <c r="B982" s="4">
        <v>44263</v>
      </c>
      <c r="C982" s="3" t="s">
        <v>1112</v>
      </c>
      <c r="D982" s="3" t="s">
        <v>1403</v>
      </c>
      <c r="E982" s="3">
        <v>3252</v>
      </c>
      <c r="F982" s="3">
        <v>11392</v>
      </c>
      <c r="G982" s="3" t="s">
        <v>30</v>
      </c>
      <c r="H982" s="3">
        <v>0</v>
      </c>
      <c r="I982" s="3">
        <v>0</v>
      </c>
      <c r="J982" s="5">
        <v>4700</v>
      </c>
      <c r="K982" s="3">
        <v>0</v>
      </c>
      <c r="L982" s="3">
        <v>0</v>
      </c>
      <c r="M982" s="3">
        <v>0</v>
      </c>
      <c r="N982" s="5">
        <v>4700</v>
      </c>
      <c r="O982" s="3">
        <v>0</v>
      </c>
      <c r="P982" s="3">
        <v>0</v>
      </c>
      <c r="Q982" s="5">
        <v>5200</v>
      </c>
      <c r="R982" s="3">
        <v>0</v>
      </c>
      <c r="S982" s="3">
        <v>0</v>
      </c>
      <c r="T982" s="3">
        <v>0</v>
      </c>
      <c r="U982" s="3">
        <v>0</v>
      </c>
      <c r="V982" s="5">
        <v>2000</v>
      </c>
      <c r="W982" s="3">
        <v>0</v>
      </c>
      <c r="X982" s="3">
        <v>0</v>
      </c>
      <c r="Y982" s="3">
        <v>0</v>
      </c>
      <c r="Z982" s="3">
        <v>300</v>
      </c>
      <c r="AA982" s="5">
        <v>14000</v>
      </c>
      <c r="AB982" s="6">
        <v>115300</v>
      </c>
      <c r="AC982" s="2" t="str">
        <f>VLOOKUP(E982,'[1]Detailed Transfer Report (12)'!$K:$Y,13,FALSE)</f>
        <v>qazi ijaz hussain</v>
      </c>
      <c r="AD982" s="2" t="str">
        <f>VLOOKUP(E982,'[1]Detailed Transfer Report (12)'!$K:$Y,14,FALSE)</f>
        <v>Sardar Yasir Ilyas</v>
      </c>
      <c r="AE982" s="16">
        <f>VLOOKUP(E982,'[1]Detailed Transfer Report (12)'!$K:$Y,15,FALSE)</f>
        <v>44279</v>
      </c>
    </row>
    <row r="983" spans="1:31" x14ac:dyDescent="0.25">
      <c r="A983" s="7">
        <v>553</v>
      </c>
      <c r="B983" s="4">
        <v>44298</v>
      </c>
      <c r="C983" s="3" t="s">
        <v>1404</v>
      </c>
      <c r="D983" s="3" t="s">
        <v>1405</v>
      </c>
      <c r="E983" s="3">
        <v>3515</v>
      </c>
      <c r="F983" s="3">
        <v>16171</v>
      </c>
      <c r="G983" s="3" t="s">
        <v>30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8">
        <v>0</v>
      </c>
      <c r="AC983" s="2" t="str">
        <f>VLOOKUP(E983,'[1]Detailed Transfer Report (12)'!$K:$Y,13,FALSE)</f>
        <v>Qazi Abdul Aziz</v>
      </c>
      <c r="AD983" s="2" t="str">
        <f>VLOOKUP(E983,'[1]Detailed Transfer Report (12)'!$K:$Y,14,FALSE)</f>
        <v>Sardar Yasir Ilyas</v>
      </c>
      <c r="AE983" s="16">
        <f>VLOOKUP(E983,'[1]Detailed Transfer Report (12)'!$K:$Y,15,FALSE)</f>
        <v>44313</v>
      </c>
    </row>
    <row r="984" spans="1:31" x14ac:dyDescent="0.25">
      <c r="A984" s="10">
        <v>553</v>
      </c>
      <c r="B984" s="4">
        <v>44558</v>
      </c>
      <c r="C984" s="3" t="s">
        <v>44</v>
      </c>
      <c r="D984" s="3" t="s">
        <v>822</v>
      </c>
      <c r="E984" s="3">
        <v>4591</v>
      </c>
      <c r="F984" s="3">
        <v>16173</v>
      </c>
      <c r="G984" s="3" t="s">
        <v>30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8">
        <v>0</v>
      </c>
      <c r="AC984" s="2" t="str">
        <f>VLOOKUP(E984,'[1]Detailed Transfer Report (12)'!$K:$Y,13,FALSE)</f>
        <v>Chanzaib</v>
      </c>
      <c r="AD984" s="2" t="str">
        <f>VLOOKUP(E984,'[1]Detailed Transfer Report (12)'!$K:$Y,14,FALSE)</f>
        <v>Sardar Yasir Ilyas</v>
      </c>
      <c r="AE984" s="16">
        <f>VLOOKUP(E984,'[1]Detailed Transfer Report (12)'!$K:$Y,15,FALSE)</f>
        <v>44313</v>
      </c>
    </row>
    <row r="985" spans="1:31" x14ac:dyDescent="0.25">
      <c r="A985" s="7">
        <v>554</v>
      </c>
      <c r="B985" s="4">
        <v>44467</v>
      </c>
      <c r="C985" s="3" t="s">
        <v>299</v>
      </c>
      <c r="D985" s="3" t="s">
        <v>1406</v>
      </c>
      <c r="E985" s="3">
        <v>537</v>
      </c>
      <c r="F985" s="3">
        <v>31165</v>
      </c>
      <c r="G985" s="3" t="s">
        <v>41</v>
      </c>
      <c r="H985" s="3">
        <v>0</v>
      </c>
      <c r="I985" s="3">
        <v>0</v>
      </c>
      <c r="J985" s="5">
        <v>1350</v>
      </c>
      <c r="K985" s="3">
        <v>0</v>
      </c>
      <c r="L985" s="3">
        <v>0</v>
      </c>
      <c r="M985" s="3">
        <v>0</v>
      </c>
      <c r="N985" s="5">
        <v>1350</v>
      </c>
      <c r="O985" s="3">
        <v>0</v>
      </c>
      <c r="P985" s="3">
        <v>0</v>
      </c>
      <c r="Q985" s="5">
        <v>1850</v>
      </c>
      <c r="R985" s="3">
        <v>0</v>
      </c>
      <c r="S985" s="3">
        <v>0</v>
      </c>
      <c r="T985" s="3">
        <v>300</v>
      </c>
      <c r="U985" s="3">
        <v>0</v>
      </c>
      <c r="V985" s="3">
        <v>0</v>
      </c>
      <c r="W985" s="3">
        <v>0</v>
      </c>
      <c r="X985" s="5">
        <v>1000</v>
      </c>
      <c r="Y985" s="3">
        <v>0</v>
      </c>
      <c r="Z985" s="5">
        <v>2000</v>
      </c>
      <c r="AA985" s="5">
        <v>14000</v>
      </c>
      <c r="AB985" s="6">
        <v>21850</v>
      </c>
      <c r="AC985" s="2" t="str">
        <f>VLOOKUP(E985,'[1]Detailed Transfer Report (12)'!$K:$Y,13,FALSE)</f>
        <v>Shazia Bibi</v>
      </c>
      <c r="AD985" s="2" t="str">
        <f>VLOOKUP(E985,'[1]Detailed Transfer Report (12)'!$K:$Y,14,FALSE)</f>
        <v>Sardar Yasir Ilyas</v>
      </c>
      <c r="AE985" s="16">
        <f>VLOOKUP(E985,'[1]Detailed Transfer Report (12)'!$K:$Y,15,FALSE)</f>
        <v>44464</v>
      </c>
    </row>
    <row r="986" spans="1:31" x14ac:dyDescent="0.25">
      <c r="A986" s="10">
        <v>554</v>
      </c>
      <c r="B986" s="4">
        <v>44376</v>
      </c>
      <c r="C986" s="3" t="s">
        <v>1407</v>
      </c>
      <c r="D986" s="3" t="s">
        <v>1408</v>
      </c>
      <c r="E986" s="3">
        <v>517</v>
      </c>
      <c r="F986" s="3">
        <v>31164</v>
      </c>
      <c r="G986" s="3" t="s">
        <v>41</v>
      </c>
      <c r="H986" s="3">
        <v>0</v>
      </c>
      <c r="I986" s="3">
        <v>0</v>
      </c>
      <c r="J986" s="5">
        <v>14500</v>
      </c>
      <c r="K986" s="3">
        <v>0</v>
      </c>
      <c r="L986" s="3">
        <v>0</v>
      </c>
      <c r="M986" s="3">
        <v>0</v>
      </c>
      <c r="N986" s="5">
        <v>14500</v>
      </c>
      <c r="O986" s="3">
        <v>0</v>
      </c>
      <c r="P986" s="3">
        <v>0</v>
      </c>
      <c r="Q986" s="5">
        <v>15500</v>
      </c>
      <c r="R986" s="3">
        <v>0</v>
      </c>
      <c r="S986" s="3">
        <v>0</v>
      </c>
      <c r="T986" s="3">
        <v>0</v>
      </c>
      <c r="U986" s="3">
        <v>0</v>
      </c>
      <c r="V986" s="5">
        <v>2000</v>
      </c>
      <c r="W986" s="3">
        <v>0</v>
      </c>
      <c r="X986" s="3">
        <v>0</v>
      </c>
      <c r="Y986" s="3">
        <v>0</v>
      </c>
      <c r="Z986" s="3">
        <v>300</v>
      </c>
      <c r="AA986" s="5">
        <v>47750</v>
      </c>
      <c r="AB986" s="6">
        <v>116400</v>
      </c>
      <c r="AD986" s="2" t="str">
        <f>VLOOKUP(E986,'[1]Detailed Transfer Report (12)'!$K:$Y,14,FALSE)</f>
        <v>Sardar Tanveer Ilyas</v>
      </c>
      <c r="AE986" s="16"/>
    </row>
    <row r="987" spans="1:31" x14ac:dyDescent="0.25">
      <c r="A987" s="3">
        <v>555</v>
      </c>
      <c r="B987" s="4">
        <v>44246</v>
      </c>
      <c r="C987" s="3" t="s">
        <v>342</v>
      </c>
      <c r="D987" s="3" t="s">
        <v>1409</v>
      </c>
      <c r="E987" s="3">
        <v>3854</v>
      </c>
      <c r="F987" s="3">
        <v>8395</v>
      </c>
      <c r="G987" s="3" t="s">
        <v>1179</v>
      </c>
      <c r="H987" s="3">
        <v>0</v>
      </c>
      <c r="I987" s="3">
        <v>0</v>
      </c>
      <c r="J987" s="5">
        <v>80000</v>
      </c>
      <c r="K987" s="3">
        <v>0</v>
      </c>
      <c r="L987" s="3">
        <v>0</v>
      </c>
      <c r="M987" s="3">
        <v>0</v>
      </c>
      <c r="N987" s="5">
        <v>80000</v>
      </c>
      <c r="O987" s="3">
        <v>0</v>
      </c>
      <c r="P987" s="3">
        <v>0</v>
      </c>
      <c r="Q987" s="5">
        <v>81000</v>
      </c>
      <c r="R987" s="3">
        <v>0</v>
      </c>
      <c r="S987" s="3">
        <v>0</v>
      </c>
      <c r="T987" s="3">
        <v>0</v>
      </c>
      <c r="U987" s="3">
        <v>0</v>
      </c>
      <c r="V987" s="5">
        <v>80000</v>
      </c>
      <c r="W987" s="3">
        <v>0</v>
      </c>
      <c r="X987" s="3">
        <v>0</v>
      </c>
      <c r="Y987" s="3">
        <v>0</v>
      </c>
      <c r="Z987" s="5">
        <v>2300</v>
      </c>
      <c r="AA987" s="5">
        <v>96000</v>
      </c>
      <c r="AB987" s="6">
        <v>419300</v>
      </c>
      <c r="AC987" s="2" t="str">
        <f>VLOOKUP(E987,'[1]Detailed Transfer Report (12)'!$K:$Y,13,FALSE)</f>
        <v>Faheem Khan</v>
      </c>
      <c r="AD987" s="2" t="str">
        <f>VLOOKUP(E987,'[1]Detailed Transfer Report (12)'!$K:$Y,14,FALSE)</f>
        <v>Sardar Yasir Ilyas</v>
      </c>
      <c r="AE987" s="16">
        <f>VLOOKUP(E987,'[1]Detailed Transfer Report (12)'!$K:$Y,15,FALSE)</f>
        <v>44258</v>
      </c>
    </row>
    <row r="988" spans="1:31" x14ac:dyDescent="0.25">
      <c r="A988" s="7">
        <v>556</v>
      </c>
      <c r="B988" s="4">
        <v>44266</v>
      </c>
      <c r="C988" s="3" t="s">
        <v>1410</v>
      </c>
      <c r="D988" s="3" t="s">
        <v>1411</v>
      </c>
      <c r="E988" s="11">
        <v>345634573458</v>
      </c>
      <c r="F988" s="3">
        <v>20891</v>
      </c>
      <c r="G988" s="3" t="s">
        <v>30</v>
      </c>
      <c r="H988" s="3">
        <v>0</v>
      </c>
      <c r="I988" s="3">
        <v>0</v>
      </c>
      <c r="J988" s="5">
        <v>11210</v>
      </c>
      <c r="K988" s="3">
        <v>0</v>
      </c>
      <c r="L988" s="5">
        <v>88000</v>
      </c>
      <c r="M988" s="3">
        <v>0</v>
      </c>
      <c r="N988" s="5">
        <v>11210</v>
      </c>
      <c r="O988" s="3">
        <v>0</v>
      </c>
      <c r="P988" s="3">
        <v>0</v>
      </c>
      <c r="Q988" s="5">
        <v>12210</v>
      </c>
      <c r="R988" s="3">
        <v>0</v>
      </c>
      <c r="S988" s="3">
        <v>0</v>
      </c>
      <c r="T988" s="5">
        <v>2000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300</v>
      </c>
      <c r="AA988" s="5">
        <v>16000</v>
      </c>
      <c r="AB988" s="6">
        <v>140930</v>
      </c>
      <c r="AC988" s="2" t="str">
        <f>VLOOKUP(E988,'[1]Detailed Transfer Report (12)'!$K:$Y,13,FALSE)</f>
        <v>Noman tariq</v>
      </c>
      <c r="AD988" s="2" t="str">
        <f>VLOOKUP(E988,'[1]Detailed Transfer Report (12)'!$K:$Y,14,FALSE)</f>
        <v>Sardar Yasir Ilyas</v>
      </c>
      <c r="AE988" s="16">
        <f>VLOOKUP(E988,'[1]Detailed Transfer Report (12)'!$K:$Y,15,FALSE)</f>
        <v>44370</v>
      </c>
    </row>
    <row r="989" spans="1:31" x14ac:dyDescent="0.25">
      <c r="A989" s="10">
        <v>556</v>
      </c>
      <c r="B989" s="4">
        <v>44442</v>
      </c>
      <c r="C989" s="3" t="s">
        <v>1412</v>
      </c>
      <c r="D989" s="3" t="s">
        <v>1352</v>
      </c>
      <c r="E989" s="3">
        <v>4589</v>
      </c>
      <c r="F989" s="3">
        <v>33303</v>
      </c>
      <c r="G989" s="3" t="s">
        <v>30</v>
      </c>
      <c r="H989" s="3">
        <v>0</v>
      </c>
      <c r="I989" s="3">
        <v>0</v>
      </c>
      <c r="J989" s="5">
        <v>8800</v>
      </c>
      <c r="K989" s="3">
        <v>0</v>
      </c>
      <c r="L989" s="3">
        <v>0</v>
      </c>
      <c r="M989" s="3">
        <v>0</v>
      </c>
      <c r="N989" s="5">
        <v>8800</v>
      </c>
      <c r="O989" s="3">
        <v>0</v>
      </c>
      <c r="P989" s="3">
        <v>0</v>
      </c>
      <c r="Q989" s="5">
        <v>9800</v>
      </c>
      <c r="R989" s="3">
        <v>0</v>
      </c>
      <c r="S989" s="3">
        <v>0</v>
      </c>
      <c r="T989" s="3">
        <v>300</v>
      </c>
      <c r="U989" s="3">
        <v>0</v>
      </c>
      <c r="V989" s="3">
        <v>0</v>
      </c>
      <c r="W989" s="3">
        <v>0</v>
      </c>
      <c r="X989" s="5">
        <v>1000</v>
      </c>
      <c r="Y989" s="3">
        <v>0</v>
      </c>
      <c r="Z989" s="5">
        <v>2000</v>
      </c>
      <c r="AA989" s="5">
        <v>14000</v>
      </c>
      <c r="AB989" s="6">
        <v>185630</v>
      </c>
      <c r="AC989" s="2" t="str">
        <f>VLOOKUP(E989,'[1]Detailed Transfer Report (12)'!$K:$Y,13,FALSE)</f>
        <v>Noman tariq</v>
      </c>
      <c r="AD989" s="2" t="str">
        <f>VLOOKUP(E989,'[1]Detailed Transfer Report (12)'!$K:$Y,14,FALSE)</f>
        <v>Sardar Yasir Ilyas</v>
      </c>
      <c r="AE989" s="16">
        <f>VLOOKUP(E989,'[1]Detailed Transfer Report (12)'!$K:$Y,15,FALSE)</f>
        <v>44481</v>
      </c>
    </row>
    <row r="990" spans="1:31" x14ac:dyDescent="0.25">
      <c r="A990" s="3">
        <v>557</v>
      </c>
      <c r="B990" s="4">
        <v>44582</v>
      </c>
      <c r="C990" s="3" t="s">
        <v>44</v>
      </c>
      <c r="D990" s="3" t="s">
        <v>1413</v>
      </c>
      <c r="E990" s="3">
        <v>621</v>
      </c>
      <c r="F990" s="3">
        <v>8807</v>
      </c>
      <c r="G990" s="3" t="s">
        <v>41</v>
      </c>
      <c r="H990" s="5">
        <v>40000</v>
      </c>
      <c r="I990" s="3">
        <v>0</v>
      </c>
      <c r="J990" s="5">
        <v>20000</v>
      </c>
      <c r="K990" s="3">
        <v>0</v>
      </c>
      <c r="L990" s="3">
        <v>0</v>
      </c>
      <c r="M990" s="3">
        <v>0</v>
      </c>
      <c r="N990" s="5">
        <v>20000</v>
      </c>
      <c r="O990" s="3">
        <v>0</v>
      </c>
      <c r="P990" s="3">
        <v>0</v>
      </c>
      <c r="Q990" s="5">
        <v>21000</v>
      </c>
      <c r="R990" s="3">
        <v>0</v>
      </c>
      <c r="S990" s="3">
        <v>0</v>
      </c>
      <c r="T990" s="3">
        <v>300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5">
        <v>2000</v>
      </c>
      <c r="AA990" s="5">
        <v>56000</v>
      </c>
      <c r="AB990" s="6">
        <v>159300</v>
      </c>
      <c r="AC990" s="2" t="str">
        <f>VLOOKUP(E990,'[1]Detailed Transfer Report (12)'!$K:$Y,13,FALSE)</f>
        <v>Khuda Dad</v>
      </c>
      <c r="AD990" s="2" t="str">
        <f>VLOOKUP(E990,'[1]Detailed Transfer Report (12)'!$K:$Y,14,FALSE)</f>
        <v>Sardar Yasir Ilyas</v>
      </c>
      <c r="AE990" s="16">
        <f>VLOOKUP(E990,'[1]Detailed Transfer Report (12)'!$K:$Y,15,FALSE)</f>
        <v>44560</v>
      </c>
    </row>
    <row r="991" spans="1:31" x14ac:dyDescent="0.25">
      <c r="A991" s="7">
        <v>558</v>
      </c>
      <c r="B991" s="4">
        <v>44308</v>
      </c>
      <c r="C991" s="3" t="s">
        <v>1414</v>
      </c>
      <c r="D991" s="3" t="s">
        <v>1415</v>
      </c>
      <c r="E991" s="3">
        <v>3537</v>
      </c>
      <c r="F991" s="3">
        <v>17224</v>
      </c>
      <c r="G991" s="3" t="s">
        <v>30</v>
      </c>
      <c r="H991" s="3">
        <v>0</v>
      </c>
      <c r="I991" s="3">
        <v>0</v>
      </c>
      <c r="J991" s="5">
        <v>11000</v>
      </c>
      <c r="K991" s="3">
        <v>0</v>
      </c>
      <c r="L991" s="3">
        <v>0</v>
      </c>
      <c r="M991" s="3">
        <v>0</v>
      </c>
      <c r="N991" s="5">
        <v>11000</v>
      </c>
      <c r="O991" s="3">
        <v>0</v>
      </c>
      <c r="P991" s="3">
        <v>0</v>
      </c>
      <c r="Q991" s="5">
        <v>12000</v>
      </c>
      <c r="R991" s="5">
        <v>22000</v>
      </c>
      <c r="S991" s="3">
        <v>0</v>
      </c>
      <c r="T991" s="3">
        <v>0</v>
      </c>
      <c r="U991" s="3">
        <v>0</v>
      </c>
      <c r="V991" s="5">
        <v>2000</v>
      </c>
      <c r="W991" s="3">
        <v>0</v>
      </c>
      <c r="X991" s="3">
        <v>0</v>
      </c>
      <c r="Y991" s="3">
        <v>0</v>
      </c>
      <c r="Z991" s="3">
        <v>300</v>
      </c>
      <c r="AA991" s="5">
        <v>14000</v>
      </c>
      <c r="AB991" s="6">
        <v>72300</v>
      </c>
      <c r="AC991" s="2" t="str">
        <f>VLOOKUP(E991,'[1]Detailed Transfer Report (12)'!$K:$Y,13,FALSE)</f>
        <v>Muhammad Asif</v>
      </c>
      <c r="AD991" s="2" t="str">
        <f>VLOOKUP(E991,'[1]Detailed Transfer Report (12)'!$K:$Y,14,FALSE)</f>
        <v>Sardar Yasir Ilyas</v>
      </c>
      <c r="AE991" s="16">
        <f>VLOOKUP(E991,'[1]Detailed Transfer Report (12)'!$K:$Y,15,FALSE)</f>
        <v>44323</v>
      </c>
    </row>
    <row r="992" spans="1:31" x14ac:dyDescent="0.25">
      <c r="A992" s="9">
        <v>558</v>
      </c>
      <c r="B992" s="4">
        <v>44308</v>
      </c>
      <c r="C992" s="3" t="s">
        <v>137</v>
      </c>
      <c r="D992" s="3" t="s">
        <v>1416</v>
      </c>
      <c r="E992" s="3">
        <v>3440</v>
      </c>
      <c r="F992" s="3">
        <v>20448</v>
      </c>
      <c r="G992" s="3" t="s">
        <v>30</v>
      </c>
      <c r="H992" s="3">
        <v>0</v>
      </c>
      <c r="I992" s="3">
        <v>0</v>
      </c>
      <c r="J992" s="5">
        <v>6850</v>
      </c>
      <c r="K992" s="3">
        <v>0</v>
      </c>
      <c r="L992" s="3">
        <v>0</v>
      </c>
      <c r="M992" s="3">
        <v>0</v>
      </c>
      <c r="N992" s="5">
        <v>6850</v>
      </c>
      <c r="O992" s="3">
        <v>0</v>
      </c>
      <c r="P992" s="3">
        <v>0</v>
      </c>
      <c r="Q992" s="5">
        <v>7850</v>
      </c>
      <c r="R992" s="3">
        <v>0</v>
      </c>
      <c r="S992" s="3">
        <v>0</v>
      </c>
      <c r="T992" s="3">
        <v>0</v>
      </c>
      <c r="U992" s="3">
        <v>0</v>
      </c>
      <c r="V992" s="5">
        <v>2000</v>
      </c>
      <c r="W992" s="3">
        <v>0</v>
      </c>
      <c r="X992" s="3">
        <v>0</v>
      </c>
      <c r="Y992" s="3">
        <v>0</v>
      </c>
      <c r="Z992" s="3">
        <v>300</v>
      </c>
      <c r="AA992" s="5">
        <v>14000</v>
      </c>
      <c r="AB992" s="6">
        <v>110150</v>
      </c>
      <c r="AC992" s="2" t="str">
        <f>VLOOKUP(E992,'[1]Detailed Transfer Report (12)'!$K:$Y,13,FALSE)</f>
        <v>Makhan khan</v>
      </c>
      <c r="AD992" s="2" t="str">
        <f>VLOOKUP(E992,'[1]Detailed Transfer Report (12)'!$K:$Y,14,FALSE)</f>
        <v>Sardar Yasir Ilyas</v>
      </c>
      <c r="AE992" s="16">
        <f>VLOOKUP(E992,'[1]Detailed Transfer Report (12)'!$K:$Y,15,FALSE)</f>
        <v>44366</v>
      </c>
    </row>
    <row r="993" spans="1:31" x14ac:dyDescent="0.25">
      <c r="A993" s="10">
        <v>558</v>
      </c>
      <c r="B993" s="4">
        <v>44442</v>
      </c>
      <c r="C993" s="3" t="s">
        <v>209</v>
      </c>
      <c r="D993" s="3" t="s">
        <v>1417</v>
      </c>
      <c r="E993" s="3"/>
      <c r="F993" s="3">
        <v>29633</v>
      </c>
      <c r="G993" s="3" t="s">
        <v>30</v>
      </c>
      <c r="H993" s="3">
        <v>0</v>
      </c>
      <c r="I993" s="3">
        <v>0</v>
      </c>
      <c r="J993" s="5">
        <v>4110</v>
      </c>
      <c r="K993" s="3">
        <v>0</v>
      </c>
      <c r="L993" s="3">
        <v>0</v>
      </c>
      <c r="M993" s="3">
        <v>0</v>
      </c>
      <c r="N993" s="5">
        <v>4110</v>
      </c>
      <c r="O993" s="3">
        <v>0</v>
      </c>
      <c r="P993" s="3">
        <v>0</v>
      </c>
      <c r="Q993" s="5">
        <v>4610</v>
      </c>
      <c r="R993" s="5">
        <v>8220</v>
      </c>
      <c r="S993" s="3">
        <v>0</v>
      </c>
      <c r="T993" s="3">
        <v>300</v>
      </c>
      <c r="U993" s="3">
        <v>0</v>
      </c>
      <c r="V993" s="3">
        <v>0</v>
      </c>
      <c r="W993" s="3">
        <v>0</v>
      </c>
      <c r="X993" s="5">
        <v>1000</v>
      </c>
      <c r="Y993" s="3">
        <v>0</v>
      </c>
      <c r="Z993" s="5">
        <v>2000</v>
      </c>
      <c r="AA993" s="5">
        <v>14000</v>
      </c>
      <c r="AB993" s="6">
        <v>148500</v>
      </c>
      <c r="AC993" s="2" t="str">
        <f>VLOOKUP(F993,'[1]Detailed Transfer Report (12)'!$L:$Y,12,FALSE)</f>
        <v>Rehmat Khan</v>
      </c>
      <c r="AD993" s="2" t="str">
        <f>VLOOKUP(F993,'[1]Detailed Transfer Report (12)'!$L:$Y,13,FALSE)</f>
        <v>Sardar Yasir Ilyas</v>
      </c>
      <c r="AE993" s="16">
        <f>VLOOKUP(F993,'[1]Detailed Transfer Report (12)'!$L:$Y,14,FALSE)</f>
        <v>44454</v>
      </c>
    </row>
    <row r="994" spans="1:31" x14ac:dyDescent="0.25">
      <c r="A994" s="3">
        <v>559</v>
      </c>
      <c r="B994" s="4">
        <v>44349</v>
      </c>
      <c r="C994" s="3" t="s">
        <v>137</v>
      </c>
      <c r="D994" s="3" t="s">
        <v>1418</v>
      </c>
      <c r="E994" s="3">
        <v>3420</v>
      </c>
      <c r="F994" s="3">
        <v>10813</v>
      </c>
      <c r="G994" s="3" t="s">
        <v>30</v>
      </c>
      <c r="H994" s="3">
        <v>0</v>
      </c>
      <c r="I994" s="3">
        <v>0</v>
      </c>
      <c r="J994" s="5">
        <v>5500</v>
      </c>
      <c r="K994" s="3">
        <v>0</v>
      </c>
      <c r="L994" s="3">
        <v>0</v>
      </c>
      <c r="M994" s="3">
        <v>0</v>
      </c>
      <c r="N994" s="5">
        <v>5500</v>
      </c>
      <c r="O994" s="3">
        <v>0</v>
      </c>
      <c r="P994" s="3">
        <v>0</v>
      </c>
      <c r="Q994" s="5">
        <v>6500</v>
      </c>
      <c r="R994" s="3">
        <v>0</v>
      </c>
      <c r="S994" s="3">
        <v>0</v>
      </c>
      <c r="T994" s="5">
        <v>2000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300</v>
      </c>
      <c r="AA994" s="5">
        <v>14000</v>
      </c>
      <c r="AB994" s="6">
        <v>33800</v>
      </c>
      <c r="AC994" s="2" t="str">
        <f>VLOOKUP(E994,'[1]Detailed Transfer Report (12)'!$K:$Y,13,FALSE)</f>
        <v>Amanat Hussain</v>
      </c>
      <c r="AD994" s="2" t="str">
        <f>VLOOKUP(E994,'[1]Detailed Transfer Report (12)'!$K:$Y,14,FALSE)</f>
        <v>Sardar Yasir Ilyas</v>
      </c>
      <c r="AE994" s="16">
        <f>VLOOKUP(E994,'[1]Detailed Transfer Report (12)'!$K:$Y,15,FALSE)</f>
        <v>44273</v>
      </c>
    </row>
    <row r="995" spans="1:31" x14ac:dyDescent="0.25">
      <c r="A995" s="7">
        <v>560</v>
      </c>
      <c r="B995" s="4">
        <v>44308</v>
      </c>
      <c r="C995" s="3" t="s">
        <v>153</v>
      </c>
      <c r="D995" s="3" t="s">
        <v>1419</v>
      </c>
      <c r="E995" s="3">
        <v>3452</v>
      </c>
      <c r="F995" s="3">
        <v>18338</v>
      </c>
      <c r="G995" s="3" t="s">
        <v>30</v>
      </c>
      <c r="H995" s="3">
        <v>0</v>
      </c>
      <c r="I995" s="3">
        <v>0</v>
      </c>
      <c r="J995" s="5">
        <v>2750</v>
      </c>
      <c r="K995" s="3">
        <v>0</v>
      </c>
      <c r="L995" s="3">
        <v>0</v>
      </c>
      <c r="M995" s="3">
        <v>0</v>
      </c>
      <c r="N995" s="5">
        <v>2750</v>
      </c>
      <c r="O995" s="3">
        <v>0</v>
      </c>
      <c r="P995" s="3">
        <v>0</v>
      </c>
      <c r="Q995" s="5">
        <v>3250</v>
      </c>
      <c r="R995" s="3">
        <v>0</v>
      </c>
      <c r="S995" s="3">
        <v>0</v>
      </c>
      <c r="T995" s="3">
        <v>0</v>
      </c>
      <c r="U995" s="3">
        <v>0</v>
      </c>
      <c r="V995" s="5">
        <v>2000</v>
      </c>
      <c r="W995" s="3">
        <v>0</v>
      </c>
      <c r="X995" s="3">
        <v>0</v>
      </c>
      <c r="Y995" s="3">
        <v>0</v>
      </c>
      <c r="Z995" s="3">
        <v>300</v>
      </c>
      <c r="AA995" s="5">
        <v>14000</v>
      </c>
      <c r="AB995" s="6">
        <v>25050</v>
      </c>
      <c r="AC995" s="2" t="str">
        <f>VLOOKUP(E995,'[1]Detailed Transfer Report (12)'!$K:$Y,13,FALSE)</f>
        <v>Abdul hameed khan</v>
      </c>
      <c r="AD995" s="2" t="str">
        <f>VLOOKUP(E995,'[1]Detailed Transfer Report (12)'!$K:$Y,14,FALSE)</f>
        <v>Sardar Yasir Ilyas</v>
      </c>
      <c r="AE995" s="16">
        <f>VLOOKUP(E995,'[1]Detailed Transfer Report (12)'!$K:$Y,15,FALSE)</f>
        <v>44349</v>
      </c>
    </row>
    <row r="996" spans="1:31" x14ac:dyDescent="0.25">
      <c r="A996" s="10">
        <v>560</v>
      </c>
      <c r="B996" s="4">
        <v>44308</v>
      </c>
      <c r="C996" s="3" t="s">
        <v>153</v>
      </c>
      <c r="D996" s="3" t="s">
        <v>1420</v>
      </c>
      <c r="E996" s="3">
        <v>3453</v>
      </c>
      <c r="F996" s="3">
        <v>18772</v>
      </c>
      <c r="G996" s="3" t="s">
        <v>30</v>
      </c>
      <c r="H996" s="3">
        <v>0</v>
      </c>
      <c r="I996" s="3">
        <v>0</v>
      </c>
      <c r="J996" s="5">
        <v>2750</v>
      </c>
      <c r="K996" s="3">
        <v>0</v>
      </c>
      <c r="L996" s="3">
        <v>0</v>
      </c>
      <c r="M996" s="3">
        <v>0</v>
      </c>
      <c r="N996" s="5">
        <v>2750</v>
      </c>
      <c r="O996" s="3">
        <v>0</v>
      </c>
      <c r="P996" s="3">
        <v>0</v>
      </c>
      <c r="Q996" s="5">
        <v>3250</v>
      </c>
      <c r="R996" s="3">
        <v>0</v>
      </c>
      <c r="S996" s="3">
        <v>0</v>
      </c>
      <c r="T996" s="3">
        <v>0</v>
      </c>
      <c r="U996" s="3">
        <v>0</v>
      </c>
      <c r="V996" s="5">
        <v>2000</v>
      </c>
      <c r="W996" s="3">
        <v>0</v>
      </c>
      <c r="X996" s="3">
        <v>0</v>
      </c>
      <c r="Y996" s="3">
        <v>0</v>
      </c>
      <c r="Z996" s="3">
        <v>300</v>
      </c>
      <c r="AA996" s="5">
        <v>14000</v>
      </c>
      <c r="AB996" s="6">
        <v>50100</v>
      </c>
      <c r="AC996" s="2" t="str">
        <f>VLOOKUP(E996,'[1]Detailed Transfer Report (12)'!$K:$Y,13,FALSE)</f>
        <v>Iftikhar mukhtar</v>
      </c>
      <c r="AD996" s="2" t="str">
        <f>VLOOKUP(E996,'[1]Detailed Transfer Report (12)'!$K:$Y,14,FALSE)</f>
        <v>Sardar Yasir Ilyas</v>
      </c>
      <c r="AE996" s="16">
        <f>VLOOKUP(E996,'[1]Detailed Transfer Report (12)'!$K:$Y,15,FALSE)</f>
        <v>44352</v>
      </c>
    </row>
    <row r="997" spans="1:31" x14ac:dyDescent="0.25">
      <c r="A997" s="3">
        <v>561</v>
      </c>
      <c r="B997" s="4">
        <v>44440</v>
      </c>
      <c r="C997" s="3" t="s">
        <v>141</v>
      </c>
      <c r="D997" s="3" t="s">
        <v>1421</v>
      </c>
      <c r="E997" s="3">
        <v>4994</v>
      </c>
      <c r="F997" s="3">
        <v>27632</v>
      </c>
      <c r="G997" s="3" t="s">
        <v>756</v>
      </c>
      <c r="H997" s="3">
        <v>0</v>
      </c>
      <c r="I997" s="3">
        <v>0</v>
      </c>
      <c r="J997" s="5">
        <v>43750</v>
      </c>
      <c r="K997" s="3">
        <v>0</v>
      </c>
      <c r="L997" s="3">
        <v>0</v>
      </c>
      <c r="M997" s="3">
        <v>0</v>
      </c>
      <c r="N997" s="5">
        <v>43750</v>
      </c>
      <c r="O997" s="3">
        <v>0</v>
      </c>
      <c r="P997" s="3">
        <v>0</v>
      </c>
      <c r="Q997" s="5">
        <v>44750</v>
      </c>
      <c r="R997" s="3">
        <v>0</v>
      </c>
      <c r="S997" s="3">
        <v>0</v>
      </c>
      <c r="T997" s="3">
        <v>300</v>
      </c>
      <c r="U997" s="3">
        <v>0</v>
      </c>
      <c r="V997" s="3">
        <v>0</v>
      </c>
      <c r="W997" s="3">
        <v>0</v>
      </c>
      <c r="X997" s="5">
        <v>1000</v>
      </c>
      <c r="Y997" s="3">
        <v>0</v>
      </c>
      <c r="Z997" s="5">
        <v>2000</v>
      </c>
      <c r="AA997" s="5">
        <v>59750</v>
      </c>
      <c r="AB997" s="6">
        <v>195300</v>
      </c>
      <c r="AC997" s="2" t="str">
        <f>VLOOKUP(E997,'[1]Detailed Transfer Report (12)'!$K:$Y,13,FALSE)</f>
        <v>Irfan sajjad</v>
      </c>
      <c r="AD997" s="2" t="str">
        <f>VLOOKUP(E997,'[1]Detailed Transfer Report (12)'!$K:$Y,14,FALSE)</f>
        <v>Sardar Yasir Ilyas</v>
      </c>
      <c r="AE997" s="16">
        <f>VLOOKUP(E997,'[1]Detailed Transfer Report (12)'!$K:$Y,15,FALSE)</f>
        <v>44433</v>
      </c>
    </row>
    <row r="998" spans="1:31" x14ac:dyDescent="0.25">
      <c r="A998" s="3">
        <v>563</v>
      </c>
      <c r="B998" s="4">
        <v>44349</v>
      </c>
      <c r="C998" s="3" t="s">
        <v>137</v>
      </c>
      <c r="D998" s="3" t="s">
        <v>1422</v>
      </c>
      <c r="E998" s="3">
        <v>4756</v>
      </c>
      <c r="F998" s="3">
        <v>17299</v>
      </c>
      <c r="G998" s="3" t="s">
        <v>756</v>
      </c>
      <c r="H998" s="3">
        <v>0</v>
      </c>
      <c r="I998" s="3">
        <v>0</v>
      </c>
      <c r="J998" s="5">
        <v>6600</v>
      </c>
      <c r="K998" s="3">
        <v>0</v>
      </c>
      <c r="L998" s="3">
        <v>0</v>
      </c>
      <c r="M998" s="3">
        <v>0</v>
      </c>
      <c r="N998" s="5">
        <v>6600</v>
      </c>
      <c r="O998" s="3">
        <v>0</v>
      </c>
      <c r="P998" s="3">
        <v>0</v>
      </c>
      <c r="Q998" s="5">
        <v>7600</v>
      </c>
      <c r="R998" s="3">
        <v>0</v>
      </c>
      <c r="S998" s="3">
        <v>0</v>
      </c>
      <c r="T998" s="5">
        <v>2000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300</v>
      </c>
      <c r="AA998" s="5">
        <v>14000</v>
      </c>
      <c r="AB998" s="6">
        <v>37100</v>
      </c>
      <c r="AC998" s="2" t="str">
        <f>VLOOKUP(E998,'[1]Detailed Transfer Report (12)'!$K:$Y,13,FALSE)</f>
        <v>Bahadur khan</v>
      </c>
      <c r="AD998" s="2" t="str">
        <f>VLOOKUP(E998,'[1]Detailed Transfer Report (12)'!$K:$Y,14,FALSE)</f>
        <v>Sardar Yasir Ilyas</v>
      </c>
      <c r="AE998" s="16">
        <f>VLOOKUP(E998,'[1]Detailed Transfer Report (12)'!$K:$Y,15,FALSE)</f>
        <v>44324</v>
      </c>
    </row>
    <row r="999" spans="1:31" x14ac:dyDescent="0.25">
      <c r="A999" s="3">
        <v>565</v>
      </c>
      <c r="B999" s="4">
        <v>44378</v>
      </c>
      <c r="C999" s="3" t="s">
        <v>521</v>
      </c>
      <c r="D999" s="3" t="s">
        <v>1423</v>
      </c>
      <c r="E999" s="3">
        <v>616</v>
      </c>
      <c r="F999" s="3">
        <v>22583</v>
      </c>
      <c r="G999" s="3" t="s">
        <v>41</v>
      </c>
      <c r="H999" s="3">
        <v>0</v>
      </c>
      <c r="I999" s="3">
        <v>0</v>
      </c>
      <c r="J999" s="5">
        <v>15000</v>
      </c>
      <c r="K999" s="3">
        <v>0</v>
      </c>
      <c r="L999" s="3">
        <v>0</v>
      </c>
      <c r="M999" s="3">
        <v>0</v>
      </c>
      <c r="N999" s="5">
        <v>15000</v>
      </c>
      <c r="O999" s="3">
        <v>0</v>
      </c>
      <c r="P999" s="3">
        <v>0</v>
      </c>
      <c r="Q999" s="5">
        <v>16000</v>
      </c>
      <c r="R999" s="5">
        <v>30000</v>
      </c>
      <c r="S999" s="3">
        <v>0</v>
      </c>
      <c r="T999" s="3">
        <v>0</v>
      </c>
      <c r="U999" s="3">
        <v>0</v>
      </c>
      <c r="V999" s="5">
        <v>2000</v>
      </c>
      <c r="W999" s="3">
        <v>0</v>
      </c>
      <c r="X999" s="3">
        <v>0</v>
      </c>
      <c r="Y999" s="3">
        <v>0</v>
      </c>
      <c r="Z999" s="3">
        <v>300</v>
      </c>
      <c r="AA999" s="5">
        <v>48500</v>
      </c>
      <c r="AB999" s="6">
        <v>126800</v>
      </c>
      <c r="AC999" s="2" t="str">
        <f>VLOOKUP(E999,'[1]Detailed Transfer Report (12)'!$K:$Y,13,FALSE)</f>
        <v>Noor jahan</v>
      </c>
      <c r="AD999" s="2" t="str">
        <f>VLOOKUP(E999,'[1]Detailed Transfer Report (12)'!$K:$Y,14,FALSE)</f>
        <v>Sardar Yasir Ilyas</v>
      </c>
      <c r="AE999" s="16">
        <f>VLOOKUP(E999,'[1]Detailed Transfer Report (12)'!$K:$Y,15,FALSE)</f>
        <v>44382</v>
      </c>
    </row>
    <row r="1000" spans="1:31" x14ac:dyDescent="0.25">
      <c r="A1000" s="3">
        <v>566</v>
      </c>
      <c r="B1000" s="4">
        <v>44376</v>
      </c>
      <c r="C1000" s="3" t="s">
        <v>114</v>
      </c>
      <c r="D1000" s="3" t="s">
        <v>1423</v>
      </c>
      <c r="E1000" s="3">
        <v>4600</v>
      </c>
      <c r="F1000" s="3">
        <v>22584</v>
      </c>
      <c r="G1000" s="3" t="s">
        <v>30</v>
      </c>
      <c r="H1000" s="3">
        <v>0</v>
      </c>
      <c r="I1000" s="3">
        <v>0</v>
      </c>
      <c r="J1000" s="5">
        <v>2200</v>
      </c>
      <c r="K1000" s="3">
        <v>0</v>
      </c>
      <c r="L1000" s="3">
        <v>0</v>
      </c>
      <c r="M1000" s="3">
        <v>0</v>
      </c>
      <c r="N1000" s="5">
        <v>2200</v>
      </c>
      <c r="O1000" s="3">
        <v>0</v>
      </c>
      <c r="P1000" s="3">
        <v>0</v>
      </c>
      <c r="Q1000" s="5">
        <v>2700</v>
      </c>
      <c r="R1000" s="3">
        <v>0</v>
      </c>
      <c r="S1000" s="3">
        <v>0</v>
      </c>
      <c r="T1000" s="3">
        <v>0</v>
      </c>
      <c r="U1000" s="3">
        <v>0</v>
      </c>
      <c r="V1000" s="5">
        <v>2000</v>
      </c>
      <c r="W1000" s="3">
        <v>0</v>
      </c>
      <c r="X1000" s="3">
        <v>0</v>
      </c>
      <c r="Y1000" s="3">
        <v>0</v>
      </c>
      <c r="Z1000" s="3">
        <v>300</v>
      </c>
      <c r="AA1000" s="5">
        <v>14000</v>
      </c>
      <c r="AB1000" s="6">
        <v>23400</v>
      </c>
      <c r="AC1000" s="2" t="str">
        <f>VLOOKUP(E1000,'[1]Detailed Transfer Report (12)'!$K:$Y,13,FALSE)</f>
        <v>Mazhar Hussain</v>
      </c>
      <c r="AD1000" s="2" t="str">
        <f>VLOOKUP(E1000,'[1]Detailed Transfer Report (12)'!$K:$Y,14,FALSE)</f>
        <v>Sardar Yasir Ilyas</v>
      </c>
      <c r="AE1000" s="16">
        <f>VLOOKUP(E1000,'[1]Detailed Transfer Report (12)'!$K:$Y,15,FALSE)</f>
        <v>44382</v>
      </c>
    </row>
    <row r="1001" spans="1:31" x14ac:dyDescent="0.25">
      <c r="A1001" s="3">
        <v>567</v>
      </c>
      <c r="B1001" s="4">
        <v>44308</v>
      </c>
      <c r="C1001" s="3" t="s">
        <v>46</v>
      </c>
      <c r="D1001" s="3" t="s">
        <v>1424</v>
      </c>
      <c r="E1001" s="3">
        <v>3857</v>
      </c>
      <c r="F1001" s="3">
        <v>16230</v>
      </c>
      <c r="G1001" s="3" t="s">
        <v>1179</v>
      </c>
      <c r="H1001" s="3">
        <v>0</v>
      </c>
      <c r="I1001" s="3">
        <v>0</v>
      </c>
      <c r="J1001" s="5">
        <v>50000</v>
      </c>
      <c r="K1001" s="3">
        <v>0</v>
      </c>
      <c r="L1001" s="3">
        <v>0</v>
      </c>
      <c r="M1001" s="3">
        <v>0</v>
      </c>
      <c r="N1001" s="5">
        <v>50000</v>
      </c>
      <c r="O1001" s="3">
        <v>0</v>
      </c>
      <c r="P1001" s="3">
        <v>0</v>
      </c>
      <c r="Q1001" s="5">
        <v>51000</v>
      </c>
      <c r="R1001" s="3">
        <v>0</v>
      </c>
      <c r="S1001" s="3">
        <v>0</v>
      </c>
      <c r="T1001" s="3">
        <v>0</v>
      </c>
      <c r="U1001" s="3">
        <v>0</v>
      </c>
      <c r="V1001" s="5">
        <v>2000</v>
      </c>
      <c r="W1001" s="3">
        <v>0</v>
      </c>
      <c r="X1001" s="3">
        <v>0</v>
      </c>
      <c r="Y1001" s="3">
        <v>0</v>
      </c>
      <c r="Z1001" s="3">
        <v>300</v>
      </c>
      <c r="AA1001" s="5">
        <v>66000</v>
      </c>
      <c r="AB1001" s="6">
        <v>219300</v>
      </c>
      <c r="AC1001" s="2" t="str">
        <f>VLOOKUP(E1001,'[1]Detailed Transfer Report (12)'!$K:$Y,13,FALSE)</f>
        <v>Maqsood Begum</v>
      </c>
      <c r="AD1001" s="2" t="str">
        <f>VLOOKUP(E1001,'[1]Detailed Transfer Report (12)'!$K:$Y,14,FALSE)</f>
        <v>Sardar Yasir Ilyas</v>
      </c>
      <c r="AE1001" s="16">
        <f>VLOOKUP(E1001,'[1]Detailed Transfer Report (12)'!$K:$Y,15,FALSE)</f>
        <v>44314</v>
      </c>
    </row>
    <row r="1002" spans="1:31" x14ac:dyDescent="0.25">
      <c r="A1002" s="3">
        <v>568</v>
      </c>
      <c r="B1002" s="4">
        <v>44313</v>
      </c>
      <c r="C1002" s="3" t="s">
        <v>137</v>
      </c>
      <c r="D1002" s="3" t="s">
        <v>176</v>
      </c>
      <c r="E1002" s="3">
        <v>4755</v>
      </c>
      <c r="F1002" s="3">
        <v>16534</v>
      </c>
      <c r="G1002" s="3" t="s">
        <v>756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8">
        <v>0</v>
      </c>
      <c r="AC1002" s="2" t="str">
        <f>VLOOKUP(E1002,'[1]Detailed Transfer Report (12)'!$K:$Y,13,FALSE)</f>
        <v>Muhammad Mumtaz Khan</v>
      </c>
      <c r="AD1002" s="2" t="str">
        <f>VLOOKUP(E1002,'[1]Detailed Transfer Report (12)'!$K:$Y,14,FALSE)</f>
        <v>Sardar Yasir Ilyas</v>
      </c>
      <c r="AE1002" s="16">
        <f>VLOOKUP(E1002,'[1]Detailed Transfer Report (12)'!$K:$Y,15,FALSE)</f>
        <v>44316</v>
      </c>
    </row>
    <row r="1003" spans="1:31" x14ac:dyDescent="0.25">
      <c r="A1003" s="3">
        <v>570</v>
      </c>
      <c r="B1003" s="4">
        <v>44378</v>
      </c>
      <c r="C1003" s="3" t="s">
        <v>344</v>
      </c>
      <c r="D1003" s="3" t="s">
        <v>1423</v>
      </c>
      <c r="E1003" s="3" t="s">
        <v>1425</v>
      </c>
      <c r="F1003" s="3">
        <v>25214</v>
      </c>
      <c r="G1003" s="3" t="s">
        <v>41</v>
      </c>
      <c r="H1003" s="3">
        <v>0</v>
      </c>
      <c r="I1003" s="3">
        <v>0</v>
      </c>
      <c r="J1003" s="5">
        <v>25000</v>
      </c>
      <c r="K1003" s="3">
        <v>0</v>
      </c>
      <c r="L1003" s="3">
        <v>0</v>
      </c>
      <c r="M1003" s="3">
        <v>0</v>
      </c>
      <c r="N1003" s="5">
        <v>25000</v>
      </c>
      <c r="O1003" s="3">
        <v>0</v>
      </c>
      <c r="P1003" s="3">
        <v>0</v>
      </c>
      <c r="Q1003" s="5">
        <v>26000</v>
      </c>
      <c r="R1003" s="3">
        <v>0</v>
      </c>
      <c r="S1003" s="3">
        <v>0</v>
      </c>
      <c r="T1003" s="3">
        <v>0</v>
      </c>
      <c r="U1003" s="3">
        <v>0</v>
      </c>
      <c r="V1003" s="5">
        <v>2000</v>
      </c>
      <c r="W1003" s="3">
        <v>0</v>
      </c>
      <c r="X1003" s="3">
        <v>0</v>
      </c>
      <c r="Y1003" s="3">
        <v>0</v>
      </c>
      <c r="Z1003" s="3">
        <v>300</v>
      </c>
      <c r="AA1003" s="5">
        <v>63500</v>
      </c>
      <c r="AB1003" s="6">
        <v>141800</v>
      </c>
      <c r="AC1003" s="2" t="str">
        <f>VLOOKUP(E1003,'[1]Detailed Transfer Report (12)'!$K:$Y,13,FALSE)</f>
        <v>Yasir mehmood</v>
      </c>
      <c r="AD1003" s="2" t="str">
        <f>VLOOKUP(E1003,'[1]Detailed Transfer Report (12)'!$K:$Y,14,FALSE)</f>
        <v>Sardar Yasir Ilyas</v>
      </c>
      <c r="AE1003" s="16">
        <f>VLOOKUP(E1003,'[1]Detailed Transfer Report (12)'!$K:$Y,15,FALSE)</f>
        <v>44410</v>
      </c>
    </row>
    <row r="1004" spans="1:31" x14ac:dyDescent="0.25">
      <c r="A1004" s="3">
        <v>571</v>
      </c>
      <c r="B1004" s="4">
        <v>44376</v>
      </c>
      <c r="C1004" s="3" t="s">
        <v>46</v>
      </c>
      <c r="D1004" s="3" t="s">
        <v>1426</v>
      </c>
      <c r="E1004" s="3">
        <v>498</v>
      </c>
      <c r="F1004" s="3">
        <v>20657</v>
      </c>
      <c r="G1004" s="3" t="s">
        <v>41</v>
      </c>
      <c r="H1004" s="3">
        <v>0</v>
      </c>
      <c r="I1004" s="3">
        <v>0</v>
      </c>
      <c r="J1004" s="5">
        <v>205000</v>
      </c>
      <c r="K1004" s="3">
        <v>0</v>
      </c>
      <c r="L1004" s="3">
        <v>0</v>
      </c>
      <c r="M1004" s="3">
        <v>0</v>
      </c>
      <c r="N1004" s="5">
        <v>40000</v>
      </c>
      <c r="O1004" s="3">
        <v>0</v>
      </c>
      <c r="P1004" s="3">
        <v>0</v>
      </c>
      <c r="Q1004" s="5">
        <v>41000</v>
      </c>
      <c r="R1004" s="3">
        <v>0</v>
      </c>
      <c r="S1004" s="3">
        <v>0</v>
      </c>
      <c r="T1004" s="3">
        <v>0</v>
      </c>
      <c r="U1004" s="3">
        <v>0</v>
      </c>
      <c r="V1004" s="5">
        <v>2000</v>
      </c>
      <c r="W1004" s="3">
        <v>0</v>
      </c>
      <c r="X1004" s="3">
        <v>0</v>
      </c>
      <c r="Y1004" s="3">
        <v>0</v>
      </c>
      <c r="Z1004" s="3">
        <v>300</v>
      </c>
      <c r="AA1004" s="5">
        <v>96000</v>
      </c>
      <c r="AB1004" s="6">
        <v>384300</v>
      </c>
      <c r="AC1004" s="2" t="str">
        <f>VLOOKUP(E1004,'[1]Detailed Transfer Report (12)'!$K:$Y,13,FALSE)</f>
        <v>Auranzaib</v>
      </c>
      <c r="AD1004" s="2" t="str">
        <f>VLOOKUP(E1004,'[1]Detailed Transfer Report (12)'!$K:$Y,14,FALSE)</f>
        <v>Sardar Yasir Ilyas</v>
      </c>
      <c r="AE1004" s="16">
        <f>VLOOKUP(E1004,'[1]Detailed Transfer Report (12)'!$K:$Y,15,FALSE)</f>
        <v>44368</v>
      </c>
    </row>
    <row r="1005" spans="1:31" x14ac:dyDescent="0.25">
      <c r="A1005" s="3">
        <v>572</v>
      </c>
      <c r="B1005" s="4">
        <v>44378</v>
      </c>
      <c r="C1005" s="3" t="s">
        <v>207</v>
      </c>
      <c r="D1005" s="3" t="s">
        <v>1426</v>
      </c>
      <c r="E1005" s="3"/>
      <c r="F1005" s="3">
        <v>24165</v>
      </c>
      <c r="G1005" s="3" t="s">
        <v>41</v>
      </c>
      <c r="H1005" s="3">
        <v>0</v>
      </c>
      <c r="I1005" s="3">
        <v>0</v>
      </c>
      <c r="J1005" s="5">
        <v>100000</v>
      </c>
      <c r="K1005" s="3">
        <v>0</v>
      </c>
      <c r="L1005" s="3">
        <v>0</v>
      </c>
      <c r="M1005" s="3">
        <v>0</v>
      </c>
      <c r="N1005" s="5">
        <v>100000</v>
      </c>
      <c r="O1005" s="3">
        <v>0</v>
      </c>
      <c r="P1005" s="3">
        <v>0</v>
      </c>
      <c r="Q1005" s="5">
        <v>101000</v>
      </c>
      <c r="R1005" s="3">
        <v>0</v>
      </c>
      <c r="S1005" s="3">
        <v>0</v>
      </c>
      <c r="T1005" s="3">
        <v>0</v>
      </c>
      <c r="U1005" s="3">
        <v>0</v>
      </c>
      <c r="V1005" s="5">
        <v>2000</v>
      </c>
      <c r="W1005" s="3">
        <v>0</v>
      </c>
      <c r="X1005" s="3">
        <v>0</v>
      </c>
      <c r="Y1005" s="3">
        <v>0</v>
      </c>
      <c r="Z1005" s="3">
        <v>300</v>
      </c>
      <c r="AA1005" s="5">
        <v>186000</v>
      </c>
      <c r="AB1005" s="6">
        <v>489300</v>
      </c>
      <c r="AC1005" s="2" t="str">
        <f>VLOOKUP(F1005,'[1]Detailed Transfer Report (12)'!$L:$Y,12,FALSE)</f>
        <v>M sabir</v>
      </c>
      <c r="AD1005" s="2" t="str">
        <f>VLOOKUP(F1005,'[1]Detailed Transfer Report (12)'!$L:$Y,13,FALSE)</f>
        <v>Sardar Yasir Ilyas</v>
      </c>
      <c r="AE1005" s="16">
        <f>VLOOKUP(F1005,'[1]Detailed Transfer Report (12)'!$L:$Y,14,FALSE)</f>
        <v>44392</v>
      </c>
    </row>
    <row r="1006" spans="1:31" x14ac:dyDescent="0.25">
      <c r="A1006" s="3">
        <v>574</v>
      </c>
      <c r="B1006" s="4">
        <v>44436</v>
      </c>
      <c r="C1006" s="3" t="s">
        <v>1427</v>
      </c>
      <c r="D1006" s="3" t="s">
        <v>1428</v>
      </c>
      <c r="E1006" s="3">
        <v>3830</v>
      </c>
      <c r="F1006" s="3">
        <v>28372</v>
      </c>
      <c r="G1006" s="3" t="s">
        <v>1179</v>
      </c>
      <c r="H1006" s="3">
        <v>0</v>
      </c>
      <c r="I1006" s="3">
        <v>0</v>
      </c>
      <c r="J1006" s="5">
        <v>533400</v>
      </c>
      <c r="K1006" s="3">
        <v>0</v>
      </c>
      <c r="L1006" s="3">
        <v>0</v>
      </c>
      <c r="M1006" s="3">
        <v>0</v>
      </c>
      <c r="N1006" s="5">
        <v>533400</v>
      </c>
      <c r="O1006" s="3">
        <v>0</v>
      </c>
      <c r="P1006" s="3">
        <v>0</v>
      </c>
      <c r="Q1006" s="5">
        <v>534400</v>
      </c>
      <c r="R1006" s="3">
        <v>0</v>
      </c>
      <c r="S1006" s="3">
        <v>0</v>
      </c>
      <c r="T1006" s="5">
        <v>1300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5">
        <v>2000</v>
      </c>
      <c r="AA1006" s="5">
        <v>589400</v>
      </c>
      <c r="AB1006" s="6">
        <v>2193900</v>
      </c>
      <c r="AC1006" s="2" t="str">
        <f>VLOOKUP(E1006,'[1]Detailed Transfer Report (12)'!$K:$Y,13,FALSE)</f>
        <v>Muhammad Tahir Qureshi</v>
      </c>
      <c r="AD1006" s="2" t="str">
        <f>VLOOKUP(E1006,'[1]Detailed Transfer Report (12)'!$K:$Y,14,FALSE)</f>
        <v>Sardar Yasir Ilyas</v>
      </c>
      <c r="AE1006" s="16">
        <f>VLOOKUP(E1006,'[1]Detailed Transfer Report (12)'!$K:$Y,15,FALSE)</f>
        <v>44439</v>
      </c>
    </row>
    <row r="1007" spans="1:31" x14ac:dyDescent="0.25">
      <c r="A1007" s="3">
        <v>575</v>
      </c>
      <c r="B1007" s="4">
        <v>44509</v>
      </c>
      <c r="C1007" s="3" t="s">
        <v>44</v>
      </c>
      <c r="D1007" s="3" t="s">
        <v>1429</v>
      </c>
      <c r="E1007" s="3">
        <v>5488</v>
      </c>
      <c r="F1007" s="3">
        <v>3295</v>
      </c>
      <c r="G1007" s="3" t="s">
        <v>756</v>
      </c>
      <c r="H1007" s="5">
        <v>30000</v>
      </c>
      <c r="I1007" s="3">
        <v>0</v>
      </c>
      <c r="J1007" s="5">
        <v>15000</v>
      </c>
      <c r="K1007" s="3">
        <v>0</v>
      </c>
      <c r="L1007" s="3">
        <v>0</v>
      </c>
      <c r="M1007" s="3">
        <v>0</v>
      </c>
      <c r="N1007" s="5">
        <v>15000</v>
      </c>
      <c r="O1007" s="3">
        <v>0</v>
      </c>
      <c r="P1007" s="3">
        <v>0</v>
      </c>
      <c r="Q1007" s="5">
        <v>16000</v>
      </c>
      <c r="R1007" s="3">
        <v>0</v>
      </c>
      <c r="S1007" s="3">
        <v>0</v>
      </c>
      <c r="T1007" s="3">
        <v>300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5">
        <v>2000</v>
      </c>
      <c r="AA1007" s="5">
        <v>16000</v>
      </c>
      <c r="AB1007" s="6">
        <v>94300</v>
      </c>
      <c r="AC1007" s="2" t="str">
        <f>VLOOKUP(E1007,'[1]Detailed Transfer Report (12)'!$K:$Y,13,FALSE)</f>
        <v>Anwar shah</v>
      </c>
      <c r="AD1007" s="2" t="str">
        <f>VLOOKUP(E1007,'[1]Detailed Transfer Report (12)'!$K:$Y,14,FALSE)</f>
        <v>Sardar Yasir Ilyas</v>
      </c>
      <c r="AE1007" s="16">
        <f>VLOOKUP(E1007,'[1]Detailed Transfer Report (12)'!$K:$Y,15,FALSE)</f>
        <v>44506</v>
      </c>
    </row>
    <row r="1008" spans="1:31" x14ac:dyDescent="0.25">
      <c r="A1008" s="3">
        <v>577</v>
      </c>
      <c r="B1008" s="4">
        <v>44378</v>
      </c>
      <c r="C1008" s="3" t="s">
        <v>137</v>
      </c>
      <c r="D1008" s="3" t="s">
        <v>1426</v>
      </c>
      <c r="E1008" s="3">
        <v>4835</v>
      </c>
      <c r="F1008" s="3">
        <v>21160</v>
      </c>
      <c r="G1008" s="3" t="s">
        <v>756</v>
      </c>
      <c r="H1008" s="3">
        <v>0</v>
      </c>
      <c r="I1008" s="3">
        <v>0</v>
      </c>
      <c r="J1008" s="5">
        <v>6600</v>
      </c>
      <c r="K1008" s="3">
        <v>0</v>
      </c>
      <c r="L1008" s="3">
        <v>0</v>
      </c>
      <c r="M1008" s="3">
        <v>0</v>
      </c>
      <c r="N1008" s="5">
        <v>6600</v>
      </c>
      <c r="O1008" s="3">
        <v>0</v>
      </c>
      <c r="P1008" s="3">
        <v>0</v>
      </c>
      <c r="Q1008" s="5">
        <v>7600</v>
      </c>
      <c r="R1008" s="5">
        <v>13200</v>
      </c>
      <c r="S1008" s="3">
        <v>0</v>
      </c>
      <c r="T1008" s="3">
        <v>0</v>
      </c>
      <c r="U1008" s="3">
        <v>0</v>
      </c>
      <c r="V1008" s="5">
        <v>2000</v>
      </c>
      <c r="W1008" s="3">
        <v>0</v>
      </c>
      <c r="X1008" s="3">
        <v>0</v>
      </c>
      <c r="Y1008" s="3">
        <v>0</v>
      </c>
      <c r="Z1008" s="3">
        <v>300</v>
      </c>
      <c r="AA1008" s="5">
        <v>14000</v>
      </c>
      <c r="AB1008" s="6">
        <v>50300</v>
      </c>
      <c r="AC1008" s="2" t="str">
        <f>VLOOKUP(E1008,'[1]Detailed Transfer Report (12)'!$K:$Y,13,FALSE)</f>
        <v>Arooj malik</v>
      </c>
      <c r="AD1008" s="2" t="str">
        <f>VLOOKUP(E1008,'[1]Detailed Transfer Report (12)'!$K:$Y,14,FALSE)</f>
        <v>Sardar Yasir Ilyas</v>
      </c>
      <c r="AE1008" s="16">
        <f>VLOOKUP(E1008,'[1]Detailed Transfer Report (12)'!$K:$Y,15,FALSE)</f>
        <v>44220</v>
      </c>
    </row>
    <row r="1009" spans="1:31" x14ac:dyDescent="0.25">
      <c r="A1009" s="7">
        <v>578</v>
      </c>
      <c r="B1009" s="4">
        <v>44509</v>
      </c>
      <c r="C1009" s="3" t="s">
        <v>1430</v>
      </c>
      <c r="D1009" s="3" t="s">
        <v>1431</v>
      </c>
      <c r="E1009" s="3">
        <v>582</v>
      </c>
      <c r="F1009" s="3">
        <v>4196</v>
      </c>
      <c r="G1009" s="3" t="s">
        <v>41</v>
      </c>
      <c r="H1009" s="5">
        <v>230000</v>
      </c>
      <c r="I1009" s="3">
        <v>0</v>
      </c>
      <c r="J1009" s="5">
        <v>115000</v>
      </c>
      <c r="K1009" s="3">
        <v>0</v>
      </c>
      <c r="L1009" s="5">
        <v>430000</v>
      </c>
      <c r="M1009" s="3">
        <v>0</v>
      </c>
      <c r="N1009" s="5">
        <v>115000</v>
      </c>
      <c r="O1009" s="3">
        <v>0</v>
      </c>
      <c r="P1009" s="3">
        <v>0</v>
      </c>
      <c r="Q1009" s="5">
        <v>116000</v>
      </c>
      <c r="R1009" s="3">
        <v>0</v>
      </c>
      <c r="S1009" s="3">
        <v>0</v>
      </c>
      <c r="T1009" s="3">
        <v>300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5">
        <v>2000</v>
      </c>
      <c r="AA1009" s="5">
        <v>151000</v>
      </c>
      <c r="AB1009" s="6">
        <v>1159300</v>
      </c>
      <c r="AC1009" s="2" t="str">
        <f>VLOOKUP(E1009,'[1]Detailed Transfer Report (12)'!$K:$Y,13,FALSE)</f>
        <v>Tahir Mehmood</v>
      </c>
      <c r="AD1009" s="2" t="str">
        <f>VLOOKUP(E1009,'[1]Detailed Transfer Report (12)'!$K:$Y,14,FALSE)</f>
        <v>Sardar Yasir Ilyas</v>
      </c>
      <c r="AE1009" s="16">
        <f>VLOOKUP(E1009,'[1]Detailed Transfer Report (12)'!$K:$Y,15,FALSE)</f>
        <v>44517</v>
      </c>
    </row>
    <row r="1010" spans="1:31" x14ac:dyDescent="0.25">
      <c r="A1010" s="10">
        <v>578</v>
      </c>
      <c r="B1010" s="4">
        <v>44509</v>
      </c>
      <c r="C1010" s="3" t="s">
        <v>417</v>
      </c>
      <c r="D1010" s="3" t="s">
        <v>1322</v>
      </c>
      <c r="E1010" s="3">
        <v>539</v>
      </c>
      <c r="F1010" s="3">
        <v>3851</v>
      </c>
      <c r="G1010" s="3" t="s">
        <v>41</v>
      </c>
      <c r="H1010" s="5">
        <v>124000</v>
      </c>
      <c r="I1010" s="3">
        <v>0</v>
      </c>
      <c r="J1010" s="5">
        <v>62000</v>
      </c>
      <c r="K1010" s="3">
        <v>0</v>
      </c>
      <c r="L1010" s="5">
        <v>212500</v>
      </c>
      <c r="M1010" s="3">
        <v>0</v>
      </c>
      <c r="N1010" s="5">
        <v>62000</v>
      </c>
      <c r="O1010" s="3">
        <v>0</v>
      </c>
      <c r="P1010" s="3">
        <v>0</v>
      </c>
      <c r="Q1010" s="5">
        <v>63000</v>
      </c>
      <c r="R1010" s="3">
        <v>0</v>
      </c>
      <c r="S1010" s="3">
        <v>0</v>
      </c>
      <c r="T1010" s="3">
        <v>300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5">
        <v>2000</v>
      </c>
      <c r="AA1010" s="5">
        <v>98000</v>
      </c>
      <c r="AB1010" s="6">
        <v>1783100</v>
      </c>
      <c r="AC1010" s="2" t="str">
        <f>VLOOKUP(E1010,'[1]Detailed Transfer Report (12)'!$K:$Y,13,FALSE)</f>
        <v>Muhammad Arif</v>
      </c>
      <c r="AD1010" s="2" t="str">
        <f>VLOOKUP(E1010,'[1]Detailed Transfer Report (12)'!$K:$Y,14,FALSE)</f>
        <v>Sardar Yasir Ilyas</v>
      </c>
      <c r="AE1010" s="16">
        <f>VLOOKUP(E1010,'[1]Detailed Transfer Report (12)'!$K:$Y,15,FALSE)</f>
        <v>44513</v>
      </c>
    </row>
    <row r="1011" spans="1:31" x14ac:dyDescent="0.25">
      <c r="A1011" s="3">
        <v>579</v>
      </c>
      <c r="B1011" s="4">
        <v>44509</v>
      </c>
      <c r="C1011" s="3" t="s">
        <v>1432</v>
      </c>
      <c r="D1011" s="3" t="s">
        <v>1433</v>
      </c>
      <c r="E1011" s="3">
        <v>4452</v>
      </c>
      <c r="F1011" s="3">
        <v>5907</v>
      </c>
      <c r="G1011" s="3" t="s">
        <v>30</v>
      </c>
      <c r="H1011" s="5">
        <v>164000</v>
      </c>
      <c r="I1011" s="3">
        <v>0</v>
      </c>
      <c r="J1011" s="5">
        <v>82000</v>
      </c>
      <c r="K1011" s="3">
        <v>0</v>
      </c>
      <c r="L1011" s="3">
        <v>0</v>
      </c>
      <c r="M1011" s="3">
        <v>0</v>
      </c>
      <c r="N1011" s="5">
        <v>82000</v>
      </c>
      <c r="O1011" s="3">
        <v>0</v>
      </c>
      <c r="P1011" s="3">
        <v>0</v>
      </c>
      <c r="Q1011" s="5">
        <v>83000</v>
      </c>
      <c r="R1011" s="5">
        <v>164000</v>
      </c>
      <c r="S1011" s="3">
        <v>0</v>
      </c>
      <c r="T1011" s="3">
        <v>300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5">
        <v>2000</v>
      </c>
      <c r="AA1011" s="5">
        <v>118000</v>
      </c>
      <c r="AB1011" s="6">
        <v>695300</v>
      </c>
      <c r="AC1011" s="2" t="str">
        <f>VLOOKUP(E1011,'[1]Detailed Transfer Report (12)'!$K:$Y,13,FALSE)</f>
        <v>Shazia Parveen</v>
      </c>
      <c r="AD1011" s="2" t="str">
        <f>VLOOKUP(E1011,'[1]Detailed Transfer Report (12)'!$K:$Y,14,FALSE)</f>
        <v>Sardar Yasir Ilyas</v>
      </c>
      <c r="AE1011" s="16">
        <f>VLOOKUP(E1011,'[1]Detailed Transfer Report (12)'!$K:$Y,15,FALSE)</f>
        <v>44532</v>
      </c>
    </row>
    <row r="1012" spans="1:31" x14ac:dyDescent="0.25">
      <c r="A1012" s="7">
        <v>580</v>
      </c>
      <c r="B1012" s="4">
        <v>44442</v>
      </c>
      <c r="C1012" s="3" t="s">
        <v>1434</v>
      </c>
      <c r="D1012" s="3" t="s">
        <v>1417</v>
      </c>
      <c r="E1012" s="3">
        <v>5486</v>
      </c>
      <c r="F1012" s="3">
        <v>23307</v>
      </c>
      <c r="G1012" s="3" t="s">
        <v>756</v>
      </c>
      <c r="H1012" s="3">
        <v>0</v>
      </c>
      <c r="I1012" s="3">
        <v>0</v>
      </c>
      <c r="J1012" s="5">
        <v>7000</v>
      </c>
      <c r="K1012" s="3">
        <v>0</v>
      </c>
      <c r="L1012" s="3">
        <v>0</v>
      </c>
      <c r="M1012" s="3">
        <v>0</v>
      </c>
      <c r="N1012" s="5">
        <v>7000</v>
      </c>
      <c r="O1012" s="3">
        <v>0</v>
      </c>
      <c r="P1012" s="3">
        <v>0</v>
      </c>
      <c r="Q1012" s="5">
        <v>8000</v>
      </c>
      <c r="R1012" s="3">
        <v>0</v>
      </c>
      <c r="S1012" s="3">
        <v>0</v>
      </c>
      <c r="T1012" s="3">
        <v>300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5">
        <v>2000</v>
      </c>
      <c r="AA1012" s="5">
        <v>14000</v>
      </c>
      <c r="AB1012" s="6">
        <v>38300</v>
      </c>
      <c r="AC1012" s="2" t="str">
        <f>VLOOKUP(E1012,'[1]Detailed Transfer Report (12)'!$K:$Y,13,FALSE)</f>
        <v>M zafar iqbal</v>
      </c>
      <c r="AD1012" s="2" t="str">
        <f>VLOOKUP(E1012,'[1]Detailed Transfer Report (12)'!$K:$Y,14,FALSE)</f>
        <v>Sardar Yasir Ilyas</v>
      </c>
      <c r="AE1012" s="16">
        <f>VLOOKUP(E1012,'[1]Detailed Transfer Report (12)'!$K:$Y,15,FALSE)</f>
        <v>44387</v>
      </c>
    </row>
    <row r="1013" spans="1:31" x14ac:dyDescent="0.25">
      <c r="A1013" s="10">
        <v>580</v>
      </c>
      <c r="B1013" s="4">
        <v>44442</v>
      </c>
      <c r="C1013" s="3" t="s">
        <v>137</v>
      </c>
      <c r="D1013" s="3" t="s">
        <v>1352</v>
      </c>
      <c r="E1013" s="3">
        <v>5487</v>
      </c>
      <c r="F1013" s="3">
        <v>23308</v>
      </c>
      <c r="G1013" s="3" t="s">
        <v>756</v>
      </c>
      <c r="H1013" s="3">
        <v>0</v>
      </c>
      <c r="I1013" s="3">
        <v>0</v>
      </c>
      <c r="J1013" s="5">
        <v>7400</v>
      </c>
      <c r="K1013" s="3">
        <v>0</v>
      </c>
      <c r="L1013" s="3">
        <v>0</v>
      </c>
      <c r="M1013" s="3">
        <v>0</v>
      </c>
      <c r="N1013" s="5">
        <v>7400</v>
      </c>
      <c r="O1013" s="3">
        <v>0</v>
      </c>
      <c r="P1013" s="3">
        <v>0</v>
      </c>
      <c r="Q1013" s="5">
        <v>8400</v>
      </c>
      <c r="R1013" s="3">
        <v>0</v>
      </c>
      <c r="S1013" s="3">
        <v>0</v>
      </c>
      <c r="T1013" s="3">
        <v>300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5">
        <v>2000</v>
      </c>
      <c r="AA1013" s="5">
        <v>14000</v>
      </c>
      <c r="AB1013" s="6">
        <v>77800</v>
      </c>
      <c r="AC1013" s="2" t="str">
        <f>VLOOKUP(E1013,'[1]Detailed Transfer Report (12)'!$K:$Y,13,FALSE)</f>
        <v>Tahira kulsoom</v>
      </c>
      <c r="AD1013" s="2" t="str">
        <f>VLOOKUP(E1013,'[1]Detailed Transfer Report (12)'!$K:$Y,14,FALSE)</f>
        <v>Sardar Yasir Ilyas</v>
      </c>
      <c r="AE1013" s="16">
        <f>VLOOKUP(E1013,'[1]Detailed Transfer Report (12)'!$K:$Y,15,FALSE)</f>
        <v>44387</v>
      </c>
    </row>
    <row r="1014" spans="1:31" x14ac:dyDescent="0.25">
      <c r="A1014" s="3">
        <v>581</v>
      </c>
      <c r="B1014" s="4">
        <v>44405</v>
      </c>
      <c r="C1014" s="3" t="s">
        <v>112</v>
      </c>
      <c r="D1014" s="3" t="s">
        <v>1435</v>
      </c>
      <c r="E1014" s="3">
        <v>540</v>
      </c>
      <c r="F1014" s="3">
        <v>30839</v>
      </c>
      <c r="G1014" s="3" t="s">
        <v>41</v>
      </c>
      <c r="H1014" s="3">
        <v>0</v>
      </c>
      <c r="I1014" s="3">
        <v>0</v>
      </c>
      <c r="J1014" s="5">
        <v>50000</v>
      </c>
      <c r="K1014" s="3">
        <v>0</v>
      </c>
      <c r="L1014" s="5">
        <v>50000</v>
      </c>
      <c r="M1014" s="3">
        <v>0</v>
      </c>
      <c r="N1014" s="5">
        <v>50000</v>
      </c>
      <c r="O1014" s="3">
        <v>0</v>
      </c>
      <c r="P1014" s="3">
        <v>0</v>
      </c>
      <c r="Q1014" s="5">
        <v>51000</v>
      </c>
      <c r="R1014" s="5">
        <v>66000</v>
      </c>
      <c r="S1014" s="3">
        <v>0</v>
      </c>
      <c r="T1014" s="5">
        <v>1300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5">
        <v>2000</v>
      </c>
      <c r="AA1014" s="3">
        <v>0</v>
      </c>
      <c r="AB1014" s="6">
        <v>270300</v>
      </c>
      <c r="AC1014" s="2" t="str">
        <f>VLOOKUP(E1014,'[1]Detailed Transfer Report (12)'!$K:$Y,13,FALSE)</f>
        <v>Muhammad Qasim</v>
      </c>
      <c r="AD1014" s="2" t="str">
        <f>VLOOKUP(E1014,'[1]Detailed Transfer Report (12)'!$K:$Y,14,FALSE)</f>
        <v>Sardar Yasir Ilyas</v>
      </c>
      <c r="AE1014" s="16">
        <f>VLOOKUP(E1014,'[1]Detailed Transfer Report (12)'!$K:$Y,15,FALSE)</f>
        <v>44462</v>
      </c>
    </row>
    <row r="1015" spans="1:31" x14ac:dyDescent="0.25">
      <c r="A1015" s="3">
        <v>582</v>
      </c>
      <c r="B1015" s="4">
        <v>44446</v>
      </c>
      <c r="C1015" s="3" t="s">
        <v>377</v>
      </c>
      <c r="D1015" s="3" t="s">
        <v>1436</v>
      </c>
      <c r="E1015" s="3">
        <v>4593</v>
      </c>
      <c r="F1015" s="3">
        <v>29578</v>
      </c>
      <c r="G1015" s="3" t="s">
        <v>30</v>
      </c>
      <c r="H1015" s="3">
        <v>0</v>
      </c>
      <c r="I1015" s="3">
        <v>0</v>
      </c>
      <c r="J1015" s="5">
        <v>4950</v>
      </c>
      <c r="K1015" s="3">
        <v>0</v>
      </c>
      <c r="L1015" s="3">
        <v>0</v>
      </c>
      <c r="M1015" s="3">
        <v>0</v>
      </c>
      <c r="N1015" s="5">
        <v>4950</v>
      </c>
      <c r="O1015" s="3">
        <v>0</v>
      </c>
      <c r="P1015" s="3">
        <v>0</v>
      </c>
      <c r="Q1015" s="5">
        <v>5450</v>
      </c>
      <c r="R1015" s="3">
        <v>0</v>
      </c>
      <c r="S1015" s="3">
        <v>0</v>
      </c>
      <c r="T1015" s="3">
        <v>300</v>
      </c>
      <c r="U1015" s="3">
        <v>0</v>
      </c>
      <c r="V1015" s="3">
        <v>0</v>
      </c>
      <c r="W1015" s="3">
        <v>0</v>
      </c>
      <c r="X1015" s="5">
        <v>1000</v>
      </c>
      <c r="Y1015" s="3">
        <v>0</v>
      </c>
      <c r="Z1015" s="5">
        <v>2000</v>
      </c>
      <c r="AA1015" s="5">
        <v>14000</v>
      </c>
      <c r="AB1015" s="6">
        <v>32650</v>
      </c>
      <c r="AC1015" s="2" t="str">
        <f>VLOOKUP(E1015,'[1]Detailed Transfer Report (12)'!$K:$Y,13,FALSE)</f>
        <v>Noor zada</v>
      </c>
      <c r="AD1015" s="2" t="str">
        <f>VLOOKUP(E1015,'[1]Detailed Transfer Report (12)'!$K:$Y,14,FALSE)</f>
        <v>Sardar Yasir Ilyas</v>
      </c>
      <c r="AE1015" s="16">
        <f>VLOOKUP(E1015,'[1]Detailed Transfer Report (12)'!$K:$Y,15,FALSE)</f>
        <v>44453</v>
      </c>
    </row>
    <row r="1016" spans="1:31" x14ac:dyDescent="0.25">
      <c r="A1016" s="3">
        <v>583</v>
      </c>
      <c r="B1016" s="4">
        <v>44447</v>
      </c>
      <c r="C1016" s="3" t="s">
        <v>205</v>
      </c>
      <c r="D1016" s="3" t="s">
        <v>1437</v>
      </c>
      <c r="E1016" s="3">
        <v>3433</v>
      </c>
      <c r="F1016" s="3">
        <v>25115</v>
      </c>
      <c r="G1016" s="3" t="s">
        <v>30</v>
      </c>
      <c r="H1016" s="3">
        <v>0</v>
      </c>
      <c r="I1016" s="3">
        <v>0</v>
      </c>
      <c r="J1016" s="5">
        <v>3630</v>
      </c>
      <c r="K1016" s="3">
        <v>0</v>
      </c>
      <c r="L1016" s="3">
        <v>0</v>
      </c>
      <c r="M1016" s="3">
        <v>0</v>
      </c>
      <c r="N1016" s="5">
        <v>3630</v>
      </c>
      <c r="O1016" s="3">
        <v>0</v>
      </c>
      <c r="P1016" s="3">
        <v>0</v>
      </c>
      <c r="Q1016" s="5">
        <v>4130</v>
      </c>
      <c r="R1016" s="3">
        <v>0</v>
      </c>
      <c r="S1016" s="3">
        <v>0</v>
      </c>
      <c r="T1016" s="3">
        <v>300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5">
        <v>2000</v>
      </c>
      <c r="AA1016" s="5">
        <v>14000</v>
      </c>
      <c r="AB1016" s="6">
        <v>27690</v>
      </c>
      <c r="AC1016" s="2" t="str">
        <f>VLOOKUP(E1016,'[1]Detailed Transfer Report (12)'!$K:$Y,13,FALSE)</f>
        <v>Yasin Ali</v>
      </c>
      <c r="AD1016" s="2" t="str">
        <f>VLOOKUP(E1016,'[1]Detailed Transfer Report (12)'!$K:$Y,14,FALSE)</f>
        <v>Sardar Yasir Ilyas</v>
      </c>
      <c r="AE1016" s="16">
        <f>VLOOKUP(E1016,'[1]Detailed Transfer Report (12)'!$K:$Y,15,FALSE)</f>
        <v>44408</v>
      </c>
    </row>
    <row r="1017" spans="1:31" x14ac:dyDescent="0.25">
      <c r="A1017" s="7">
        <v>584</v>
      </c>
      <c r="B1017" s="4">
        <v>44509</v>
      </c>
      <c r="C1017" s="3" t="s">
        <v>840</v>
      </c>
      <c r="D1017" s="3" t="s">
        <v>1431</v>
      </c>
      <c r="E1017" s="3">
        <v>555</v>
      </c>
      <c r="F1017" s="3">
        <v>4867</v>
      </c>
      <c r="G1017" s="3" t="s">
        <v>41</v>
      </c>
      <c r="H1017" s="5">
        <v>10000</v>
      </c>
      <c r="I1017" s="3">
        <v>0</v>
      </c>
      <c r="J1017" s="5">
        <v>5000</v>
      </c>
      <c r="K1017" s="3">
        <v>0</v>
      </c>
      <c r="L1017" s="3">
        <v>0</v>
      </c>
      <c r="M1017" s="3">
        <v>0</v>
      </c>
      <c r="N1017" s="5">
        <v>5000</v>
      </c>
      <c r="O1017" s="3">
        <v>0</v>
      </c>
      <c r="P1017" s="3">
        <v>0</v>
      </c>
      <c r="Q1017" s="5">
        <v>5500</v>
      </c>
      <c r="R1017" s="3">
        <v>0</v>
      </c>
      <c r="S1017" s="3">
        <v>0</v>
      </c>
      <c r="T1017" s="3">
        <v>300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5">
        <v>2000</v>
      </c>
      <c r="AA1017" s="5">
        <v>14000</v>
      </c>
      <c r="AB1017" s="6">
        <v>41800</v>
      </c>
      <c r="AC1017" s="2" t="str">
        <f>VLOOKUP(E1017,'[1]Detailed Transfer Report (12)'!$K:$Y,13,FALSE)</f>
        <v>Akhtar jan</v>
      </c>
      <c r="AD1017" s="2" t="str">
        <f>VLOOKUP(E1017,'[1]Detailed Transfer Report (12)'!$K:$Y,14,FALSE)</f>
        <v>Sardar Yasir Ilyas</v>
      </c>
      <c r="AE1017" s="16">
        <f>VLOOKUP(E1017,'[1]Detailed Transfer Report (12)'!$K:$Y,15,FALSE)</f>
        <v>44523</v>
      </c>
    </row>
    <row r="1018" spans="1:31" x14ac:dyDescent="0.25">
      <c r="A1018" s="10">
        <v>584</v>
      </c>
      <c r="B1018" s="4">
        <v>44504</v>
      </c>
      <c r="C1018" s="3" t="s">
        <v>303</v>
      </c>
      <c r="D1018" s="3" t="s">
        <v>1438</v>
      </c>
      <c r="E1018" s="3">
        <v>546</v>
      </c>
      <c r="F1018" s="3">
        <v>3079</v>
      </c>
      <c r="G1018" s="3" t="s">
        <v>41</v>
      </c>
      <c r="H1018" s="5">
        <v>17000</v>
      </c>
      <c r="I1018" s="3">
        <v>0</v>
      </c>
      <c r="J1018" s="5">
        <v>8010</v>
      </c>
      <c r="K1018" s="3">
        <v>0</v>
      </c>
      <c r="L1018" s="3">
        <v>0</v>
      </c>
      <c r="M1018" s="3">
        <v>0</v>
      </c>
      <c r="N1018" s="5">
        <v>8010</v>
      </c>
      <c r="O1018" s="3">
        <v>0</v>
      </c>
      <c r="P1018" s="3">
        <v>0</v>
      </c>
      <c r="Q1018" s="5">
        <v>9010</v>
      </c>
      <c r="R1018" s="3">
        <v>0</v>
      </c>
      <c r="S1018" s="3">
        <v>0</v>
      </c>
      <c r="T1018" s="3">
        <v>300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5">
        <v>2000</v>
      </c>
      <c r="AA1018" s="5">
        <v>14000</v>
      </c>
      <c r="AB1018" s="6">
        <v>100130</v>
      </c>
      <c r="AC1018" s="2" t="str">
        <f>VLOOKUP(E1018,'[1]Detailed Transfer Report (12)'!$K:$Y,13,FALSE)</f>
        <v>Abdul Qayyum Khan</v>
      </c>
      <c r="AD1018" s="2" t="str">
        <f>VLOOKUP(E1018,'[1]Detailed Transfer Report (12)'!$K:$Y,14,FALSE)</f>
        <v>Sardar Yasir Ilyas</v>
      </c>
      <c r="AE1018" s="16">
        <f>VLOOKUP(E1018,'[1]Detailed Transfer Report (12)'!$K:$Y,15,FALSE)</f>
        <v>44504</v>
      </c>
    </row>
    <row r="1019" spans="1:31" x14ac:dyDescent="0.25">
      <c r="A1019" s="7">
        <v>585</v>
      </c>
      <c r="B1019" s="4">
        <v>44496</v>
      </c>
      <c r="C1019" s="3" t="s">
        <v>44</v>
      </c>
      <c r="D1019" s="3" t="s">
        <v>1439</v>
      </c>
      <c r="E1019" s="3">
        <v>3828</v>
      </c>
      <c r="F1019" s="3">
        <v>30671</v>
      </c>
      <c r="G1019" s="3" t="s">
        <v>1179</v>
      </c>
      <c r="H1019" s="3">
        <v>0</v>
      </c>
      <c r="I1019" s="3">
        <v>0</v>
      </c>
      <c r="J1019" s="5">
        <v>25000</v>
      </c>
      <c r="K1019" s="3">
        <v>0</v>
      </c>
      <c r="L1019" s="3">
        <v>0</v>
      </c>
      <c r="M1019" s="3">
        <v>0</v>
      </c>
      <c r="N1019" s="5">
        <v>25000</v>
      </c>
      <c r="O1019" s="3">
        <v>0</v>
      </c>
      <c r="P1019" s="3">
        <v>0</v>
      </c>
      <c r="Q1019" s="5">
        <v>26000</v>
      </c>
      <c r="R1019" s="3">
        <v>0</v>
      </c>
      <c r="S1019" s="3">
        <v>0</v>
      </c>
      <c r="T1019" s="3">
        <v>300</v>
      </c>
      <c r="U1019" s="3">
        <v>0</v>
      </c>
      <c r="V1019" s="3">
        <v>0</v>
      </c>
      <c r="W1019" s="3">
        <v>0</v>
      </c>
      <c r="X1019" s="5">
        <v>1000</v>
      </c>
      <c r="Y1019" s="3">
        <v>0</v>
      </c>
      <c r="Z1019" s="5">
        <v>2000</v>
      </c>
      <c r="AA1019" s="5">
        <v>16000</v>
      </c>
      <c r="AB1019" s="6">
        <v>95300</v>
      </c>
      <c r="AC1019" s="2" t="str">
        <f>VLOOKUP(E1019,'[1]Detailed Transfer Report (12)'!$K:$Y,13,FALSE)</f>
        <v>Zumurd Khan</v>
      </c>
      <c r="AD1019" s="2" t="str">
        <f>VLOOKUP(E1019,'[1]Detailed Transfer Report (12)'!$K:$Y,14,FALSE)</f>
        <v>Sardar Yasir Ilyas</v>
      </c>
      <c r="AE1019" s="16">
        <f>VLOOKUP(E1019,'[1]Detailed Transfer Report (12)'!$K:$Y,15,FALSE)</f>
        <v>44461</v>
      </c>
    </row>
    <row r="1020" spans="1:31" x14ac:dyDescent="0.25">
      <c r="A1020" s="9">
        <v>585</v>
      </c>
      <c r="B1020" s="4">
        <v>44496</v>
      </c>
      <c r="C1020" s="3" t="s">
        <v>1440</v>
      </c>
      <c r="D1020" s="3" t="s">
        <v>1439</v>
      </c>
      <c r="E1020" s="3"/>
      <c r="F1020" s="3">
        <v>31921</v>
      </c>
      <c r="G1020" s="3" t="s">
        <v>1179</v>
      </c>
      <c r="H1020" s="3">
        <v>0</v>
      </c>
      <c r="I1020" s="3">
        <v>0</v>
      </c>
      <c r="J1020" s="5">
        <v>163000</v>
      </c>
      <c r="K1020" s="3">
        <v>0</v>
      </c>
      <c r="L1020" s="3">
        <v>0</v>
      </c>
      <c r="M1020" s="3">
        <v>0</v>
      </c>
      <c r="N1020" s="5">
        <v>180000</v>
      </c>
      <c r="O1020" s="3">
        <v>0</v>
      </c>
      <c r="P1020" s="3">
        <v>0</v>
      </c>
      <c r="Q1020" s="5">
        <v>164000</v>
      </c>
      <c r="R1020" s="3">
        <v>0</v>
      </c>
      <c r="S1020" s="3">
        <v>0</v>
      </c>
      <c r="T1020" s="3">
        <v>300</v>
      </c>
      <c r="U1020" s="3">
        <v>0</v>
      </c>
      <c r="V1020" s="3">
        <v>0</v>
      </c>
      <c r="W1020" s="3">
        <v>0</v>
      </c>
      <c r="X1020" s="5">
        <v>1000</v>
      </c>
      <c r="Y1020" s="3">
        <v>0</v>
      </c>
      <c r="Z1020" s="5">
        <v>2000</v>
      </c>
      <c r="AA1020" s="5">
        <v>270000</v>
      </c>
      <c r="AB1020" s="6">
        <v>875600</v>
      </c>
      <c r="AC1020" s="2" t="str">
        <f>VLOOKUP(F1020,'[1]Detailed Transfer Report (12)'!$L:$Y,12,FALSE)</f>
        <v>Zahida parveen</v>
      </c>
      <c r="AD1020" s="2" t="str">
        <f>VLOOKUP(F1020,'[1]Detailed Transfer Report (12)'!$L:$Y,13,FALSE)</f>
        <v>Sardar Yasir Ilyas</v>
      </c>
      <c r="AE1020" s="16">
        <f>VLOOKUP(F1020,'[1]Detailed Transfer Report (12)'!$L:$Y,14,FALSE)</f>
        <v>44470</v>
      </c>
    </row>
    <row r="1021" spans="1:31" x14ac:dyDescent="0.25">
      <c r="A1021" s="10">
        <v>585</v>
      </c>
      <c r="B1021" s="4">
        <v>44537</v>
      </c>
      <c r="C1021" s="3" t="s">
        <v>1441</v>
      </c>
      <c r="D1021" s="3" t="s">
        <v>1442</v>
      </c>
      <c r="E1021" s="3">
        <v>3827</v>
      </c>
      <c r="F1021" s="3">
        <v>1975</v>
      </c>
      <c r="G1021" s="3" t="s">
        <v>1179</v>
      </c>
      <c r="H1021" s="5">
        <v>25440</v>
      </c>
      <c r="I1021" s="3">
        <v>0</v>
      </c>
      <c r="J1021" s="5">
        <v>45900</v>
      </c>
      <c r="K1021" s="3">
        <v>0</v>
      </c>
      <c r="L1021" s="3">
        <v>0</v>
      </c>
      <c r="M1021" s="3">
        <v>0</v>
      </c>
      <c r="N1021" s="5">
        <v>30600</v>
      </c>
      <c r="O1021" s="3">
        <v>0</v>
      </c>
      <c r="P1021" s="3">
        <v>0</v>
      </c>
      <c r="Q1021" s="5">
        <v>37760</v>
      </c>
      <c r="R1021" s="5">
        <v>30600</v>
      </c>
      <c r="S1021" s="3">
        <v>0</v>
      </c>
      <c r="T1021" s="5">
        <v>18400</v>
      </c>
      <c r="U1021" s="3">
        <v>0</v>
      </c>
      <c r="V1021" s="3">
        <v>0</v>
      </c>
      <c r="W1021" s="5">
        <v>65000</v>
      </c>
      <c r="X1021" s="5">
        <v>1000</v>
      </c>
      <c r="Y1021" s="3">
        <v>0</v>
      </c>
      <c r="Z1021" s="5">
        <v>2000</v>
      </c>
      <c r="AA1021" s="5">
        <v>32000</v>
      </c>
      <c r="AB1021" s="6">
        <v>1164300</v>
      </c>
      <c r="AC1021" s="2" t="str">
        <f>VLOOKUP(E1021,'[1]Detailed Transfer Report (12)'!$K:$Y,13,FALSE)</f>
        <v>Syed Qaiser Mehmood</v>
      </c>
      <c r="AD1021" s="2" t="str">
        <f>VLOOKUP(E1021,'[1]Detailed Transfer Report (12)'!$K:$Y,14,FALSE)</f>
        <v>Sardar Yasir Ilyas</v>
      </c>
      <c r="AE1021" s="16">
        <f>VLOOKUP(E1021,'[1]Detailed Transfer Report (12)'!$K:$Y,15,FALSE)</f>
        <v>44581</v>
      </c>
    </row>
    <row r="1022" spans="1:31" x14ac:dyDescent="0.25">
      <c r="A1022" s="7">
        <v>586</v>
      </c>
      <c r="B1022" s="4">
        <v>44509</v>
      </c>
      <c r="C1022" s="3" t="s">
        <v>1443</v>
      </c>
      <c r="D1022" s="3" t="s">
        <v>1433</v>
      </c>
      <c r="E1022" s="3">
        <v>3831</v>
      </c>
      <c r="F1022" s="3">
        <v>31582</v>
      </c>
      <c r="G1022" s="3" t="s">
        <v>1179</v>
      </c>
      <c r="H1022" s="3">
        <v>0</v>
      </c>
      <c r="I1022" s="3">
        <v>0</v>
      </c>
      <c r="J1022" s="5">
        <v>4000</v>
      </c>
      <c r="K1022" s="3">
        <v>0</v>
      </c>
      <c r="L1022" s="3">
        <v>0</v>
      </c>
      <c r="M1022" s="3">
        <v>0</v>
      </c>
      <c r="N1022" s="5">
        <v>4000</v>
      </c>
      <c r="O1022" s="3">
        <v>0</v>
      </c>
      <c r="P1022" s="3">
        <v>0</v>
      </c>
      <c r="Q1022" s="5">
        <v>4500</v>
      </c>
      <c r="R1022" s="3">
        <v>0</v>
      </c>
      <c r="S1022" s="3">
        <v>0</v>
      </c>
      <c r="T1022" s="3">
        <v>300</v>
      </c>
      <c r="U1022" s="3">
        <v>0</v>
      </c>
      <c r="V1022" s="3">
        <v>0</v>
      </c>
      <c r="W1022" s="3">
        <v>0</v>
      </c>
      <c r="X1022" s="5">
        <v>1000</v>
      </c>
      <c r="Y1022" s="3">
        <v>0</v>
      </c>
      <c r="Z1022" s="5">
        <v>2000</v>
      </c>
      <c r="AA1022" s="5">
        <v>14000</v>
      </c>
      <c r="AB1022" s="6">
        <v>29800</v>
      </c>
      <c r="AC1022" s="2" t="str">
        <f>VLOOKUP(E1022,'[1]Detailed Transfer Report (12)'!$K:$Y,13,FALSE)</f>
        <v>Hina gul</v>
      </c>
      <c r="AD1022" s="2" t="str">
        <f>VLOOKUP(E1022,'[1]Detailed Transfer Report (12)'!$K:$Y,14,FALSE)</f>
        <v>Sardar Yasir Ilyas</v>
      </c>
      <c r="AE1022" s="16">
        <f>VLOOKUP(E1022,'[1]Detailed Transfer Report (12)'!$K:$Y,15,FALSE)</f>
        <v>44468</v>
      </c>
    </row>
    <row r="1023" spans="1:31" x14ac:dyDescent="0.25">
      <c r="A1023" s="9">
        <v>586</v>
      </c>
      <c r="B1023" s="4">
        <v>44509</v>
      </c>
      <c r="C1023" s="3" t="s">
        <v>1444</v>
      </c>
      <c r="D1023" s="3" t="s">
        <v>1431</v>
      </c>
      <c r="E1023" s="3">
        <v>3858</v>
      </c>
      <c r="F1023" s="3">
        <v>33745</v>
      </c>
      <c r="G1023" s="3" t="s">
        <v>1179</v>
      </c>
      <c r="H1023" s="3">
        <v>0</v>
      </c>
      <c r="I1023" s="3">
        <v>0</v>
      </c>
      <c r="J1023" s="5">
        <v>21700</v>
      </c>
      <c r="K1023" s="3">
        <v>0</v>
      </c>
      <c r="L1023" s="3">
        <v>0</v>
      </c>
      <c r="M1023" s="3">
        <v>0</v>
      </c>
      <c r="N1023" s="5">
        <v>21700</v>
      </c>
      <c r="O1023" s="3">
        <v>0</v>
      </c>
      <c r="P1023" s="3">
        <v>0</v>
      </c>
      <c r="Q1023" s="5">
        <v>22700</v>
      </c>
      <c r="R1023" s="3">
        <v>0</v>
      </c>
      <c r="S1023" s="3">
        <v>0</v>
      </c>
      <c r="T1023" s="3">
        <v>300</v>
      </c>
      <c r="U1023" s="3">
        <v>0</v>
      </c>
      <c r="V1023" s="3">
        <v>0</v>
      </c>
      <c r="W1023" s="3">
        <v>0</v>
      </c>
      <c r="X1023" s="5">
        <v>1000</v>
      </c>
      <c r="Y1023" s="3">
        <v>0</v>
      </c>
      <c r="Z1023" s="5">
        <v>2000</v>
      </c>
      <c r="AA1023" s="5">
        <v>16000</v>
      </c>
      <c r="AB1023" s="6">
        <v>115200</v>
      </c>
      <c r="AC1023" s="2" t="str">
        <f>VLOOKUP(E1023,'[1]Detailed Transfer Report (12)'!$K:$Y,13,FALSE)</f>
        <v>Iraj zaman</v>
      </c>
      <c r="AD1023" s="2" t="str">
        <f>VLOOKUP(E1023,'[1]Detailed Transfer Report (12)'!$K:$Y,14,FALSE)</f>
        <v>Sardar Yasir Ilyas</v>
      </c>
      <c r="AE1023" s="16">
        <f>VLOOKUP(E1023,'[1]Detailed Transfer Report (12)'!$K:$Y,15,FALSE)</f>
        <v>44483</v>
      </c>
    </row>
    <row r="1024" spans="1:31" x14ac:dyDescent="0.25">
      <c r="A1024" s="9">
        <v>586</v>
      </c>
      <c r="B1024" s="4">
        <v>44509</v>
      </c>
      <c r="C1024" s="3" t="s">
        <v>1445</v>
      </c>
      <c r="D1024" s="3" t="s">
        <v>1433</v>
      </c>
      <c r="E1024" s="3">
        <v>3839</v>
      </c>
      <c r="F1024" s="3">
        <v>35066</v>
      </c>
      <c r="G1024" s="3" t="s">
        <v>1179</v>
      </c>
      <c r="H1024" s="3">
        <v>0</v>
      </c>
      <c r="I1024" s="3">
        <v>0</v>
      </c>
      <c r="J1024" s="5">
        <v>3000</v>
      </c>
      <c r="K1024" s="3">
        <v>0</v>
      </c>
      <c r="L1024" s="3">
        <v>0</v>
      </c>
      <c r="M1024" s="3">
        <v>0</v>
      </c>
      <c r="N1024" s="5">
        <v>3000</v>
      </c>
      <c r="O1024" s="3">
        <v>0</v>
      </c>
      <c r="P1024" s="3">
        <v>0</v>
      </c>
      <c r="Q1024" s="5">
        <v>3500</v>
      </c>
      <c r="R1024" s="5">
        <v>6000</v>
      </c>
      <c r="S1024" s="3">
        <v>0</v>
      </c>
      <c r="T1024" s="3">
        <v>300</v>
      </c>
      <c r="U1024" s="3">
        <v>0</v>
      </c>
      <c r="V1024" s="3">
        <v>0</v>
      </c>
      <c r="W1024" s="3">
        <v>0</v>
      </c>
      <c r="X1024" s="5">
        <v>1000</v>
      </c>
      <c r="Y1024" s="3">
        <v>0</v>
      </c>
      <c r="Z1024" s="5">
        <v>2000</v>
      </c>
      <c r="AA1024" s="5">
        <v>14000</v>
      </c>
      <c r="AB1024" s="6">
        <v>148000</v>
      </c>
      <c r="AC1024" s="2" t="str">
        <f>VLOOKUP(E1024,'[1]Detailed Transfer Report (12)'!$K:$Y,13,FALSE)</f>
        <v>M saleem</v>
      </c>
      <c r="AD1024" s="2" t="str">
        <f>VLOOKUP(E1024,'[1]Detailed Transfer Report (12)'!$K:$Y,14,FALSE)</f>
        <v>Sardar Yasir Ilyas</v>
      </c>
      <c r="AE1024" s="16">
        <f>VLOOKUP(E1024,'[1]Detailed Transfer Report (12)'!$K:$Y,15,FALSE)</f>
        <v>44496</v>
      </c>
    </row>
    <row r="1025" spans="1:31" x14ac:dyDescent="0.25">
      <c r="A1025" s="10">
        <v>586</v>
      </c>
      <c r="B1025" s="4">
        <v>44496</v>
      </c>
      <c r="C1025" s="3" t="s">
        <v>205</v>
      </c>
      <c r="D1025" s="3" t="s">
        <v>1439</v>
      </c>
      <c r="E1025" s="3">
        <v>3829</v>
      </c>
      <c r="F1025" s="3">
        <v>31583</v>
      </c>
      <c r="G1025" s="3" t="s">
        <v>1179</v>
      </c>
      <c r="H1025" s="3">
        <v>0</v>
      </c>
      <c r="I1025" s="3">
        <v>0</v>
      </c>
      <c r="J1025" s="5">
        <v>7000</v>
      </c>
      <c r="K1025" s="3">
        <v>0</v>
      </c>
      <c r="L1025" s="3">
        <v>0</v>
      </c>
      <c r="M1025" s="3">
        <v>0</v>
      </c>
      <c r="N1025" s="5">
        <v>7000</v>
      </c>
      <c r="O1025" s="3">
        <v>0</v>
      </c>
      <c r="P1025" s="3">
        <v>0</v>
      </c>
      <c r="Q1025" s="5">
        <v>8000</v>
      </c>
      <c r="R1025" s="3">
        <v>0</v>
      </c>
      <c r="S1025" s="3">
        <v>0</v>
      </c>
      <c r="T1025" s="3">
        <v>300</v>
      </c>
      <c r="U1025" s="3">
        <v>0</v>
      </c>
      <c r="V1025" s="3">
        <v>0</v>
      </c>
      <c r="W1025" s="3">
        <v>0</v>
      </c>
      <c r="X1025" s="5">
        <v>1000</v>
      </c>
      <c r="Y1025" s="3">
        <v>0</v>
      </c>
      <c r="Z1025" s="5">
        <v>2000</v>
      </c>
      <c r="AA1025" s="5">
        <v>14000</v>
      </c>
      <c r="AB1025" s="6">
        <v>187300</v>
      </c>
      <c r="AC1025" s="2" t="str">
        <f>VLOOKUP(E1025,'[1]Detailed Transfer Report (12)'!$K:$Y,13,FALSE)</f>
        <v>Nighat shaheen</v>
      </c>
      <c r="AD1025" s="2" t="str">
        <f>VLOOKUP(E1025,'[1]Detailed Transfer Report (12)'!$K:$Y,14,FALSE)</f>
        <v>Sardar Yasir Ilyas</v>
      </c>
      <c r="AE1025" s="16">
        <f>VLOOKUP(E1025,'[1]Detailed Transfer Report (12)'!$K:$Y,15,FALSE)</f>
        <v>44468</v>
      </c>
    </row>
    <row r="1026" spans="1:31" x14ac:dyDescent="0.25">
      <c r="A1026" s="3">
        <v>587</v>
      </c>
      <c r="B1026" s="4">
        <v>44448</v>
      </c>
      <c r="C1026" s="3" t="s">
        <v>153</v>
      </c>
      <c r="D1026" s="3" t="s">
        <v>1406</v>
      </c>
      <c r="E1026" s="3">
        <v>4588</v>
      </c>
      <c r="F1026" s="3">
        <v>30035</v>
      </c>
      <c r="G1026" s="3" t="s">
        <v>30</v>
      </c>
      <c r="H1026" s="3">
        <v>0</v>
      </c>
      <c r="I1026" s="3">
        <v>0</v>
      </c>
      <c r="J1026" s="5">
        <v>3030</v>
      </c>
      <c r="K1026" s="3">
        <v>0</v>
      </c>
      <c r="L1026" s="3">
        <v>0</v>
      </c>
      <c r="M1026" s="3">
        <v>0</v>
      </c>
      <c r="N1026" s="5">
        <v>3030</v>
      </c>
      <c r="O1026" s="3">
        <v>0</v>
      </c>
      <c r="P1026" s="3">
        <v>0</v>
      </c>
      <c r="Q1026" s="5">
        <v>3530</v>
      </c>
      <c r="R1026" s="5">
        <v>6060</v>
      </c>
      <c r="S1026" s="3">
        <v>0</v>
      </c>
      <c r="T1026" s="3">
        <v>300</v>
      </c>
      <c r="U1026" s="3">
        <v>0</v>
      </c>
      <c r="V1026" s="3">
        <v>0</v>
      </c>
      <c r="W1026" s="3">
        <v>0</v>
      </c>
      <c r="X1026" s="5">
        <v>1000</v>
      </c>
      <c r="Y1026" s="3">
        <v>0</v>
      </c>
      <c r="Z1026" s="5">
        <v>2000</v>
      </c>
      <c r="AA1026" s="5">
        <v>14000</v>
      </c>
      <c r="AB1026" s="6">
        <v>32950</v>
      </c>
      <c r="AC1026" s="2" t="str">
        <f>VLOOKUP(E1026,'[1]Detailed Transfer Report (12)'!$K:$Y,13,FALSE)</f>
        <v>Zahra</v>
      </c>
      <c r="AD1026" s="2" t="str">
        <f>VLOOKUP(E1026,'[1]Detailed Transfer Report (12)'!$K:$Y,14,FALSE)</f>
        <v>Sardar Yasir Ilyas</v>
      </c>
      <c r="AE1026" s="16">
        <f>VLOOKUP(E1026,'[1]Detailed Transfer Report (12)'!$K:$Y,15,FALSE)</f>
        <v>44455</v>
      </c>
    </row>
    <row r="1027" spans="1:31" x14ac:dyDescent="0.25">
      <c r="A1027" s="3">
        <v>588</v>
      </c>
      <c r="B1027" s="4">
        <v>44467</v>
      </c>
      <c r="C1027" s="3" t="s">
        <v>137</v>
      </c>
      <c r="D1027" s="3" t="s">
        <v>1406</v>
      </c>
      <c r="E1027" s="3">
        <v>4993</v>
      </c>
      <c r="F1027" s="3">
        <v>29789</v>
      </c>
      <c r="G1027" s="3" t="s">
        <v>756</v>
      </c>
      <c r="H1027" s="3">
        <v>0</v>
      </c>
      <c r="I1027" s="3">
        <v>0</v>
      </c>
      <c r="J1027" s="5">
        <v>7260</v>
      </c>
      <c r="K1027" s="3">
        <v>0</v>
      </c>
      <c r="L1027" s="3">
        <v>0</v>
      </c>
      <c r="M1027" s="3">
        <v>0</v>
      </c>
      <c r="N1027" s="5">
        <v>7260</v>
      </c>
      <c r="O1027" s="3">
        <v>0</v>
      </c>
      <c r="P1027" s="3">
        <v>0</v>
      </c>
      <c r="Q1027" s="5">
        <v>8260</v>
      </c>
      <c r="R1027" s="3">
        <v>0</v>
      </c>
      <c r="S1027" s="3">
        <v>0</v>
      </c>
      <c r="T1027" s="3">
        <v>300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5">
        <v>2000</v>
      </c>
      <c r="AA1027" s="5">
        <v>14000</v>
      </c>
      <c r="AB1027" s="6">
        <v>39080</v>
      </c>
      <c r="AC1027" s="2" t="str">
        <f>VLOOKUP(E1027,'[1]Detailed Transfer Report (12)'!$K:$Y,13,FALSE)</f>
        <v>Adeel bashir</v>
      </c>
      <c r="AD1027" s="2" t="str">
        <f>VLOOKUP(E1027,'[1]Detailed Transfer Report (12)'!$K:$Y,14,FALSE)</f>
        <v>Sardar Yasir Ilyas</v>
      </c>
      <c r="AE1027" s="16">
        <f>VLOOKUP(E1027,'[1]Detailed Transfer Report (12)'!$K:$Y,15,FALSE)</f>
        <v>44454</v>
      </c>
    </row>
    <row r="1028" spans="1:31" x14ac:dyDescent="0.25">
      <c r="A1028" s="3">
        <v>589</v>
      </c>
      <c r="B1028" s="4">
        <v>44537</v>
      </c>
      <c r="C1028" s="3" t="s">
        <v>1446</v>
      </c>
      <c r="D1028" s="3" t="s">
        <v>1361</v>
      </c>
      <c r="E1028" s="3">
        <v>3837</v>
      </c>
      <c r="F1028" s="3">
        <v>3262</v>
      </c>
      <c r="G1028" s="3" t="s">
        <v>1179</v>
      </c>
      <c r="H1028" s="5">
        <v>300000</v>
      </c>
      <c r="I1028" s="3">
        <v>0</v>
      </c>
      <c r="J1028" s="5">
        <v>150000</v>
      </c>
      <c r="K1028" s="3">
        <v>0</v>
      </c>
      <c r="L1028" s="3">
        <v>0</v>
      </c>
      <c r="M1028" s="3">
        <v>0</v>
      </c>
      <c r="N1028" s="5">
        <v>150000</v>
      </c>
      <c r="O1028" s="3">
        <v>0</v>
      </c>
      <c r="P1028" s="3">
        <v>0</v>
      </c>
      <c r="Q1028" s="5">
        <v>151000</v>
      </c>
      <c r="R1028" s="3">
        <v>0</v>
      </c>
      <c r="S1028" s="3">
        <v>0</v>
      </c>
      <c r="T1028" s="3">
        <v>300</v>
      </c>
      <c r="U1028" s="3">
        <v>0</v>
      </c>
      <c r="V1028" s="3">
        <v>0</v>
      </c>
      <c r="W1028" s="3">
        <v>0</v>
      </c>
      <c r="X1028" s="5">
        <v>1000</v>
      </c>
      <c r="Y1028" s="3">
        <v>0</v>
      </c>
      <c r="Z1028" s="5">
        <v>2000</v>
      </c>
      <c r="AA1028" s="5">
        <v>186000</v>
      </c>
      <c r="AB1028" s="6">
        <v>940300</v>
      </c>
      <c r="AC1028" s="2" t="str">
        <f>VLOOKUP(E1028,'[1]Detailed Transfer Report (12)'!$K:$Y,13,FALSE)</f>
        <v>Muhammad Pervaiz</v>
      </c>
      <c r="AD1028" s="2" t="str">
        <f>VLOOKUP(E1028,'[1]Detailed Transfer Report (12)'!$K:$Y,14,FALSE)</f>
        <v>Sardar Yasir Ilyas</v>
      </c>
      <c r="AE1028" s="16">
        <f>VLOOKUP(E1028,'[1]Detailed Transfer Report (12)'!$K:$Y,15,FALSE)</f>
        <v>44506</v>
      </c>
    </row>
    <row r="1029" spans="1:31" x14ac:dyDescent="0.25">
      <c r="A1029" s="3">
        <v>590</v>
      </c>
      <c r="B1029" s="4">
        <v>44509</v>
      </c>
      <c r="C1029" s="3" t="s">
        <v>46</v>
      </c>
      <c r="D1029" s="3" t="s">
        <v>1322</v>
      </c>
      <c r="E1029" s="3">
        <v>3875</v>
      </c>
      <c r="F1029" s="3">
        <v>4092</v>
      </c>
      <c r="G1029" s="3" t="s">
        <v>30</v>
      </c>
      <c r="H1029" s="3">
        <v>0</v>
      </c>
      <c r="I1029" s="3">
        <v>0</v>
      </c>
      <c r="J1029" s="5">
        <v>35000</v>
      </c>
      <c r="K1029" s="3">
        <v>0</v>
      </c>
      <c r="L1029" s="3">
        <v>0</v>
      </c>
      <c r="M1029" s="3">
        <v>0</v>
      </c>
      <c r="N1029" s="5">
        <v>35000</v>
      </c>
      <c r="O1029" s="3">
        <v>0</v>
      </c>
      <c r="P1029" s="3">
        <v>0</v>
      </c>
      <c r="Q1029" s="5">
        <v>106000</v>
      </c>
      <c r="R1029" s="3">
        <v>0</v>
      </c>
      <c r="S1029" s="3">
        <v>0</v>
      </c>
      <c r="T1029" s="3">
        <v>300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5">
        <v>2000</v>
      </c>
      <c r="AA1029" s="5">
        <v>51000</v>
      </c>
      <c r="AB1029" s="6">
        <v>229300</v>
      </c>
      <c r="AC1029" s="2" t="str">
        <f>VLOOKUP(E1029,'[1]Detailed Transfer Report (12)'!$K:$Y,13,FALSE)</f>
        <v>Musarat bibi</v>
      </c>
      <c r="AD1029" s="2" t="str">
        <f>VLOOKUP(E1029,'[1]Detailed Transfer Report (12)'!$K:$Y,14,FALSE)</f>
        <v>Sardar Yasir Ilyas</v>
      </c>
      <c r="AE1029" s="16">
        <f>VLOOKUP(E1029,'[1]Detailed Transfer Report (12)'!$K:$Y,15,FALSE)</f>
        <v>44516</v>
      </c>
    </row>
    <row r="1030" spans="1:31" x14ac:dyDescent="0.25">
      <c r="A1030" s="3">
        <v>591</v>
      </c>
      <c r="B1030" s="4">
        <v>44537</v>
      </c>
      <c r="C1030" s="3" t="s">
        <v>700</v>
      </c>
      <c r="D1030" s="3" t="s">
        <v>1361</v>
      </c>
      <c r="E1030" s="3">
        <v>5032</v>
      </c>
      <c r="F1030" s="3">
        <v>4889</v>
      </c>
      <c r="G1030" s="3" t="s">
        <v>756</v>
      </c>
      <c r="H1030" s="3">
        <v>0</v>
      </c>
      <c r="I1030" s="3">
        <v>0</v>
      </c>
      <c r="J1030" s="5">
        <v>6750</v>
      </c>
      <c r="K1030" s="3">
        <v>0</v>
      </c>
      <c r="L1030" s="3">
        <v>0</v>
      </c>
      <c r="M1030" s="3">
        <v>0</v>
      </c>
      <c r="N1030" s="5">
        <v>6750</v>
      </c>
      <c r="O1030" s="3">
        <v>0</v>
      </c>
      <c r="P1030" s="3">
        <v>0</v>
      </c>
      <c r="Q1030" s="5">
        <v>21250</v>
      </c>
      <c r="R1030" s="3">
        <v>0</v>
      </c>
      <c r="S1030" s="3">
        <v>0</v>
      </c>
      <c r="T1030" s="3">
        <v>300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5">
        <v>4000</v>
      </c>
      <c r="AA1030" s="5">
        <v>14000</v>
      </c>
      <c r="AB1030" s="6">
        <v>53050</v>
      </c>
      <c r="AC1030" s="2" t="str">
        <f>VLOOKUP(E1030,'[1]Detailed Transfer Report (12)'!$K:$Y,13,FALSE)</f>
        <v>Muhammad Masood Awan</v>
      </c>
      <c r="AD1030" s="2" t="str">
        <f>VLOOKUP(E1030,'[1]Detailed Transfer Report (12)'!$K:$Y,14,FALSE)</f>
        <v>Sardar Yasir Ilyas</v>
      </c>
      <c r="AE1030" s="16">
        <f>VLOOKUP(E1030,'[1]Detailed Transfer Report (12)'!$K:$Y,15,FALSE)</f>
        <v>44523</v>
      </c>
    </row>
    <row r="1031" spans="1:31" x14ac:dyDescent="0.25">
      <c r="A1031" s="7">
        <v>592</v>
      </c>
      <c r="B1031" s="4">
        <v>44537</v>
      </c>
      <c r="C1031" s="3" t="s">
        <v>46</v>
      </c>
      <c r="D1031" s="3" t="s">
        <v>1442</v>
      </c>
      <c r="E1031" s="3">
        <v>5081</v>
      </c>
      <c r="F1031" s="3">
        <v>7314</v>
      </c>
      <c r="G1031" s="3" t="s">
        <v>756</v>
      </c>
      <c r="H1031" s="3">
        <v>0</v>
      </c>
      <c r="I1031" s="3">
        <v>0</v>
      </c>
      <c r="J1031" s="5">
        <v>30000</v>
      </c>
      <c r="K1031" s="3">
        <v>0</v>
      </c>
      <c r="L1031" s="3">
        <v>0</v>
      </c>
      <c r="M1031" s="3">
        <v>0</v>
      </c>
      <c r="N1031" s="5">
        <v>30000</v>
      </c>
      <c r="O1031" s="3">
        <v>0</v>
      </c>
      <c r="P1031" s="3">
        <v>0</v>
      </c>
      <c r="Q1031" s="5">
        <v>91000</v>
      </c>
      <c r="R1031" s="5">
        <v>60000</v>
      </c>
      <c r="S1031" s="3">
        <v>0</v>
      </c>
      <c r="T1031" s="3">
        <v>300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5">
        <v>2000</v>
      </c>
      <c r="AA1031" s="5">
        <v>56000</v>
      </c>
      <c r="AB1031" s="6">
        <v>269300</v>
      </c>
      <c r="AC1031" s="2" t="str">
        <f>VLOOKUP(E1031,'[1]Detailed Transfer Report (12)'!$K:$Y,13,FALSE)</f>
        <v>M noor khan</v>
      </c>
      <c r="AD1031" s="2" t="str">
        <f>VLOOKUP(E1031,'[1]Detailed Transfer Report (12)'!$K:$Y,14,FALSE)</f>
        <v>Sardar Yasir Ilyas</v>
      </c>
      <c r="AE1031" s="16">
        <f>VLOOKUP(E1031,'[1]Detailed Transfer Report (12)'!$K:$Y,15,FALSE)</f>
        <v>44546</v>
      </c>
    </row>
    <row r="1032" spans="1:31" x14ac:dyDescent="0.25">
      <c r="A1032" s="10">
        <v>592</v>
      </c>
      <c r="B1032" s="4">
        <v>44518</v>
      </c>
      <c r="C1032" s="3" t="s">
        <v>323</v>
      </c>
      <c r="D1032" s="3" t="s">
        <v>1442</v>
      </c>
      <c r="E1032" s="3">
        <v>5082</v>
      </c>
      <c r="F1032" s="3">
        <v>7315</v>
      </c>
      <c r="G1032" s="3" t="s">
        <v>756</v>
      </c>
      <c r="H1032" s="3">
        <v>0</v>
      </c>
      <c r="I1032" s="3">
        <v>0</v>
      </c>
      <c r="J1032" s="5">
        <v>60000</v>
      </c>
      <c r="K1032" s="3">
        <v>0</v>
      </c>
      <c r="L1032" s="3">
        <v>0</v>
      </c>
      <c r="M1032" s="3">
        <v>0</v>
      </c>
      <c r="N1032" s="5">
        <v>60000</v>
      </c>
      <c r="O1032" s="3">
        <v>0</v>
      </c>
      <c r="P1032" s="3">
        <v>0</v>
      </c>
      <c r="Q1032" s="5">
        <v>181000</v>
      </c>
      <c r="R1032" s="5">
        <v>120000</v>
      </c>
      <c r="S1032" s="3">
        <v>0</v>
      </c>
      <c r="T1032" s="3">
        <v>300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5">
        <v>2000</v>
      </c>
      <c r="AA1032" s="5">
        <v>86000</v>
      </c>
      <c r="AB1032" s="6">
        <v>778600</v>
      </c>
      <c r="AC1032" s="2" t="str">
        <f>VLOOKUP(E1032,'[1]Detailed Transfer Report (12)'!$K:$Y,13,FALSE)</f>
        <v>Akbar Khan</v>
      </c>
      <c r="AD1032" s="2" t="str">
        <f>VLOOKUP(E1032,'[1]Detailed Transfer Report (12)'!$K:$Y,14,FALSE)</f>
        <v>Sardar Yasir Ilyas</v>
      </c>
      <c r="AE1032" s="16">
        <f>VLOOKUP(E1032,'[1]Detailed Transfer Report (12)'!$K:$Y,15,FALSE)</f>
        <v>44546</v>
      </c>
    </row>
    <row r="1033" spans="1:31" x14ac:dyDescent="0.25">
      <c r="A1033" s="3">
        <v>593</v>
      </c>
      <c r="B1033" s="4">
        <v>44537</v>
      </c>
      <c r="C1033" s="3" t="s">
        <v>205</v>
      </c>
      <c r="D1033" s="3" t="s">
        <v>1447</v>
      </c>
      <c r="E1033" s="3">
        <v>5030</v>
      </c>
      <c r="F1033" s="3">
        <v>5625</v>
      </c>
      <c r="G1033" s="3" t="s">
        <v>756</v>
      </c>
      <c r="H1033" s="3">
        <v>0</v>
      </c>
      <c r="I1033" s="3">
        <v>0</v>
      </c>
      <c r="J1033" s="5">
        <v>4500</v>
      </c>
      <c r="K1033" s="3">
        <v>0</v>
      </c>
      <c r="L1033" s="3">
        <v>0</v>
      </c>
      <c r="M1033" s="3">
        <v>0</v>
      </c>
      <c r="N1033" s="5">
        <v>4500</v>
      </c>
      <c r="O1033" s="3">
        <v>0</v>
      </c>
      <c r="P1033" s="3">
        <v>0</v>
      </c>
      <c r="Q1033" s="5">
        <v>14000</v>
      </c>
      <c r="R1033" s="3">
        <v>0</v>
      </c>
      <c r="S1033" s="3">
        <v>0</v>
      </c>
      <c r="T1033" s="3">
        <v>300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5">
        <v>2000</v>
      </c>
      <c r="AA1033" s="5">
        <v>14000</v>
      </c>
      <c r="AB1033" s="6">
        <v>39300</v>
      </c>
      <c r="AD1033" s="2" t="str">
        <f>VLOOKUP(E1033,'[1]Detailed Transfer Report (12)'!$K:$Y,14,FALSE)</f>
        <v>Sardar M Sagheer Khan</v>
      </c>
      <c r="AE1033" s="16"/>
    </row>
    <row r="1034" spans="1:31" x14ac:dyDescent="0.25">
      <c r="A1034" s="3">
        <v>594</v>
      </c>
      <c r="B1034" s="4">
        <v>44582</v>
      </c>
      <c r="C1034" s="3" t="s">
        <v>1448</v>
      </c>
      <c r="D1034" s="3" t="s">
        <v>1413</v>
      </c>
      <c r="E1034" s="3">
        <v>3860</v>
      </c>
      <c r="F1034" s="3">
        <v>5958</v>
      </c>
      <c r="G1034" s="3" t="s">
        <v>1179</v>
      </c>
      <c r="H1034" s="3">
        <v>0</v>
      </c>
      <c r="I1034" s="3">
        <v>0</v>
      </c>
      <c r="J1034" s="5">
        <v>25000</v>
      </c>
      <c r="K1034" s="3">
        <v>0</v>
      </c>
      <c r="L1034" s="3">
        <v>0</v>
      </c>
      <c r="M1034" s="3">
        <v>0</v>
      </c>
      <c r="N1034" s="5">
        <v>25000</v>
      </c>
      <c r="O1034" s="3">
        <v>0</v>
      </c>
      <c r="P1034" s="3">
        <v>0</v>
      </c>
      <c r="Q1034" s="5">
        <v>76000</v>
      </c>
      <c r="R1034" s="5">
        <v>50000</v>
      </c>
      <c r="S1034" s="3">
        <v>0</v>
      </c>
      <c r="T1034" s="3">
        <v>300</v>
      </c>
      <c r="U1034" s="3">
        <v>0</v>
      </c>
      <c r="V1034" s="3">
        <v>0</v>
      </c>
      <c r="W1034" s="3">
        <v>0</v>
      </c>
      <c r="X1034" s="5">
        <v>1000</v>
      </c>
      <c r="Y1034" s="3">
        <v>0</v>
      </c>
      <c r="Z1034" s="5">
        <v>2000</v>
      </c>
      <c r="AA1034" s="5">
        <v>41000</v>
      </c>
      <c r="AB1034" s="6">
        <v>220300</v>
      </c>
      <c r="AC1034" s="2" t="str">
        <f>VLOOKUP(E1034,'[1]Detailed Transfer Report (12)'!$K:$Y,13,FALSE)</f>
        <v>Raheela Bibi</v>
      </c>
      <c r="AD1034" s="2" t="str">
        <f>VLOOKUP(E1034,'[1]Detailed Transfer Report (12)'!$K:$Y,14,FALSE)</f>
        <v>Sardar Yasir Ilyas</v>
      </c>
      <c r="AE1034" s="16">
        <f>VLOOKUP(E1034,'[1]Detailed Transfer Report (12)'!$K:$Y,15,FALSE)</f>
        <v>44533</v>
      </c>
    </row>
    <row r="1035" spans="1:31" x14ac:dyDescent="0.25">
      <c r="A1035" s="3">
        <v>595</v>
      </c>
      <c r="B1035" s="4">
        <v>44536</v>
      </c>
      <c r="C1035" s="3" t="s">
        <v>137</v>
      </c>
      <c r="D1035" s="3" t="s">
        <v>1449</v>
      </c>
      <c r="E1035" s="3">
        <v>5079</v>
      </c>
      <c r="F1035" s="3">
        <v>5880</v>
      </c>
      <c r="G1035" s="3" t="s">
        <v>756</v>
      </c>
      <c r="H1035" s="3">
        <v>0</v>
      </c>
      <c r="I1035" s="3">
        <v>0</v>
      </c>
      <c r="J1035" s="5">
        <v>7500</v>
      </c>
      <c r="K1035" s="3">
        <v>0</v>
      </c>
      <c r="L1035" s="3">
        <v>0</v>
      </c>
      <c r="M1035" s="3">
        <v>0</v>
      </c>
      <c r="N1035" s="5">
        <v>7500</v>
      </c>
      <c r="O1035" s="3">
        <v>0</v>
      </c>
      <c r="P1035" s="3">
        <v>0</v>
      </c>
      <c r="Q1035" s="5">
        <v>23500</v>
      </c>
      <c r="R1035" s="5">
        <v>15000</v>
      </c>
      <c r="S1035" s="3">
        <v>0</v>
      </c>
      <c r="T1035" s="3">
        <v>300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5">
        <v>2000</v>
      </c>
      <c r="AA1035" s="5">
        <v>14000</v>
      </c>
      <c r="AB1035" s="6">
        <v>69800</v>
      </c>
      <c r="AC1035" s="2" t="str">
        <f>VLOOKUP(E1035,'[1]Detailed Transfer Report (12)'!$K:$Y,13,FALSE)</f>
        <v>Farhana waseem</v>
      </c>
      <c r="AD1035" s="2" t="str">
        <f>VLOOKUP(E1035,'[1]Detailed Transfer Report (12)'!$K:$Y,14,FALSE)</f>
        <v>Sardar Yasir Ilyas</v>
      </c>
      <c r="AE1035" s="16">
        <f>VLOOKUP(E1035,'[1]Detailed Transfer Report (12)'!$K:$Y,15,FALSE)</f>
        <v>44532</v>
      </c>
    </row>
    <row r="1036" spans="1:31" x14ac:dyDescent="0.25">
      <c r="A1036" s="3">
        <v>596</v>
      </c>
      <c r="B1036" s="4">
        <v>44533</v>
      </c>
      <c r="C1036" s="3" t="s">
        <v>137</v>
      </c>
      <c r="D1036" s="3" t="s">
        <v>1449</v>
      </c>
      <c r="E1036" s="3">
        <v>5028</v>
      </c>
      <c r="F1036" s="3">
        <v>5978</v>
      </c>
      <c r="G1036" s="3" t="s">
        <v>756</v>
      </c>
      <c r="H1036" s="3">
        <v>0</v>
      </c>
      <c r="I1036" s="3">
        <v>0</v>
      </c>
      <c r="J1036" s="5">
        <v>7500</v>
      </c>
      <c r="K1036" s="3">
        <v>0</v>
      </c>
      <c r="L1036" s="3">
        <v>0</v>
      </c>
      <c r="M1036" s="3">
        <v>0</v>
      </c>
      <c r="N1036" s="5">
        <v>7500</v>
      </c>
      <c r="O1036" s="3">
        <v>0</v>
      </c>
      <c r="P1036" s="3">
        <v>0</v>
      </c>
      <c r="Q1036" s="5">
        <v>23500</v>
      </c>
      <c r="R1036" s="3">
        <v>0</v>
      </c>
      <c r="S1036" s="3">
        <v>0</v>
      </c>
      <c r="T1036" s="3">
        <v>300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5">
        <v>2000</v>
      </c>
      <c r="AA1036" s="5">
        <v>14000</v>
      </c>
      <c r="AB1036" s="6">
        <v>54800</v>
      </c>
      <c r="AC1036" s="2" t="str">
        <f>VLOOKUP(E1036,'[1]Detailed Transfer Report (12)'!$K:$Y,13,FALSE)</f>
        <v>Muhammad Hayyat Khan</v>
      </c>
      <c r="AD1036" s="2" t="str">
        <f>VLOOKUP(E1036,'[1]Detailed Transfer Report (12)'!$K:$Y,14,FALSE)</f>
        <v>Sardar Yasir Ilyas</v>
      </c>
      <c r="AE1036" s="16">
        <f>VLOOKUP(E1036,'[1]Detailed Transfer Report (12)'!$K:$Y,15,FALSE)</f>
        <v>44533</v>
      </c>
    </row>
    <row r="1037" spans="1:31" x14ac:dyDescent="0.25">
      <c r="A1037" s="3">
        <v>597</v>
      </c>
      <c r="B1037" s="4">
        <v>44536</v>
      </c>
      <c r="C1037" s="3" t="s">
        <v>153</v>
      </c>
      <c r="D1037" s="3" t="s">
        <v>1449</v>
      </c>
      <c r="E1037" s="3">
        <v>5029</v>
      </c>
      <c r="F1037" s="3">
        <v>5640</v>
      </c>
      <c r="G1037" s="3" t="s">
        <v>756</v>
      </c>
      <c r="H1037" s="3">
        <v>0</v>
      </c>
      <c r="I1037" s="3">
        <v>0</v>
      </c>
      <c r="J1037" s="5">
        <v>4000</v>
      </c>
      <c r="K1037" s="3">
        <v>0</v>
      </c>
      <c r="L1037" s="3">
        <v>0</v>
      </c>
      <c r="M1037" s="3">
        <v>0</v>
      </c>
      <c r="N1037" s="5">
        <v>4000</v>
      </c>
      <c r="O1037" s="3">
        <v>0</v>
      </c>
      <c r="P1037" s="3">
        <v>0</v>
      </c>
      <c r="Q1037" s="5">
        <v>12500</v>
      </c>
      <c r="R1037" s="3">
        <v>0</v>
      </c>
      <c r="S1037" s="3">
        <v>0</v>
      </c>
      <c r="T1037" s="3">
        <v>300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5">
        <v>2000</v>
      </c>
      <c r="AA1037" s="5">
        <v>14000</v>
      </c>
      <c r="AB1037" s="6">
        <v>36800</v>
      </c>
      <c r="AC1037" s="2" t="str">
        <f>VLOOKUP(E1037,'[1]Detailed Transfer Report (12)'!$K:$Y,13,FALSE)</f>
        <v>Shakeel ahmed</v>
      </c>
      <c r="AD1037" s="2" t="str">
        <f>VLOOKUP(E1037,'[1]Detailed Transfer Report (12)'!$K:$Y,14,FALSE)</f>
        <v>Sardar Yasir Ilyas</v>
      </c>
      <c r="AE1037" s="16">
        <f>VLOOKUP(E1037,'[1]Detailed Transfer Report (12)'!$K:$Y,15,FALSE)</f>
        <v>44530</v>
      </c>
    </row>
    <row r="1038" spans="1:31" x14ac:dyDescent="0.25">
      <c r="A1038" s="3">
        <v>598</v>
      </c>
      <c r="B1038" s="4">
        <v>44551</v>
      </c>
      <c r="C1038" s="3" t="s">
        <v>1450</v>
      </c>
      <c r="D1038" s="3" t="s">
        <v>1451</v>
      </c>
      <c r="E1038" s="3">
        <v>3859</v>
      </c>
      <c r="F1038" s="3">
        <v>201</v>
      </c>
      <c r="G1038" s="3" t="s">
        <v>1179</v>
      </c>
      <c r="H1038" s="3">
        <v>0</v>
      </c>
      <c r="I1038" s="3">
        <v>0</v>
      </c>
      <c r="J1038" s="5">
        <v>1096000</v>
      </c>
      <c r="K1038" s="3">
        <v>0</v>
      </c>
      <c r="L1038" s="3">
        <v>0</v>
      </c>
      <c r="M1038" s="3">
        <v>0</v>
      </c>
      <c r="N1038" s="5">
        <v>1096000</v>
      </c>
      <c r="O1038" s="3">
        <v>0</v>
      </c>
      <c r="P1038" s="3">
        <v>0</v>
      </c>
      <c r="Q1038" s="5">
        <v>3289000</v>
      </c>
      <c r="R1038" s="3">
        <v>0</v>
      </c>
      <c r="S1038" s="3">
        <v>0</v>
      </c>
      <c r="T1038" s="3">
        <v>300</v>
      </c>
      <c r="U1038" s="3">
        <v>0</v>
      </c>
      <c r="V1038" s="3">
        <v>0</v>
      </c>
      <c r="W1038" s="3">
        <v>0</v>
      </c>
      <c r="X1038" s="5">
        <v>1000</v>
      </c>
      <c r="Y1038" s="3">
        <v>0</v>
      </c>
      <c r="Z1038" s="5">
        <v>2000</v>
      </c>
      <c r="AA1038" s="5">
        <v>1700000</v>
      </c>
      <c r="AB1038" s="6">
        <v>7184300</v>
      </c>
      <c r="AC1038" s="2" t="str">
        <f>VLOOKUP(E1038,'[1]Detailed Transfer Report (12)'!$K:$Y,13,FALSE)</f>
        <v>Muhammad Rafique</v>
      </c>
      <c r="AD1038" s="2" t="str">
        <f>VLOOKUP(E1038,'[1]Detailed Transfer Report (12)'!$K:$Y,14,FALSE)</f>
        <v>Sardar Yasir Ilyas</v>
      </c>
      <c r="AE1038" s="16">
        <f>VLOOKUP(E1038,'[1]Detailed Transfer Report (12)'!$K:$Y,15,FALSE)</f>
        <v>44566</v>
      </c>
    </row>
    <row r="1039" spans="1:31" x14ac:dyDescent="0.25">
      <c r="A1039" s="7">
        <v>599</v>
      </c>
      <c r="B1039" s="4">
        <v>44582</v>
      </c>
      <c r="C1039" s="3" t="s">
        <v>653</v>
      </c>
      <c r="D1039" s="3" t="s">
        <v>1452</v>
      </c>
      <c r="E1039" s="3">
        <v>576</v>
      </c>
      <c r="F1039" s="3">
        <v>6965</v>
      </c>
      <c r="G1039" s="3" t="s">
        <v>41</v>
      </c>
      <c r="H1039" s="3">
        <v>0</v>
      </c>
      <c r="I1039" s="3">
        <v>0</v>
      </c>
      <c r="J1039" s="5">
        <v>52000</v>
      </c>
      <c r="K1039" s="3">
        <v>0</v>
      </c>
      <c r="L1039" s="3">
        <v>0</v>
      </c>
      <c r="M1039" s="3">
        <v>0</v>
      </c>
      <c r="N1039" s="5">
        <v>52000</v>
      </c>
      <c r="O1039" s="3">
        <v>0</v>
      </c>
      <c r="P1039" s="3">
        <v>0</v>
      </c>
      <c r="Q1039" s="5">
        <v>157000</v>
      </c>
      <c r="R1039" s="3">
        <v>0</v>
      </c>
      <c r="S1039" s="3">
        <v>0</v>
      </c>
      <c r="T1039" s="3">
        <v>300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5">
        <v>2000</v>
      </c>
      <c r="AA1039" s="5">
        <v>104000</v>
      </c>
      <c r="AB1039" s="6">
        <v>367300</v>
      </c>
      <c r="AC1039" s="2" t="str">
        <f>VLOOKUP(E1039,'[1]Detailed Transfer Report (12)'!$K:$Y,13,FALSE)</f>
        <v>M riaz</v>
      </c>
      <c r="AD1039" s="2" t="str">
        <f>VLOOKUP(E1039,'[1]Detailed Transfer Report (12)'!$K:$Y,14,FALSE)</f>
        <v>Sardar Yasir Ilyas</v>
      </c>
      <c r="AE1039" s="16">
        <f>VLOOKUP(E1039,'[1]Detailed Transfer Report (12)'!$K:$Y,15,FALSE)</f>
        <v>44628</v>
      </c>
    </row>
    <row r="1040" spans="1:31" x14ac:dyDescent="0.25">
      <c r="A1040" s="9">
        <v>599</v>
      </c>
      <c r="B1040" s="4">
        <v>44582</v>
      </c>
      <c r="C1040" s="3" t="s">
        <v>1112</v>
      </c>
      <c r="D1040" s="3" t="s">
        <v>1453</v>
      </c>
      <c r="E1040" s="3">
        <v>572</v>
      </c>
      <c r="F1040" s="3">
        <v>6962</v>
      </c>
      <c r="G1040" s="3" t="s">
        <v>41</v>
      </c>
      <c r="H1040" s="3">
        <v>0</v>
      </c>
      <c r="I1040" s="3">
        <v>0</v>
      </c>
      <c r="J1040" s="5">
        <v>8500</v>
      </c>
      <c r="K1040" s="3">
        <v>0</v>
      </c>
      <c r="L1040" s="3">
        <v>0</v>
      </c>
      <c r="M1040" s="3">
        <v>0</v>
      </c>
      <c r="N1040" s="5">
        <v>8500</v>
      </c>
      <c r="O1040" s="3">
        <v>0</v>
      </c>
      <c r="P1040" s="3">
        <v>0</v>
      </c>
      <c r="Q1040" s="5">
        <v>26500</v>
      </c>
      <c r="R1040" s="3">
        <v>0</v>
      </c>
      <c r="S1040" s="3">
        <v>0</v>
      </c>
      <c r="T1040" s="3">
        <v>300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5">
        <v>2000</v>
      </c>
      <c r="AA1040" s="5">
        <v>38750</v>
      </c>
      <c r="AB1040" s="6">
        <v>451850</v>
      </c>
      <c r="AC1040" s="2" t="str">
        <f>VLOOKUP(E1040,'[1]Detailed Transfer Report (12)'!$K:$Y,13,FALSE)</f>
        <v>Raza Bibi</v>
      </c>
      <c r="AD1040" s="2" t="str">
        <f>VLOOKUP(E1040,'[1]Detailed Transfer Report (12)'!$K:$Y,14,FALSE)</f>
        <v>Sardar Yasir Ilyas</v>
      </c>
      <c r="AE1040" s="16">
        <f>VLOOKUP(E1040,'[1]Detailed Transfer Report (12)'!$K:$Y,15,FALSE)</f>
        <v>44628</v>
      </c>
    </row>
    <row r="1041" spans="1:31" x14ac:dyDescent="0.25">
      <c r="A1041" s="9">
        <v>599</v>
      </c>
      <c r="B1041" s="4">
        <v>44582</v>
      </c>
      <c r="C1041" s="3" t="s">
        <v>114</v>
      </c>
      <c r="D1041" s="3" t="s">
        <v>1453</v>
      </c>
      <c r="E1041" s="3">
        <v>569</v>
      </c>
      <c r="F1041" s="3">
        <v>6966</v>
      </c>
      <c r="G1041" s="3" t="s">
        <v>41</v>
      </c>
      <c r="H1041" s="3">
        <v>0</v>
      </c>
      <c r="I1041" s="3">
        <v>0</v>
      </c>
      <c r="J1041" s="5">
        <v>4000</v>
      </c>
      <c r="K1041" s="3">
        <v>0</v>
      </c>
      <c r="L1041" s="3">
        <v>0</v>
      </c>
      <c r="M1041" s="3">
        <v>0</v>
      </c>
      <c r="N1041" s="5">
        <v>4000</v>
      </c>
      <c r="O1041" s="3">
        <v>0</v>
      </c>
      <c r="P1041" s="3">
        <v>0</v>
      </c>
      <c r="Q1041" s="5">
        <v>12500</v>
      </c>
      <c r="R1041" s="3">
        <v>0</v>
      </c>
      <c r="S1041" s="3">
        <v>0</v>
      </c>
      <c r="T1041" s="3">
        <v>300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5">
        <v>2000</v>
      </c>
      <c r="AA1041" s="5">
        <v>32000</v>
      </c>
      <c r="AB1041" s="6">
        <v>506650</v>
      </c>
      <c r="AD1041" s="2" t="str">
        <f>VLOOKUP(E1041,'[1]Detailed Transfer Report (12)'!$K:$Y,14,FALSE)</f>
        <v>Sardar Tanveer Ilyas</v>
      </c>
      <c r="AE1041" s="16"/>
    </row>
    <row r="1042" spans="1:31" x14ac:dyDescent="0.25">
      <c r="A1042" s="9">
        <v>599</v>
      </c>
      <c r="B1042" s="4">
        <v>44582</v>
      </c>
      <c r="C1042" s="3" t="s">
        <v>1434</v>
      </c>
      <c r="D1042" s="3" t="s">
        <v>1453</v>
      </c>
      <c r="E1042" s="3">
        <v>571</v>
      </c>
      <c r="F1042" s="3">
        <v>6964</v>
      </c>
      <c r="G1042" s="3" t="s">
        <v>41</v>
      </c>
      <c r="H1042" s="3">
        <v>0</v>
      </c>
      <c r="I1042" s="3">
        <v>0</v>
      </c>
      <c r="J1042" s="5">
        <v>19000</v>
      </c>
      <c r="K1042" s="3">
        <v>0</v>
      </c>
      <c r="L1042" s="3">
        <v>0</v>
      </c>
      <c r="M1042" s="3">
        <v>0</v>
      </c>
      <c r="N1042" s="5">
        <v>9500</v>
      </c>
      <c r="O1042" s="3">
        <v>0</v>
      </c>
      <c r="P1042" s="3">
        <v>0</v>
      </c>
      <c r="Q1042" s="5">
        <v>29500</v>
      </c>
      <c r="R1042" s="3">
        <v>0</v>
      </c>
      <c r="S1042" s="3">
        <v>0</v>
      </c>
      <c r="T1042" s="3">
        <v>300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5">
        <v>2000</v>
      </c>
      <c r="AA1042" s="5">
        <v>40250</v>
      </c>
      <c r="AB1042" s="6">
        <v>607200</v>
      </c>
      <c r="AC1042" s="2" t="str">
        <f>VLOOKUP(E1042,'[1]Detailed Transfer Report (12)'!$K:$Y,13,FALSE)</f>
        <v>Masood Khan</v>
      </c>
      <c r="AD1042" s="2" t="str">
        <f>VLOOKUP(E1042,'[1]Detailed Transfer Report (12)'!$K:$Y,14,FALSE)</f>
        <v>Sardar Yasir Ilyas</v>
      </c>
      <c r="AE1042" s="16">
        <f>VLOOKUP(E1042,'[1]Detailed Transfer Report (12)'!$K:$Y,15,FALSE)</f>
        <v>44628</v>
      </c>
    </row>
    <row r="1043" spans="1:31" x14ac:dyDescent="0.25">
      <c r="A1043" s="10">
        <v>599</v>
      </c>
      <c r="B1043" s="4">
        <v>44582</v>
      </c>
      <c r="C1043" s="3" t="s">
        <v>1454</v>
      </c>
      <c r="D1043" s="3" t="s">
        <v>1452</v>
      </c>
      <c r="E1043" s="3">
        <v>567</v>
      </c>
      <c r="F1043" s="3">
        <v>6963</v>
      </c>
      <c r="G1043" s="3" t="s">
        <v>41</v>
      </c>
      <c r="H1043" s="3">
        <v>0</v>
      </c>
      <c r="I1043" s="3">
        <v>0</v>
      </c>
      <c r="J1043" s="5">
        <v>16000</v>
      </c>
      <c r="K1043" s="3">
        <v>0</v>
      </c>
      <c r="L1043" s="3">
        <v>0</v>
      </c>
      <c r="M1043" s="3">
        <v>0</v>
      </c>
      <c r="N1043" s="5">
        <v>8000</v>
      </c>
      <c r="O1043" s="3">
        <v>0</v>
      </c>
      <c r="P1043" s="3">
        <v>0</v>
      </c>
      <c r="Q1043" s="5">
        <v>25000</v>
      </c>
      <c r="R1043" s="3">
        <v>0</v>
      </c>
      <c r="S1043" s="3">
        <v>0</v>
      </c>
      <c r="T1043" s="3">
        <v>300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5">
        <v>2000</v>
      </c>
      <c r="AA1043" s="5">
        <v>33000</v>
      </c>
      <c r="AB1043" s="6">
        <v>691500</v>
      </c>
      <c r="AC1043" s="2" t="str">
        <f>VLOOKUP(E1043,'[1]Detailed Transfer Report (12)'!$K:$Y,13,FALSE)</f>
        <v>Parveen Akhtar</v>
      </c>
      <c r="AD1043" s="2" t="str">
        <f>VLOOKUP(E1043,'[1]Detailed Transfer Report (12)'!$K:$Y,14,FALSE)</f>
        <v>Sardar Yasir Ilyas</v>
      </c>
      <c r="AE1043" s="16">
        <f>VLOOKUP(E1043,'[1]Detailed Transfer Report (12)'!$K:$Y,15,FALSE)</f>
        <v>44628</v>
      </c>
    </row>
    <row r="1044" spans="1:31" x14ac:dyDescent="0.25">
      <c r="A1044" s="3">
        <v>600</v>
      </c>
      <c r="B1044" s="4">
        <v>44582</v>
      </c>
      <c r="C1044" s="3" t="s">
        <v>137</v>
      </c>
      <c r="D1044" s="3" t="s">
        <v>1455</v>
      </c>
      <c r="E1044" s="3">
        <v>543</v>
      </c>
      <c r="F1044" s="3">
        <v>8349</v>
      </c>
      <c r="G1044" s="3" t="s">
        <v>41</v>
      </c>
      <c r="H1044" s="3">
        <v>0</v>
      </c>
      <c r="I1044" s="3">
        <v>0</v>
      </c>
      <c r="J1044" s="5">
        <v>7500</v>
      </c>
      <c r="K1044" s="3">
        <v>0</v>
      </c>
      <c r="L1044" s="3">
        <v>0</v>
      </c>
      <c r="M1044" s="3">
        <v>0</v>
      </c>
      <c r="N1044" s="5">
        <v>7500</v>
      </c>
      <c r="O1044" s="3">
        <v>0</v>
      </c>
      <c r="P1044" s="3">
        <v>0</v>
      </c>
      <c r="Q1044" s="5">
        <v>23500</v>
      </c>
      <c r="R1044" s="5">
        <v>15000</v>
      </c>
      <c r="S1044" s="3">
        <v>0</v>
      </c>
      <c r="T1044" s="3">
        <v>300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5">
        <v>2000</v>
      </c>
      <c r="AA1044" s="5">
        <v>32250</v>
      </c>
      <c r="AB1044" s="6">
        <v>88050</v>
      </c>
      <c r="AC1044" s="2" t="str">
        <f>VLOOKUP(E1044,'[1]Detailed Transfer Report (12)'!$K:$Y,13,FALSE)</f>
        <v>Malik Shahzad Yasin</v>
      </c>
      <c r="AD1044" s="2" t="str">
        <f>VLOOKUP(E1044,'[1]Detailed Transfer Report (12)'!$K:$Y,14,FALSE)</f>
        <v>Sardar Yasir Ilyas</v>
      </c>
      <c r="AE1044" s="16">
        <f>VLOOKUP(E1044,'[1]Detailed Transfer Report (12)'!$K:$Y,15,FALSE)</f>
        <v>44553</v>
      </c>
    </row>
    <row r="1045" spans="1:31" x14ac:dyDescent="0.25">
      <c r="A1045" s="3">
        <v>601</v>
      </c>
      <c r="B1045" s="4">
        <v>44582</v>
      </c>
      <c r="C1045" s="3" t="s">
        <v>1456</v>
      </c>
      <c r="D1045" s="3" t="s">
        <v>1455</v>
      </c>
      <c r="E1045" s="3">
        <v>3840</v>
      </c>
      <c r="F1045" s="3">
        <v>103</v>
      </c>
      <c r="G1045" s="3" t="s">
        <v>1179</v>
      </c>
      <c r="H1045" s="3">
        <v>0</v>
      </c>
      <c r="I1045" s="3">
        <v>0</v>
      </c>
      <c r="J1045" s="5">
        <v>32000</v>
      </c>
      <c r="K1045" s="3">
        <v>0</v>
      </c>
      <c r="L1045" s="3">
        <v>0</v>
      </c>
      <c r="M1045" s="3">
        <v>0</v>
      </c>
      <c r="N1045" s="5">
        <v>32000</v>
      </c>
      <c r="O1045" s="3">
        <v>0</v>
      </c>
      <c r="P1045" s="3">
        <v>0</v>
      </c>
      <c r="Q1045" s="5">
        <v>97000</v>
      </c>
      <c r="R1045" s="5">
        <v>64000</v>
      </c>
      <c r="S1045" s="3">
        <v>0</v>
      </c>
      <c r="T1045" s="3">
        <v>300</v>
      </c>
      <c r="U1045" s="3">
        <v>0</v>
      </c>
      <c r="V1045" s="3">
        <v>0</v>
      </c>
      <c r="W1045" s="3">
        <v>0</v>
      </c>
      <c r="X1045" s="5">
        <v>1000</v>
      </c>
      <c r="Y1045" s="3">
        <v>0</v>
      </c>
      <c r="Z1045" s="5">
        <v>2000</v>
      </c>
      <c r="AA1045" s="5">
        <v>48000</v>
      </c>
      <c r="AB1045" s="6">
        <v>276300</v>
      </c>
      <c r="AC1045" s="2" t="str">
        <f>VLOOKUP(E1045,'[1]Detailed Transfer Report (12)'!$K:$Y,13,FALSE)</f>
        <v>Muhammad sohail</v>
      </c>
      <c r="AD1045" s="2" t="str">
        <f>VLOOKUP(E1045,'[1]Detailed Transfer Report (12)'!$K:$Y,14,FALSE)</f>
        <v>Sardar Yasir Ilyas</v>
      </c>
      <c r="AE1045" s="16">
        <f>VLOOKUP(E1045,'[1]Detailed Transfer Report (12)'!$K:$Y,15,FALSE)</f>
        <v>44562</v>
      </c>
    </row>
    <row r="1046" spans="1:31" x14ac:dyDescent="0.25">
      <c r="A1046" s="7">
        <v>602</v>
      </c>
      <c r="B1046" s="4">
        <v>44582</v>
      </c>
      <c r="C1046" s="3" t="s">
        <v>504</v>
      </c>
      <c r="D1046" s="3" t="s">
        <v>1452</v>
      </c>
      <c r="E1046" s="3">
        <v>5193</v>
      </c>
      <c r="F1046" s="3">
        <v>3831</v>
      </c>
      <c r="G1046" s="3" t="s">
        <v>756</v>
      </c>
      <c r="H1046" s="3">
        <v>0</v>
      </c>
      <c r="I1046" s="3">
        <v>0</v>
      </c>
      <c r="J1046" s="5">
        <v>8500</v>
      </c>
      <c r="K1046" s="3">
        <v>0</v>
      </c>
      <c r="L1046" s="3">
        <v>0</v>
      </c>
      <c r="M1046" s="3">
        <v>0</v>
      </c>
      <c r="N1046" s="5">
        <v>8500</v>
      </c>
      <c r="O1046" s="3">
        <v>0</v>
      </c>
      <c r="P1046" s="3">
        <v>0</v>
      </c>
      <c r="Q1046" s="5">
        <v>26500</v>
      </c>
      <c r="R1046" s="5">
        <v>17000</v>
      </c>
      <c r="S1046" s="3">
        <v>0</v>
      </c>
      <c r="T1046" s="3">
        <v>300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5">
        <v>2000</v>
      </c>
      <c r="AA1046" s="5">
        <v>16000</v>
      </c>
      <c r="AB1046" s="6">
        <v>78800</v>
      </c>
      <c r="AC1046" s="2" t="str">
        <f>VLOOKUP(E1046,'[1]Detailed Transfer Report (12)'!$K:$Y,13,FALSE)</f>
        <v>Mumraiz Khan</v>
      </c>
      <c r="AD1046" s="2" t="str">
        <f>VLOOKUP(E1046,'[1]Detailed Transfer Report (12)'!$K:$Y,14,FALSE)</f>
        <v>Sardar Yasir Ilyas</v>
      </c>
      <c r="AE1046" s="16">
        <f>VLOOKUP(E1046,'[1]Detailed Transfer Report (12)'!$K:$Y,15,FALSE)</f>
        <v>44599</v>
      </c>
    </row>
    <row r="1047" spans="1:31" x14ac:dyDescent="0.25">
      <c r="A1047" s="10">
        <v>602</v>
      </c>
      <c r="B1047" s="4">
        <v>44621</v>
      </c>
      <c r="C1047" s="3" t="s">
        <v>137</v>
      </c>
      <c r="D1047" s="3" t="s">
        <v>1457</v>
      </c>
      <c r="E1047" s="3">
        <v>5192</v>
      </c>
      <c r="F1047" s="3">
        <v>3414</v>
      </c>
      <c r="G1047" s="3" t="s">
        <v>756</v>
      </c>
      <c r="H1047" s="3">
        <v>0</v>
      </c>
      <c r="I1047" s="3">
        <v>0</v>
      </c>
      <c r="J1047" s="5">
        <v>7500</v>
      </c>
      <c r="K1047" s="3">
        <v>0</v>
      </c>
      <c r="L1047" s="3">
        <v>0</v>
      </c>
      <c r="M1047" s="3">
        <v>0</v>
      </c>
      <c r="N1047" s="5">
        <v>7500</v>
      </c>
      <c r="O1047" s="3">
        <v>0</v>
      </c>
      <c r="P1047" s="3">
        <v>0</v>
      </c>
      <c r="Q1047" s="5">
        <v>23500</v>
      </c>
      <c r="R1047" s="3">
        <v>0</v>
      </c>
      <c r="S1047" s="3">
        <v>0</v>
      </c>
      <c r="T1047" s="3">
        <v>100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5">
        <v>2000</v>
      </c>
      <c r="AA1047" s="5">
        <v>16000</v>
      </c>
      <c r="AB1047" s="6">
        <v>135400</v>
      </c>
      <c r="AC1047" s="2" t="str">
        <f>VLOOKUP(E1047,'[1]Detailed Transfer Report (12)'!$K:$Y,13,FALSE)</f>
        <v>Rab NAwaz</v>
      </c>
      <c r="AD1047" s="2" t="str">
        <f>VLOOKUP(E1047,'[1]Detailed Transfer Report (12)'!$K:$Y,14,FALSE)</f>
        <v>Sardar Yasir Ilyas</v>
      </c>
      <c r="AE1047" s="16">
        <f>VLOOKUP(E1047,'[1]Detailed Transfer Report (12)'!$K:$Y,15,FALSE)</f>
        <v>44639</v>
      </c>
    </row>
    <row r="1048" spans="1:31" x14ac:dyDescent="0.25">
      <c r="A1048" s="7">
        <v>603</v>
      </c>
      <c r="B1048" s="4">
        <v>44582</v>
      </c>
      <c r="C1048" s="3" t="s">
        <v>558</v>
      </c>
      <c r="D1048" s="3" t="s">
        <v>1455</v>
      </c>
      <c r="E1048" s="3">
        <v>4604</v>
      </c>
      <c r="F1048" s="3">
        <v>1603</v>
      </c>
      <c r="G1048" s="3" t="s">
        <v>30</v>
      </c>
      <c r="H1048" s="5">
        <v>18000</v>
      </c>
      <c r="I1048" s="3">
        <v>0</v>
      </c>
      <c r="J1048" s="5">
        <v>9000</v>
      </c>
      <c r="K1048" s="3">
        <v>0</v>
      </c>
      <c r="L1048" s="3">
        <v>0</v>
      </c>
      <c r="M1048" s="3">
        <v>0</v>
      </c>
      <c r="N1048" s="5">
        <v>9000</v>
      </c>
      <c r="O1048" s="3">
        <v>0</v>
      </c>
      <c r="P1048" s="3">
        <v>0</v>
      </c>
      <c r="Q1048" s="5">
        <v>10000</v>
      </c>
      <c r="R1048" s="3">
        <v>0</v>
      </c>
      <c r="S1048" s="3">
        <v>0</v>
      </c>
      <c r="T1048" s="3">
        <v>300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5">
        <v>2000</v>
      </c>
      <c r="AA1048" s="5">
        <v>16000</v>
      </c>
      <c r="AB1048" s="6">
        <v>64300</v>
      </c>
      <c r="AC1048" s="2" t="str">
        <f>VLOOKUP(E1048,'[1]Detailed Transfer Report (12)'!$K:$Y,13,FALSE)</f>
        <v>Qazi Abdul Aziz</v>
      </c>
      <c r="AD1048" s="2" t="str">
        <f>VLOOKUP(E1048,'[1]Detailed Transfer Report (12)'!$K:$Y,14,FALSE)</f>
        <v>Sardar Yasir Ilyas</v>
      </c>
      <c r="AE1048" s="16">
        <f>VLOOKUP(E1048,'[1]Detailed Transfer Report (12)'!$K:$Y,15,FALSE)</f>
        <v>44578</v>
      </c>
    </row>
    <row r="1049" spans="1:31" x14ac:dyDescent="0.25">
      <c r="A1049" s="9">
        <v>603</v>
      </c>
      <c r="B1049" s="4">
        <v>44583</v>
      </c>
      <c r="C1049" s="3" t="s">
        <v>1369</v>
      </c>
      <c r="D1049" s="3" t="s">
        <v>1458</v>
      </c>
      <c r="E1049" s="3">
        <v>4449</v>
      </c>
      <c r="F1049" s="3">
        <v>1867</v>
      </c>
      <c r="G1049" s="3" t="s">
        <v>30</v>
      </c>
      <c r="H1049" s="3">
        <v>0</v>
      </c>
      <c r="I1049" s="3">
        <v>0</v>
      </c>
      <c r="J1049" s="5">
        <v>5500</v>
      </c>
      <c r="K1049" s="3">
        <v>0</v>
      </c>
      <c r="L1049" s="3">
        <v>0</v>
      </c>
      <c r="M1049" s="3">
        <v>0</v>
      </c>
      <c r="N1049" s="5">
        <v>5500</v>
      </c>
      <c r="O1049" s="3">
        <v>0</v>
      </c>
      <c r="P1049" s="3">
        <v>0</v>
      </c>
      <c r="Q1049" s="5">
        <v>17500</v>
      </c>
      <c r="R1049" s="3">
        <v>0</v>
      </c>
      <c r="S1049" s="3">
        <v>0</v>
      </c>
      <c r="T1049" s="3">
        <v>300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5">
        <v>2000</v>
      </c>
      <c r="AA1049" s="5">
        <v>16000</v>
      </c>
      <c r="AB1049" s="6">
        <v>111100</v>
      </c>
      <c r="AC1049" s="2" t="str">
        <f>VLOOKUP(E1049,'[1]Detailed Transfer Report (12)'!$K:$Y,13,FALSE)</f>
        <v>Waseem Sajjad</v>
      </c>
      <c r="AD1049" s="2" t="str">
        <f>VLOOKUP(E1049,'[1]Detailed Transfer Report (12)'!$K:$Y,14,FALSE)</f>
        <v>Sardar Yasir Ilyas</v>
      </c>
      <c r="AE1049" s="16">
        <f>VLOOKUP(E1049,'[1]Detailed Transfer Report (12)'!$K:$Y,15,FALSE)</f>
        <v>44580</v>
      </c>
    </row>
    <row r="1050" spans="1:31" x14ac:dyDescent="0.25">
      <c r="A1050" s="10">
        <v>603</v>
      </c>
      <c r="B1050" s="4">
        <v>44579</v>
      </c>
      <c r="C1050" s="3" t="s">
        <v>153</v>
      </c>
      <c r="D1050" s="3" t="s">
        <v>1458</v>
      </c>
      <c r="E1050" s="3">
        <v>4020</v>
      </c>
      <c r="F1050" s="3">
        <v>1602</v>
      </c>
      <c r="G1050" s="3" t="s">
        <v>30</v>
      </c>
      <c r="H1050" s="3">
        <v>0</v>
      </c>
      <c r="I1050" s="3">
        <v>0</v>
      </c>
      <c r="J1050" s="5">
        <v>3500</v>
      </c>
      <c r="K1050" s="3">
        <v>0</v>
      </c>
      <c r="L1050" s="3">
        <v>0</v>
      </c>
      <c r="M1050" s="3">
        <v>0</v>
      </c>
      <c r="N1050" s="5">
        <v>3500</v>
      </c>
      <c r="O1050" s="3">
        <v>0</v>
      </c>
      <c r="P1050" s="3">
        <v>0</v>
      </c>
      <c r="Q1050" s="5">
        <v>11000</v>
      </c>
      <c r="R1050" s="3">
        <v>0</v>
      </c>
      <c r="S1050" s="3">
        <v>0</v>
      </c>
      <c r="T1050" s="3">
        <v>300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5">
        <v>2000</v>
      </c>
      <c r="AA1050" s="5">
        <v>16000</v>
      </c>
      <c r="AB1050" s="6">
        <v>147400</v>
      </c>
      <c r="AC1050" s="2" t="str">
        <f>VLOOKUP(E1050,'[1]Detailed Transfer Report (12)'!$K:$Y,13,FALSE)</f>
        <v>Qazi Abdul Mujeed Qureshi</v>
      </c>
      <c r="AD1050" s="2" t="str">
        <f>VLOOKUP(E1050,'[1]Detailed Transfer Report (12)'!$K:$Y,14,FALSE)</f>
        <v>Sardar Yasir Ilyas</v>
      </c>
      <c r="AE1050" s="16">
        <f>VLOOKUP(E1050,'[1]Detailed Transfer Report (12)'!$K:$Y,15,FALSE)</f>
        <v>44578</v>
      </c>
    </row>
    <row r="1051" spans="1:31" x14ac:dyDescent="0.25">
      <c r="A1051" s="7">
        <v>604</v>
      </c>
      <c r="B1051" s="4">
        <v>44583</v>
      </c>
      <c r="C1051" s="3" t="s">
        <v>1459</v>
      </c>
      <c r="D1051" s="3" t="s">
        <v>1458</v>
      </c>
      <c r="E1051" s="3">
        <v>3741</v>
      </c>
      <c r="F1051" s="3">
        <v>1046</v>
      </c>
      <c r="G1051" s="3" t="s">
        <v>1179</v>
      </c>
      <c r="H1051" s="3">
        <v>0</v>
      </c>
      <c r="I1051" s="3">
        <v>0</v>
      </c>
      <c r="J1051" s="5">
        <v>300000</v>
      </c>
      <c r="K1051" s="3">
        <v>0</v>
      </c>
      <c r="L1051" s="3">
        <v>0</v>
      </c>
      <c r="M1051" s="3">
        <v>0</v>
      </c>
      <c r="N1051" s="5">
        <v>100000</v>
      </c>
      <c r="O1051" s="3">
        <v>0</v>
      </c>
      <c r="P1051" s="3">
        <v>0</v>
      </c>
      <c r="Q1051" s="5">
        <v>301000</v>
      </c>
      <c r="R1051" s="3">
        <v>0</v>
      </c>
      <c r="S1051" s="5">
        <v>35000</v>
      </c>
      <c r="T1051" s="3">
        <v>300</v>
      </c>
      <c r="U1051" s="3">
        <v>0</v>
      </c>
      <c r="V1051" s="3">
        <v>0</v>
      </c>
      <c r="W1051" s="3">
        <v>0</v>
      </c>
      <c r="X1051" s="5">
        <v>1000</v>
      </c>
      <c r="Y1051" s="3">
        <v>0</v>
      </c>
      <c r="Z1051" s="5">
        <v>4000</v>
      </c>
      <c r="AA1051" s="5">
        <v>126000</v>
      </c>
      <c r="AB1051" s="6">
        <v>867300</v>
      </c>
      <c r="AC1051" s="2" t="str">
        <f>VLOOKUP(E1051,'[1]Detailed Transfer Report (12)'!$K:$Y,13,FALSE)</f>
        <v>Faheem Khan</v>
      </c>
      <c r="AD1051" s="2" t="str">
        <f>VLOOKUP(E1051,'[1]Detailed Transfer Report (12)'!$K:$Y,14,FALSE)</f>
        <v>Sardar Yasir Ilyas</v>
      </c>
      <c r="AE1051" s="16">
        <f>VLOOKUP(E1051,'[1]Detailed Transfer Report (12)'!$K:$Y,15,FALSE)</f>
        <v>44573</v>
      </c>
    </row>
    <row r="1052" spans="1:31" x14ac:dyDescent="0.25">
      <c r="A1052" s="10">
        <v>604</v>
      </c>
      <c r="B1052" s="4">
        <v>44583</v>
      </c>
      <c r="C1052" s="3" t="s">
        <v>139</v>
      </c>
      <c r="D1052" s="3" t="s">
        <v>1460</v>
      </c>
      <c r="E1052" s="3">
        <v>3826</v>
      </c>
      <c r="F1052" s="3">
        <v>1103</v>
      </c>
      <c r="G1052" s="3" t="s">
        <v>1179</v>
      </c>
      <c r="H1052" s="3">
        <v>0</v>
      </c>
      <c r="I1052" s="3">
        <v>0</v>
      </c>
      <c r="J1052" s="5">
        <v>17000</v>
      </c>
      <c r="K1052" s="3">
        <v>0</v>
      </c>
      <c r="L1052" s="3">
        <v>0</v>
      </c>
      <c r="M1052" s="3">
        <v>0</v>
      </c>
      <c r="N1052" s="5">
        <v>17000</v>
      </c>
      <c r="O1052" s="3">
        <v>0</v>
      </c>
      <c r="P1052" s="3">
        <v>0</v>
      </c>
      <c r="Q1052" s="5">
        <v>52000</v>
      </c>
      <c r="R1052" s="3">
        <v>0</v>
      </c>
      <c r="S1052" s="3">
        <v>0</v>
      </c>
      <c r="T1052" s="3">
        <v>300</v>
      </c>
      <c r="U1052" s="3">
        <v>0</v>
      </c>
      <c r="V1052" s="3">
        <v>0</v>
      </c>
      <c r="W1052" s="3">
        <v>0</v>
      </c>
      <c r="X1052" s="5">
        <v>1000</v>
      </c>
      <c r="Y1052" s="3">
        <v>0</v>
      </c>
      <c r="Z1052" s="5">
        <v>4000</v>
      </c>
      <c r="AA1052" s="5">
        <v>16000</v>
      </c>
      <c r="AB1052" s="6">
        <v>974600</v>
      </c>
      <c r="AC1052" s="2" t="str">
        <f>VLOOKUP(E1052,'[1]Detailed Transfer Report (12)'!$K:$Y,13,FALSE)</f>
        <v>Ghulam sarwar</v>
      </c>
      <c r="AD1052" s="2" t="str">
        <f>VLOOKUP(E1052,'[1]Detailed Transfer Report (12)'!$K:$Y,14,FALSE)</f>
        <v>Sardar Yasir Ilyas</v>
      </c>
      <c r="AE1052" s="16">
        <f>VLOOKUP(E1052,'[1]Detailed Transfer Report (12)'!$K:$Y,15,FALSE)</f>
        <v>44573</v>
      </c>
    </row>
    <row r="1053" spans="1:31" x14ac:dyDescent="0.25">
      <c r="A1053" s="7">
        <v>605</v>
      </c>
      <c r="B1053" s="4">
        <v>44576</v>
      </c>
      <c r="C1053" s="3" t="s">
        <v>1461</v>
      </c>
      <c r="D1053" s="3" t="s">
        <v>1462</v>
      </c>
      <c r="E1053" s="3">
        <v>3801</v>
      </c>
      <c r="F1053" s="3">
        <v>2507</v>
      </c>
      <c r="G1053" s="3" t="s">
        <v>1179</v>
      </c>
      <c r="H1053" s="3">
        <v>0</v>
      </c>
      <c r="I1053" s="3">
        <v>0</v>
      </c>
      <c r="J1053" s="5">
        <v>1260000</v>
      </c>
      <c r="K1053" s="3">
        <v>0</v>
      </c>
      <c r="L1053" s="3">
        <v>0</v>
      </c>
      <c r="M1053" s="3">
        <v>0</v>
      </c>
      <c r="N1053" s="5">
        <v>1260000</v>
      </c>
      <c r="O1053" s="3">
        <v>0</v>
      </c>
      <c r="P1053" s="3">
        <v>0</v>
      </c>
      <c r="Q1053" s="5">
        <v>3781000</v>
      </c>
      <c r="R1053" s="3">
        <v>0</v>
      </c>
      <c r="S1053" s="5">
        <v>273000</v>
      </c>
      <c r="T1053" s="3">
        <v>100</v>
      </c>
      <c r="U1053" s="3">
        <v>0</v>
      </c>
      <c r="V1053" s="3">
        <v>0</v>
      </c>
      <c r="W1053" s="3">
        <v>0</v>
      </c>
      <c r="X1053" s="5">
        <v>1000</v>
      </c>
      <c r="Y1053" s="3">
        <v>0</v>
      </c>
      <c r="Z1053" s="5">
        <v>2000</v>
      </c>
      <c r="AA1053" s="5">
        <v>1946000</v>
      </c>
      <c r="AB1053" s="6">
        <v>8523100</v>
      </c>
      <c r="AC1053" s="2" t="str">
        <f>VLOOKUP(E1053,'[1]Detailed Transfer Report (12)'!$K:$Y,13,FALSE)</f>
        <v>Sheikh Sajid Mehmood</v>
      </c>
      <c r="AD1053" s="2" t="str">
        <f>VLOOKUP(E1053,'[1]Detailed Transfer Report (12)'!$K:$Y,14,FALSE)</f>
        <v>Sardar Yasir Ilyas</v>
      </c>
      <c r="AE1053" s="16">
        <f>VLOOKUP(E1053,'[1]Detailed Transfer Report (12)'!$K:$Y,15,FALSE)</f>
        <v>44586</v>
      </c>
    </row>
    <row r="1054" spans="1:31" x14ac:dyDescent="0.25">
      <c r="A1054" s="9">
        <v>605</v>
      </c>
      <c r="B1054" s="4">
        <v>44583</v>
      </c>
      <c r="C1054" s="3" t="s">
        <v>1463</v>
      </c>
      <c r="D1054" s="3" t="s">
        <v>1460</v>
      </c>
      <c r="E1054" s="3">
        <v>3824</v>
      </c>
      <c r="F1054" s="3">
        <v>1779</v>
      </c>
      <c r="G1054" s="3" t="s">
        <v>1179</v>
      </c>
      <c r="H1054" s="3">
        <v>0</v>
      </c>
      <c r="I1054" s="3">
        <v>0</v>
      </c>
      <c r="J1054" s="5">
        <v>18000</v>
      </c>
      <c r="K1054" s="3">
        <v>0</v>
      </c>
      <c r="L1054" s="3">
        <v>0</v>
      </c>
      <c r="M1054" s="3">
        <v>0</v>
      </c>
      <c r="N1054" s="5">
        <v>18000</v>
      </c>
      <c r="O1054" s="3">
        <v>0</v>
      </c>
      <c r="P1054" s="3">
        <v>0</v>
      </c>
      <c r="Q1054" s="5">
        <v>55000</v>
      </c>
      <c r="R1054" s="3">
        <v>0</v>
      </c>
      <c r="S1054" s="3">
        <v>0</v>
      </c>
      <c r="T1054" s="3">
        <v>300</v>
      </c>
      <c r="U1054" s="3">
        <v>0</v>
      </c>
      <c r="V1054" s="3">
        <v>0</v>
      </c>
      <c r="W1054" s="3">
        <v>0</v>
      </c>
      <c r="X1054" s="5">
        <v>1000</v>
      </c>
      <c r="Y1054" s="3">
        <v>0</v>
      </c>
      <c r="Z1054" s="5">
        <v>2000</v>
      </c>
      <c r="AA1054" s="5">
        <v>16000</v>
      </c>
      <c r="AB1054" s="6">
        <v>8633400</v>
      </c>
      <c r="AC1054" s="2" t="str">
        <f>VLOOKUP(E1054,'[1]Detailed Transfer Report (12)'!$K:$Y,13,FALSE)</f>
        <v>Rasheeda begum</v>
      </c>
      <c r="AD1054" s="2" t="str">
        <f>VLOOKUP(E1054,'[1]Detailed Transfer Report (12)'!$K:$Y,14,FALSE)</f>
        <v>Sardar Yasir Ilyas</v>
      </c>
      <c r="AE1054" s="16">
        <f>VLOOKUP(E1054,'[1]Detailed Transfer Report (12)'!$K:$Y,15,FALSE)</f>
        <v>44580</v>
      </c>
    </row>
    <row r="1055" spans="1:31" x14ac:dyDescent="0.25">
      <c r="A1055" s="9">
        <v>605</v>
      </c>
      <c r="B1055" s="4">
        <v>44580</v>
      </c>
      <c r="C1055" s="3" t="s">
        <v>1464</v>
      </c>
      <c r="D1055" s="3" t="s">
        <v>822</v>
      </c>
      <c r="E1055" s="3">
        <v>1550</v>
      </c>
      <c r="F1055" s="3"/>
      <c r="G1055" s="3" t="s">
        <v>1179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6">
        <v>8633400</v>
      </c>
      <c r="AC1055" s="2" t="str">
        <f>VLOOKUP(E1055,'[1]Detailed Transfer Report (12)'!$K:$Y,13,FALSE)</f>
        <v>Muhammad Fayaz</v>
      </c>
      <c r="AD1055" s="2" t="str">
        <f>VLOOKUP(E1055,'[1]Detailed Transfer Report (12)'!$K:$Y,14,FALSE)</f>
        <v>Qaiser Maskeen</v>
      </c>
      <c r="AE1055" s="16"/>
    </row>
    <row r="1056" spans="1:31" x14ac:dyDescent="0.25">
      <c r="A1056" s="10">
        <v>605</v>
      </c>
      <c r="B1056" s="4">
        <v>44583</v>
      </c>
      <c r="C1056" s="3" t="s">
        <v>1465</v>
      </c>
      <c r="D1056" s="3" t="s">
        <v>1460</v>
      </c>
      <c r="E1056" s="3">
        <v>3825</v>
      </c>
      <c r="F1056" s="3">
        <v>1780</v>
      </c>
      <c r="G1056" s="3" t="s">
        <v>1179</v>
      </c>
      <c r="H1056" s="3">
        <v>0</v>
      </c>
      <c r="I1056" s="3">
        <v>0</v>
      </c>
      <c r="J1056" s="5">
        <v>35000</v>
      </c>
      <c r="K1056" s="3">
        <v>0</v>
      </c>
      <c r="L1056" s="3">
        <v>0</v>
      </c>
      <c r="M1056" s="3">
        <v>0</v>
      </c>
      <c r="N1056" s="5">
        <v>35000</v>
      </c>
      <c r="O1056" s="3">
        <v>0</v>
      </c>
      <c r="P1056" s="3">
        <v>0</v>
      </c>
      <c r="Q1056" s="5">
        <v>106000</v>
      </c>
      <c r="R1056" s="3">
        <v>0</v>
      </c>
      <c r="S1056" s="3">
        <v>0</v>
      </c>
      <c r="T1056" s="3">
        <v>300</v>
      </c>
      <c r="U1056" s="3">
        <v>0</v>
      </c>
      <c r="V1056" s="3">
        <v>0</v>
      </c>
      <c r="W1056" s="3">
        <v>0</v>
      </c>
      <c r="X1056" s="5">
        <v>1000</v>
      </c>
      <c r="Y1056" s="3">
        <v>0</v>
      </c>
      <c r="Z1056" s="5">
        <v>2000</v>
      </c>
      <c r="AA1056" s="5">
        <v>51000</v>
      </c>
      <c r="AB1056" s="6">
        <v>8863700</v>
      </c>
      <c r="AC1056" s="2" t="str">
        <f>VLOOKUP(E1056,'[1]Detailed Transfer Report (12)'!$K:$Y,13,FALSE)</f>
        <v>Kaniz fatima</v>
      </c>
      <c r="AD1056" s="2" t="str">
        <f>VLOOKUP(E1056,'[1]Detailed Transfer Report (12)'!$K:$Y,14,FALSE)</f>
        <v>Sardar Yasir Ilyas</v>
      </c>
      <c r="AE1056" s="16">
        <f>VLOOKUP(E1056,'[1]Detailed Transfer Report (12)'!$K:$Y,15,FALSE)</f>
        <v>44580</v>
      </c>
    </row>
    <row r="1057" spans="1:31" x14ac:dyDescent="0.25">
      <c r="A1057" s="3">
        <v>606</v>
      </c>
      <c r="B1057" s="4">
        <v>44621</v>
      </c>
      <c r="C1057" s="3" t="s">
        <v>137</v>
      </c>
      <c r="D1057" s="3" t="s">
        <v>1457</v>
      </c>
      <c r="E1057" s="3">
        <v>5080</v>
      </c>
      <c r="F1057" s="3">
        <v>3122</v>
      </c>
      <c r="G1057" s="3" t="s">
        <v>756</v>
      </c>
      <c r="H1057" s="3">
        <v>0</v>
      </c>
      <c r="I1057" s="3">
        <v>0</v>
      </c>
      <c r="J1057" s="5">
        <v>8000</v>
      </c>
      <c r="K1057" s="3">
        <v>0</v>
      </c>
      <c r="L1057" s="3">
        <v>0</v>
      </c>
      <c r="M1057" s="3">
        <v>0</v>
      </c>
      <c r="N1057" s="5">
        <v>8000</v>
      </c>
      <c r="O1057" s="3">
        <v>0</v>
      </c>
      <c r="P1057" s="3">
        <v>0</v>
      </c>
      <c r="Q1057" s="5">
        <v>25000</v>
      </c>
      <c r="R1057" s="3">
        <v>0</v>
      </c>
      <c r="S1057" s="3">
        <v>0</v>
      </c>
      <c r="T1057" s="3">
        <v>100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5">
        <v>2000</v>
      </c>
      <c r="AA1057" s="5">
        <v>16000</v>
      </c>
      <c r="AB1057" s="6">
        <v>59100</v>
      </c>
      <c r="AC1057" s="2" t="str">
        <f>VLOOKUP(E1057,'[1]Detailed Transfer Report (12)'!$K:$Y,13,FALSE)</f>
        <v>M sarfraz</v>
      </c>
      <c r="AD1057" s="2" t="str">
        <f>VLOOKUP(E1057,'[1]Detailed Transfer Report (12)'!$K:$Y,14,FALSE)</f>
        <v>Sardar Yasir Ilyas</v>
      </c>
      <c r="AE1057" s="16">
        <f>VLOOKUP(E1057,'[1]Detailed Transfer Report (12)'!$K:$Y,15,FALSE)</f>
        <v>44590</v>
      </c>
    </row>
    <row r="1058" spans="1:31" x14ac:dyDescent="0.25">
      <c r="A1058" s="3">
        <v>607</v>
      </c>
      <c r="B1058" s="4">
        <v>44701</v>
      </c>
      <c r="C1058" s="3" t="s">
        <v>153</v>
      </c>
      <c r="D1058" s="3" t="s">
        <v>1466</v>
      </c>
      <c r="E1058" s="3">
        <v>5083</v>
      </c>
      <c r="F1058" s="3">
        <v>8817</v>
      </c>
      <c r="G1058" s="3" t="s">
        <v>756</v>
      </c>
      <c r="H1058" s="3">
        <v>0</v>
      </c>
      <c r="I1058" s="3">
        <v>0</v>
      </c>
      <c r="J1058" s="5">
        <v>4000</v>
      </c>
      <c r="K1058" s="3">
        <v>0</v>
      </c>
      <c r="L1058" s="3">
        <v>0</v>
      </c>
      <c r="M1058" s="3">
        <v>0</v>
      </c>
      <c r="N1058" s="5">
        <v>4000</v>
      </c>
      <c r="O1058" s="3">
        <v>0</v>
      </c>
      <c r="P1058" s="3">
        <v>0</v>
      </c>
      <c r="Q1058" s="5">
        <v>12500</v>
      </c>
      <c r="R1058" s="3">
        <v>0</v>
      </c>
      <c r="S1058" s="3">
        <v>0</v>
      </c>
      <c r="T1058" s="3">
        <v>300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5">
        <v>2000</v>
      </c>
      <c r="AA1058" s="5">
        <v>16000</v>
      </c>
      <c r="AB1058" s="6">
        <v>38800</v>
      </c>
      <c r="AC1058" s="2" t="str">
        <f>VLOOKUP(E1058,'[1]Detailed Transfer Report (12)'!$K:$Y,13,FALSE)</f>
        <v>Kamran Hussain</v>
      </c>
      <c r="AD1058" s="2" t="str">
        <f>VLOOKUP(E1058,'[1]Detailed Transfer Report (12)'!$K:$Y,14,FALSE)</f>
        <v>Sardar Yasir Ilyas</v>
      </c>
      <c r="AE1058" s="16">
        <f>VLOOKUP(E1058,'[1]Detailed Transfer Report (12)'!$K:$Y,15,FALSE)</f>
        <v>44560</v>
      </c>
    </row>
    <row r="1059" spans="1:31" x14ac:dyDescent="0.25">
      <c r="A1059" s="3">
        <v>608</v>
      </c>
      <c r="B1059" s="4">
        <v>44704</v>
      </c>
      <c r="C1059" s="3" t="s">
        <v>205</v>
      </c>
      <c r="D1059" s="3" t="s">
        <v>1467</v>
      </c>
      <c r="E1059" s="3">
        <v>5159</v>
      </c>
      <c r="F1059" s="3">
        <v>3155</v>
      </c>
      <c r="G1059" s="3" t="s">
        <v>756</v>
      </c>
      <c r="H1059" s="3">
        <v>0</v>
      </c>
      <c r="I1059" s="3">
        <v>0</v>
      </c>
      <c r="J1059" s="5">
        <v>5000</v>
      </c>
      <c r="K1059" s="3">
        <v>0</v>
      </c>
      <c r="L1059" s="3">
        <v>0</v>
      </c>
      <c r="M1059" s="3">
        <v>0</v>
      </c>
      <c r="N1059" s="5">
        <v>5000</v>
      </c>
      <c r="O1059" s="3">
        <v>0</v>
      </c>
      <c r="P1059" s="3">
        <v>0</v>
      </c>
      <c r="Q1059" s="5">
        <v>15500</v>
      </c>
      <c r="R1059" s="3">
        <v>0</v>
      </c>
      <c r="S1059" s="3">
        <v>0</v>
      </c>
      <c r="T1059" s="3">
        <v>300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5">
        <v>2000</v>
      </c>
      <c r="AA1059" s="5">
        <v>16000</v>
      </c>
      <c r="AB1059" s="6">
        <v>43800</v>
      </c>
      <c r="AC1059" s="2" t="str">
        <f>VLOOKUP(E1059,'[1]Detailed Transfer Report (12)'!$K:$Y,13,FALSE)</f>
        <v>Muhammad Hayyat Khan</v>
      </c>
      <c r="AD1059" s="2" t="str">
        <f>VLOOKUP(E1059,'[1]Detailed Transfer Report (12)'!$K:$Y,14,FALSE)</f>
        <v>Sardar Yasir Ilyas</v>
      </c>
      <c r="AE1059" s="16">
        <f>VLOOKUP(E1059,'[1]Detailed Transfer Report (12)'!$K:$Y,15,FALSE)</f>
        <v>44590</v>
      </c>
    </row>
    <row r="1060" spans="1:31" x14ac:dyDescent="0.25">
      <c r="A1060" s="7">
        <v>609</v>
      </c>
      <c r="B1060" s="4">
        <v>44621</v>
      </c>
      <c r="C1060" s="3" t="s">
        <v>44</v>
      </c>
      <c r="D1060" s="3" t="s">
        <v>1468</v>
      </c>
      <c r="E1060" s="3">
        <v>117</v>
      </c>
      <c r="F1060" s="3">
        <v>3980</v>
      </c>
      <c r="G1060" s="3" t="s">
        <v>1469</v>
      </c>
      <c r="H1060" s="5">
        <v>53400</v>
      </c>
      <c r="I1060" s="3">
        <v>0</v>
      </c>
      <c r="J1060" s="5">
        <v>25000</v>
      </c>
      <c r="K1060" s="3">
        <v>0</v>
      </c>
      <c r="L1060" s="3">
        <v>0</v>
      </c>
      <c r="M1060" s="3">
        <v>0</v>
      </c>
      <c r="N1060" s="5">
        <v>25000</v>
      </c>
      <c r="O1060" s="3">
        <v>0</v>
      </c>
      <c r="P1060" s="3">
        <v>0</v>
      </c>
      <c r="Q1060" s="5">
        <v>22600</v>
      </c>
      <c r="R1060" s="3">
        <v>0</v>
      </c>
      <c r="S1060" s="3">
        <v>0</v>
      </c>
      <c r="T1060" s="3">
        <v>100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5">
        <v>2000</v>
      </c>
      <c r="AA1060" s="5">
        <v>16000</v>
      </c>
      <c r="AB1060" s="6">
        <v>144100</v>
      </c>
      <c r="AC1060" s="2" t="str">
        <f>VLOOKUP(E1060,'[1]Detailed Transfer Report (12)'!$K:$Y,13,FALSE)</f>
        <v>Raja Mehmood Sultan</v>
      </c>
      <c r="AD1060" s="2" t="str">
        <f>VLOOKUP(E1060,'[1]Detailed Transfer Report (12)'!$K:$Y,14,FALSE)</f>
        <v>Sardar Yasir Ilyas</v>
      </c>
      <c r="AE1060" s="16">
        <f>VLOOKUP(E1060,'[1]Detailed Transfer Report (12)'!$K:$Y,15,FALSE)</f>
        <v>44600</v>
      </c>
    </row>
    <row r="1061" spans="1:31" x14ac:dyDescent="0.25">
      <c r="A1061" s="10">
        <v>609</v>
      </c>
      <c r="B1061" s="4">
        <v>44672</v>
      </c>
      <c r="C1061" s="3" t="s">
        <v>323</v>
      </c>
      <c r="D1061" s="3" t="s">
        <v>1470</v>
      </c>
      <c r="E1061" s="3">
        <v>106</v>
      </c>
      <c r="F1061" s="3">
        <v>7009</v>
      </c>
      <c r="G1061" s="3" t="s">
        <v>1469</v>
      </c>
      <c r="H1061" s="3">
        <v>0</v>
      </c>
      <c r="I1061" s="3">
        <v>0</v>
      </c>
      <c r="J1061" s="5">
        <v>240000</v>
      </c>
      <c r="K1061" s="3">
        <v>0</v>
      </c>
      <c r="L1061" s="3">
        <v>0</v>
      </c>
      <c r="M1061" s="3">
        <v>0</v>
      </c>
      <c r="N1061" s="5">
        <v>120000</v>
      </c>
      <c r="O1061" s="3">
        <v>0</v>
      </c>
      <c r="P1061" s="3">
        <v>0</v>
      </c>
      <c r="Q1061" s="5">
        <v>361000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100</v>
      </c>
      <c r="Y1061" s="3">
        <v>0</v>
      </c>
      <c r="Z1061" s="5">
        <v>2000</v>
      </c>
      <c r="AA1061" s="5">
        <v>156000</v>
      </c>
      <c r="AB1061" s="6">
        <v>1023200</v>
      </c>
      <c r="AC1061" s="2" t="str">
        <f>VLOOKUP(E1061,'[1]Detailed Transfer Report (12)'!$K:$Y,13,FALSE)</f>
        <v>Muhammad Sabir</v>
      </c>
      <c r="AD1061" s="2" t="str">
        <f>VLOOKUP(E1061,'[1]Detailed Transfer Report (12)'!$K:$Y,14,FALSE)</f>
        <v>Sardar Yasir Ilyas</v>
      </c>
      <c r="AE1061" s="16">
        <f>VLOOKUP(E1061,'[1]Detailed Transfer Report (12)'!$K:$Y,15,FALSE)</f>
        <v>44629</v>
      </c>
    </row>
    <row r="1062" spans="1:31" x14ac:dyDescent="0.25">
      <c r="A1062" s="3">
        <v>610</v>
      </c>
      <c r="B1062" s="4">
        <v>44649</v>
      </c>
      <c r="C1062" s="3" t="s">
        <v>1471</v>
      </c>
      <c r="D1062" s="3" t="s">
        <v>1472</v>
      </c>
      <c r="E1062" s="3">
        <v>5489</v>
      </c>
      <c r="F1062" s="3">
        <v>5692</v>
      </c>
      <c r="G1062" s="3" t="s">
        <v>756</v>
      </c>
      <c r="H1062" s="3">
        <v>0</v>
      </c>
      <c r="I1062" s="3">
        <v>0</v>
      </c>
      <c r="J1062" s="5">
        <v>7000</v>
      </c>
      <c r="K1062" s="3">
        <v>0</v>
      </c>
      <c r="L1062" s="3">
        <v>0</v>
      </c>
      <c r="M1062" s="3">
        <v>0</v>
      </c>
      <c r="N1062" s="5">
        <v>7000</v>
      </c>
      <c r="O1062" s="3">
        <v>0</v>
      </c>
      <c r="P1062" s="3">
        <v>0</v>
      </c>
      <c r="Q1062" s="5">
        <v>22000</v>
      </c>
      <c r="R1062" s="3">
        <v>0</v>
      </c>
      <c r="S1062" s="3">
        <v>0</v>
      </c>
      <c r="T1062" s="3">
        <v>100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5">
        <v>2000</v>
      </c>
      <c r="AA1062" s="5">
        <v>16000</v>
      </c>
      <c r="AB1062" s="6">
        <v>54100</v>
      </c>
      <c r="AC1062" s="2" t="str">
        <f>VLOOKUP(E1062,'[1]Detailed Transfer Report (12)'!$K:$Y,13,FALSE)</f>
        <v>Shareef Jan</v>
      </c>
      <c r="AD1062" s="2" t="str">
        <f>VLOOKUP(E1062,'[1]Detailed Transfer Report (12)'!$K:$Y,14,FALSE)</f>
        <v>Sardar Yasir Ilyas</v>
      </c>
      <c r="AE1062" s="16">
        <f>VLOOKUP(E1062,'[1]Detailed Transfer Report (12)'!$K:$Y,15,FALSE)</f>
        <v>44614</v>
      </c>
    </row>
    <row r="1063" spans="1:31" x14ac:dyDescent="0.25">
      <c r="A1063" s="7">
        <v>611</v>
      </c>
      <c r="B1063" s="4">
        <v>44601</v>
      </c>
      <c r="C1063" s="3" t="s">
        <v>139</v>
      </c>
      <c r="D1063" s="3" t="s">
        <v>1473</v>
      </c>
      <c r="E1063" s="3">
        <v>570</v>
      </c>
      <c r="F1063" s="3">
        <v>4405</v>
      </c>
      <c r="G1063" s="3" t="s">
        <v>41</v>
      </c>
      <c r="H1063" s="5">
        <v>39640</v>
      </c>
      <c r="I1063" s="3">
        <v>0</v>
      </c>
      <c r="J1063" s="5">
        <v>17000</v>
      </c>
      <c r="K1063" s="3">
        <v>0</v>
      </c>
      <c r="L1063" s="3">
        <v>0</v>
      </c>
      <c r="M1063" s="3">
        <v>0</v>
      </c>
      <c r="N1063" s="5">
        <v>17000</v>
      </c>
      <c r="O1063" s="3">
        <v>0</v>
      </c>
      <c r="P1063" s="3">
        <v>0</v>
      </c>
      <c r="Q1063" s="5">
        <v>12360</v>
      </c>
      <c r="R1063" s="3">
        <v>0</v>
      </c>
      <c r="S1063" s="3">
        <v>0</v>
      </c>
      <c r="T1063" s="3">
        <v>100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5">
        <v>2000</v>
      </c>
      <c r="AA1063" s="5">
        <v>46500</v>
      </c>
      <c r="AB1063" s="6">
        <v>134600</v>
      </c>
      <c r="AC1063" s="2" t="str">
        <f>VLOOKUP(E1063,'[1]Detailed Transfer Report (12)'!$K:$Y,13,FALSE)</f>
        <v>Javed Akhter</v>
      </c>
      <c r="AD1063" s="2" t="str">
        <f>VLOOKUP(E1063,'[1]Detailed Transfer Report (12)'!$K:$Y,14,FALSE)</f>
        <v>Sardar Yasir Ilyas</v>
      </c>
      <c r="AE1063" s="16">
        <f>VLOOKUP(E1063,'[1]Detailed Transfer Report (12)'!$K:$Y,15,FALSE)</f>
        <v>44603</v>
      </c>
    </row>
    <row r="1064" spans="1:31" x14ac:dyDescent="0.25">
      <c r="A1064" s="9">
        <v>611</v>
      </c>
      <c r="B1064" s="4">
        <v>44704</v>
      </c>
      <c r="C1064" s="3" t="s">
        <v>1474</v>
      </c>
      <c r="D1064" s="3" t="s">
        <v>1467</v>
      </c>
      <c r="E1064" s="3">
        <v>596</v>
      </c>
      <c r="F1064" s="3">
        <v>5524</v>
      </c>
      <c r="G1064" s="3" t="s">
        <v>41</v>
      </c>
      <c r="H1064" s="3">
        <v>0</v>
      </c>
      <c r="I1064" s="3">
        <v>0</v>
      </c>
      <c r="J1064" s="5">
        <v>10000</v>
      </c>
      <c r="K1064" s="3">
        <v>0</v>
      </c>
      <c r="L1064" s="3">
        <v>0</v>
      </c>
      <c r="M1064" s="3">
        <v>0</v>
      </c>
      <c r="N1064" s="5">
        <v>10000</v>
      </c>
      <c r="O1064" s="3">
        <v>0</v>
      </c>
      <c r="P1064" s="3">
        <v>0</v>
      </c>
      <c r="Q1064" s="5">
        <v>31000</v>
      </c>
      <c r="R1064" s="3">
        <v>0</v>
      </c>
      <c r="S1064" s="3">
        <v>0</v>
      </c>
      <c r="T1064" s="3">
        <v>100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5">
        <v>2000</v>
      </c>
      <c r="AA1064" s="5">
        <v>36000</v>
      </c>
      <c r="AB1064" s="6">
        <v>223700</v>
      </c>
      <c r="AC1064" s="2" t="str">
        <f>VLOOKUP(E1064,'[1]Detailed Transfer Report (12)'!$K:$Y,13,FALSE)</f>
        <v>Ghulam Murtaza</v>
      </c>
      <c r="AD1064" s="2" t="str">
        <f>VLOOKUP(E1064,'[1]Detailed Transfer Report (12)'!$K:$Y,14,FALSE)</f>
        <v>Sardar Yasir Ilyas</v>
      </c>
      <c r="AE1064" s="16">
        <f>VLOOKUP(E1064,'[1]Detailed Transfer Report (12)'!$K:$Y,15,FALSE)</f>
        <v>44658</v>
      </c>
    </row>
    <row r="1065" spans="1:31" x14ac:dyDescent="0.25">
      <c r="A1065" s="10">
        <v>611</v>
      </c>
      <c r="B1065" s="4">
        <v>44637</v>
      </c>
      <c r="C1065" s="3" t="s">
        <v>137</v>
      </c>
      <c r="D1065" s="3" t="s">
        <v>1467</v>
      </c>
      <c r="E1065" s="3">
        <v>594</v>
      </c>
      <c r="F1065" s="3">
        <v>4758</v>
      </c>
      <c r="G1065" s="3" t="s">
        <v>41</v>
      </c>
      <c r="H1065" s="3">
        <v>0</v>
      </c>
      <c r="I1065" s="3">
        <v>0</v>
      </c>
      <c r="J1065" s="5">
        <v>10000</v>
      </c>
      <c r="K1065" s="3">
        <v>0</v>
      </c>
      <c r="L1065" s="3">
        <v>0</v>
      </c>
      <c r="M1065" s="3">
        <v>0</v>
      </c>
      <c r="N1065" s="5">
        <v>10000</v>
      </c>
      <c r="O1065" s="3">
        <v>0</v>
      </c>
      <c r="P1065" s="3">
        <v>0</v>
      </c>
      <c r="Q1065" s="5">
        <v>11000</v>
      </c>
      <c r="R1065" s="3">
        <v>0</v>
      </c>
      <c r="S1065" s="3">
        <v>0</v>
      </c>
      <c r="T1065" s="3">
        <v>100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5">
        <v>2000</v>
      </c>
      <c r="AA1065" s="5">
        <v>16000</v>
      </c>
      <c r="AB1065" s="6">
        <v>272800</v>
      </c>
      <c r="AC1065" s="2" t="str">
        <f>VLOOKUP(E1065,'[1]Detailed Transfer Report (12)'!$K:$Y,13,FALSE)</f>
        <v>Ghulam Martaza</v>
      </c>
      <c r="AD1065" s="2" t="str">
        <f>VLOOKUP(E1065,'[1]Detailed Transfer Report (12)'!$K:$Y,14,FALSE)</f>
        <v>Sardar Yasir Ilyas</v>
      </c>
      <c r="AE1065" s="16">
        <f>VLOOKUP(E1065,'[1]Detailed Transfer Report (12)'!$K:$Y,15,FALSE)</f>
        <v>44652</v>
      </c>
    </row>
    <row r="1066" spans="1:31" x14ac:dyDescent="0.25">
      <c r="A1066" s="3">
        <v>612</v>
      </c>
      <c r="B1066" s="4">
        <v>44704</v>
      </c>
      <c r="C1066" s="3" t="s">
        <v>1459</v>
      </c>
      <c r="D1066" s="3" t="s">
        <v>1466</v>
      </c>
      <c r="E1066" s="3">
        <v>3869</v>
      </c>
      <c r="F1066" s="3">
        <v>4164</v>
      </c>
      <c r="G1066" s="3" t="s">
        <v>1179</v>
      </c>
      <c r="H1066" s="3">
        <v>0</v>
      </c>
      <c r="I1066" s="3">
        <v>0</v>
      </c>
      <c r="J1066" s="5">
        <v>150000</v>
      </c>
      <c r="K1066" s="3">
        <v>0</v>
      </c>
      <c r="L1066" s="3">
        <v>0</v>
      </c>
      <c r="M1066" s="3">
        <v>0</v>
      </c>
      <c r="N1066" s="5">
        <v>150000</v>
      </c>
      <c r="O1066" s="3">
        <v>0</v>
      </c>
      <c r="P1066" s="3">
        <v>0</v>
      </c>
      <c r="Q1066" s="5">
        <v>451000</v>
      </c>
      <c r="R1066" s="5">
        <v>300000</v>
      </c>
      <c r="S1066" s="3">
        <v>0</v>
      </c>
      <c r="T1066" s="3">
        <v>100</v>
      </c>
      <c r="U1066" s="3">
        <v>0</v>
      </c>
      <c r="V1066" s="3">
        <v>0</v>
      </c>
      <c r="W1066" s="3">
        <v>0</v>
      </c>
      <c r="X1066" s="5">
        <v>1000</v>
      </c>
      <c r="Y1066" s="3">
        <v>0</v>
      </c>
      <c r="Z1066" s="5">
        <v>2000</v>
      </c>
      <c r="AA1066" s="5">
        <v>211000</v>
      </c>
      <c r="AB1066" s="6">
        <v>1265100</v>
      </c>
      <c r="AC1066" s="2" t="str">
        <f>VLOOKUP(E1066,'[1]Detailed Transfer Report (12)'!$K:$Y,13,FALSE)</f>
        <v>Fazal Min Alla</v>
      </c>
      <c r="AD1066" s="2" t="str">
        <f>VLOOKUP(E1066,'[1]Detailed Transfer Report (12)'!$K:$Y,14,FALSE)</f>
        <v>Sardar Yasir Ilyas</v>
      </c>
      <c r="AE1066" s="16">
        <f>VLOOKUP(E1066,'[1]Detailed Transfer Report (12)'!$K:$Y,15,FALSE)</f>
        <v>44601</v>
      </c>
    </row>
    <row r="1067" spans="1:31" x14ac:dyDescent="0.25">
      <c r="A1067" s="3">
        <v>613</v>
      </c>
      <c r="B1067" s="4">
        <v>44601</v>
      </c>
      <c r="C1067" s="3" t="s">
        <v>44</v>
      </c>
      <c r="D1067" s="3" t="s">
        <v>1475</v>
      </c>
      <c r="E1067" s="3">
        <v>4688</v>
      </c>
      <c r="F1067" s="3">
        <v>8383</v>
      </c>
      <c r="G1067" s="3" t="s">
        <v>30</v>
      </c>
      <c r="H1067" s="3">
        <v>0</v>
      </c>
      <c r="I1067" s="3">
        <v>0</v>
      </c>
      <c r="J1067" s="5">
        <v>13000</v>
      </c>
      <c r="K1067" s="3">
        <v>0</v>
      </c>
      <c r="L1067" s="3">
        <v>0</v>
      </c>
      <c r="M1067" s="3">
        <v>0</v>
      </c>
      <c r="N1067" s="5">
        <v>13000</v>
      </c>
      <c r="O1067" s="3">
        <v>0</v>
      </c>
      <c r="P1067" s="3">
        <v>0</v>
      </c>
      <c r="Q1067" s="5">
        <v>14000</v>
      </c>
      <c r="R1067" s="3">
        <v>0</v>
      </c>
      <c r="S1067" s="3">
        <v>0</v>
      </c>
      <c r="T1067" s="3">
        <v>100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5">
        <v>2000</v>
      </c>
      <c r="AA1067" s="5">
        <v>16000</v>
      </c>
      <c r="AB1067" s="6">
        <v>58100</v>
      </c>
      <c r="AC1067" s="2" t="str">
        <f>VLOOKUP(E1067,'[1]Detailed Transfer Report (12)'!$K:$Y,13,FALSE)</f>
        <v>Azam Elahi</v>
      </c>
      <c r="AD1067" s="2" t="str">
        <f>VLOOKUP(E1067,'[1]Detailed Transfer Report (12)'!$K:$Y,14,FALSE)</f>
        <v>Sardar Yasir Ilyas</v>
      </c>
      <c r="AE1067" s="16">
        <f>VLOOKUP(E1067,'[1]Detailed Transfer Report (12)'!$K:$Y,15,FALSE)</f>
        <v>44695</v>
      </c>
    </row>
    <row r="1068" spans="1:31" x14ac:dyDescent="0.25">
      <c r="A1068" s="7">
        <v>614</v>
      </c>
      <c r="B1068" s="4">
        <v>44672</v>
      </c>
      <c r="C1068" s="3" t="s">
        <v>1476</v>
      </c>
      <c r="D1068" s="3" t="s">
        <v>1477</v>
      </c>
      <c r="E1068" s="3">
        <v>553</v>
      </c>
      <c r="F1068" s="3">
        <v>28260</v>
      </c>
      <c r="G1068" s="3" t="s">
        <v>41</v>
      </c>
      <c r="H1068" s="3">
        <v>0</v>
      </c>
      <c r="I1068" s="3">
        <v>0</v>
      </c>
      <c r="J1068" s="5">
        <v>3000</v>
      </c>
      <c r="K1068" s="3">
        <v>0</v>
      </c>
      <c r="L1068" s="3">
        <v>0</v>
      </c>
      <c r="M1068" s="3">
        <v>0</v>
      </c>
      <c r="N1068" s="5">
        <v>3000</v>
      </c>
      <c r="O1068" s="3">
        <v>0</v>
      </c>
      <c r="P1068" s="3">
        <v>0</v>
      </c>
      <c r="Q1068" s="5">
        <v>3500</v>
      </c>
      <c r="R1068" s="3">
        <v>0</v>
      </c>
      <c r="S1068" s="3">
        <v>0</v>
      </c>
      <c r="T1068" s="3">
        <v>300</v>
      </c>
      <c r="U1068" s="3">
        <v>0</v>
      </c>
      <c r="V1068" s="3">
        <v>0</v>
      </c>
      <c r="W1068" s="3">
        <v>0</v>
      </c>
      <c r="X1068" s="5">
        <v>1000</v>
      </c>
      <c r="Y1068" s="3">
        <v>0</v>
      </c>
      <c r="Z1068" s="5">
        <v>2000</v>
      </c>
      <c r="AA1068" s="5">
        <v>14000</v>
      </c>
      <c r="AB1068" s="6">
        <v>26800</v>
      </c>
      <c r="AC1068" s="2" t="str">
        <f>VLOOKUP(E1068,'[1]Detailed Transfer Report (12)'!$K:$Y,13,FALSE)</f>
        <v>Rashid Mehmood</v>
      </c>
      <c r="AD1068" s="2" t="str">
        <f>VLOOKUP(E1068,'[1]Detailed Transfer Report (12)'!$K:$Y,14,FALSE)</f>
        <v>Sardar Yasir Ilyas</v>
      </c>
      <c r="AE1068" s="16">
        <f>VLOOKUP(E1068,'[1]Detailed Transfer Report (12)'!$K:$Y,15,FALSE)</f>
        <v>44438</v>
      </c>
    </row>
    <row r="1069" spans="1:31" x14ac:dyDescent="0.25">
      <c r="A1069" s="9">
        <v>614</v>
      </c>
      <c r="B1069" s="4">
        <v>44672</v>
      </c>
      <c r="C1069" s="3" t="s">
        <v>1067</v>
      </c>
      <c r="D1069" s="3" t="s">
        <v>1477</v>
      </c>
      <c r="E1069" s="3">
        <v>551</v>
      </c>
      <c r="F1069" s="3">
        <v>28259</v>
      </c>
      <c r="G1069" s="3" t="s">
        <v>41</v>
      </c>
      <c r="H1069" s="3">
        <v>0</v>
      </c>
      <c r="I1069" s="3">
        <v>0</v>
      </c>
      <c r="J1069" s="5">
        <v>4000</v>
      </c>
      <c r="K1069" s="3">
        <v>0</v>
      </c>
      <c r="L1069" s="3">
        <v>0</v>
      </c>
      <c r="M1069" s="3">
        <v>0</v>
      </c>
      <c r="N1069" s="5">
        <v>4000</v>
      </c>
      <c r="O1069" s="3">
        <v>0</v>
      </c>
      <c r="P1069" s="3">
        <v>0</v>
      </c>
      <c r="Q1069" s="5">
        <v>4500</v>
      </c>
      <c r="R1069" s="3">
        <v>0</v>
      </c>
      <c r="S1069" s="3">
        <v>0</v>
      </c>
      <c r="T1069" s="3">
        <v>300</v>
      </c>
      <c r="U1069" s="3">
        <v>0</v>
      </c>
      <c r="V1069" s="3">
        <v>0</v>
      </c>
      <c r="W1069" s="3">
        <v>0</v>
      </c>
      <c r="X1069" s="5">
        <v>1000</v>
      </c>
      <c r="Y1069" s="3">
        <v>0</v>
      </c>
      <c r="Z1069" s="5">
        <v>2000</v>
      </c>
      <c r="AA1069" s="5">
        <v>14000</v>
      </c>
      <c r="AB1069" s="6">
        <v>56600</v>
      </c>
      <c r="AE1069" s="16"/>
    </row>
    <row r="1070" spans="1:31" x14ac:dyDescent="0.25">
      <c r="A1070" s="9">
        <v>614</v>
      </c>
      <c r="B1070" s="4">
        <v>44621</v>
      </c>
      <c r="C1070" s="3" t="s">
        <v>937</v>
      </c>
      <c r="D1070" s="3" t="s">
        <v>1468</v>
      </c>
      <c r="E1070" s="3">
        <v>602</v>
      </c>
      <c r="F1070" s="3">
        <v>3462</v>
      </c>
      <c r="G1070" s="3" t="s">
        <v>41</v>
      </c>
      <c r="H1070" s="5">
        <v>42600</v>
      </c>
      <c r="I1070" s="3">
        <v>0</v>
      </c>
      <c r="J1070" s="5">
        <v>21300</v>
      </c>
      <c r="K1070" s="3">
        <v>0</v>
      </c>
      <c r="L1070" s="3">
        <v>0</v>
      </c>
      <c r="M1070" s="3">
        <v>0</v>
      </c>
      <c r="N1070" s="5">
        <v>21300</v>
      </c>
      <c r="O1070" s="3">
        <v>0</v>
      </c>
      <c r="P1070" s="3">
        <v>0</v>
      </c>
      <c r="Q1070" s="5">
        <v>22300</v>
      </c>
      <c r="R1070" s="5">
        <v>42600</v>
      </c>
      <c r="S1070" s="3">
        <v>0</v>
      </c>
      <c r="T1070" s="3">
        <v>100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5">
        <v>2000</v>
      </c>
      <c r="AA1070" s="5">
        <v>57950</v>
      </c>
      <c r="AB1070" s="6">
        <v>266750</v>
      </c>
      <c r="AC1070" s="2" t="str">
        <f>VLOOKUP(E1070,'[1]Detailed Transfer Report (12)'!$K:$Y,13,FALSE)</f>
        <v>Muhammad Ashfaq</v>
      </c>
      <c r="AD1070" s="2" t="str">
        <f>VLOOKUP(E1070,'[1]Detailed Transfer Report (12)'!$K:$Y,14,FALSE)</f>
        <v>Sardar Yasir Ilyas</v>
      </c>
      <c r="AE1070" s="16">
        <f>VLOOKUP(E1070,'[1]Detailed Transfer Report (12)'!$K:$Y,15,FALSE)</f>
        <v>44594</v>
      </c>
    </row>
    <row r="1071" spans="1:31" x14ac:dyDescent="0.25">
      <c r="A1071" s="10">
        <v>614</v>
      </c>
      <c r="B1071" s="4">
        <v>44672</v>
      </c>
      <c r="C1071" s="3" t="s">
        <v>723</v>
      </c>
      <c r="D1071" s="3" t="s">
        <v>1477</v>
      </c>
      <c r="E1071" s="3">
        <v>617</v>
      </c>
      <c r="F1071" s="3">
        <v>24172</v>
      </c>
      <c r="G1071" s="3" t="s">
        <v>41</v>
      </c>
      <c r="H1071" s="3">
        <v>0</v>
      </c>
      <c r="I1071" s="3">
        <v>0</v>
      </c>
      <c r="J1071" s="5">
        <v>4900</v>
      </c>
      <c r="K1071" s="3">
        <v>0</v>
      </c>
      <c r="L1071" s="3">
        <v>0</v>
      </c>
      <c r="M1071" s="3">
        <v>0</v>
      </c>
      <c r="N1071" s="5">
        <v>4900</v>
      </c>
      <c r="O1071" s="3">
        <v>0</v>
      </c>
      <c r="P1071" s="3">
        <v>0</v>
      </c>
      <c r="Q1071" s="5">
        <v>5400</v>
      </c>
      <c r="R1071" s="3">
        <v>0</v>
      </c>
      <c r="S1071" s="3">
        <v>0</v>
      </c>
      <c r="T1071" s="3">
        <v>300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5">
        <v>2000</v>
      </c>
      <c r="AA1071" s="5">
        <v>31350</v>
      </c>
      <c r="AB1071" s="6">
        <v>315600</v>
      </c>
      <c r="AC1071" s="2" t="str">
        <f>VLOOKUP(E1071,'[1]Detailed Transfer Report (12)'!$K:$Y,13,FALSE)</f>
        <v>Rashid Mehmood</v>
      </c>
      <c r="AD1071" s="2" t="str">
        <f>VLOOKUP(E1071,'[1]Detailed Transfer Report (12)'!$K:$Y,14,FALSE)</f>
        <v>Sardar Yasir Ilyas</v>
      </c>
      <c r="AE1071" s="16">
        <f>VLOOKUP(E1071,'[1]Detailed Transfer Report (12)'!$K:$Y,15,FALSE)</f>
        <v>44392</v>
      </c>
    </row>
    <row r="1072" spans="1:31" x14ac:dyDescent="0.25">
      <c r="A1072" s="3">
        <v>615</v>
      </c>
      <c r="B1072" s="4">
        <v>44603</v>
      </c>
      <c r="C1072" s="3" t="s">
        <v>205</v>
      </c>
      <c r="D1072" s="3" t="s">
        <v>1457</v>
      </c>
      <c r="E1072" s="3">
        <v>5191</v>
      </c>
      <c r="F1072" s="3">
        <v>4225</v>
      </c>
      <c r="G1072" s="3" t="s">
        <v>756</v>
      </c>
      <c r="H1072" s="3">
        <v>0</v>
      </c>
      <c r="I1072" s="3">
        <v>0</v>
      </c>
      <c r="J1072" s="5">
        <v>5000</v>
      </c>
      <c r="K1072" s="3">
        <v>0</v>
      </c>
      <c r="L1072" s="3">
        <v>0</v>
      </c>
      <c r="M1072" s="3">
        <v>0</v>
      </c>
      <c r="N1072" s="5">
        <v>5000</v>
      </c>
      <c r="O1072" s="3">
        <v>0</v>
      </c>
      <c r="P1072" s="3">
        <v>0</v>
      </c>
      <c r="Q1072" s="5">
        <v>15500</v>
      </c>
      <c r="R1072" s="5">
        <v>10000</v>
      </c>
      <c r="S1072" s="3">
        <v>0</v>
      </c>
      <c r="T1072" s="3">
        <v>100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5">
        <v>2000</v>
      </c>
      <c r="AA1072" s="5">
        <v>16000</v>
      </c>
      <c r="AB1072" s="6">
        <v>53600</v>
      </c>
      <c r="AC1072" s="2" t="str">
        <f>VLOOKUP(E1072,'[1]Detailed Transfer Report (12)'!$K:$Y,13,FALSE)</f>
        <v>Atta Ullah</v>
      </c>
      <c r="AD1072" s="2" t="str">
        <f>VLOOKUP(E1072,'[1]Detailed Transfer Report (12)'!$K:$Y,14,FALSE)</f>
        <v>Sardar Yasir Ilyas</v>
      </c>
      <c r="AE1072" s="16">
        <f>VLOOKUP(E1072,'[1]Detailed Transfer Report (12)'!$K:$Y,15,FALSE)</f>
        <v>44601</v>
      </c>
    </row>
    <row r="1073" spans="1:31" x14ac:dyDescent="0.25">
      <c r="A1073" s="3">
        <v>616</v>
      </c>
      <c r="B1073" s="4">
        <v>44623</v>
      </c>
      <c r="C1073" s="3" t="s">
        <v>323</v>
      </c>
      <c r="D1073" s="3" t="s">
        <v>1277</v>
      </c>
      <c r="E1073" s="3">
        <v>3882</v>
      </c>
      <c r="F1073" s="3">
        <v>4956</v>
      </c>
      <c r="G1073" s="3" t="s">
        <v>1179</v>
      </c>
      <c r="H1073" s="5">
        <v>446550</v>
      </c>
      <c r="I1073" s="3">
        <v>0</v>
      </c>
      <c r="J1073" s="5">
        <v>120000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5">
        <v>34450</v>
      </c>
      <c r="R1073" s="3">
        <v>0</v>
      </c>
      <c r="S1073" s="5">
        <v>14000</v>
      </c>
      <c r="T1073" s="3">
        <v>100</v>
      </c>
      <c r="U1073" s="3">
        <v>0</v>
      </c>
      <c r="V1073" s="3">
        <v>0</v>
      </c>
      <c r="W1073" s="3">
        <v>0</v>
      </c>
      <c r="X1073" s="5">
        <v>1000</v>
      </c>
      <c r="Y1073" s="3">
        <v>0</v>
      </c>
      <c r="Z1073" s="5">
        <v>2000</v>
      </c>
      <c r="AA1073" s="5">
        <v>156000</v>
      </c>
      <c r="AB1073" s="6">
        <v>774100</v>
      </c>
      <c r="AC1073" s="2" t="str">
        <f>VLOOKUP(E1073,'[1]Detailed Transfer Report (12)'!$K:$Y,13,FALSE)</f>
        <v>Naheed Akhtar</v>
      </c>
      <c r="AD1073" s="2" t="str">
        <f>VLOOKUP(E1073,'[1]Detailed Transfer Report (12)'!$K:$Y,14,FALSE)</f>
        <v>Sardar Yasir Ilyas</v>
      </c>
      <c r="AE1073" s="16">
        <f>VLOOKUP(E1073,'[1]Detailed Transfer Report (12)'!$K:$Y,15,FALSE)</f>
        <v>44608</v>
      </c>
    </row>
    <row r="1074" spans="1:31" x14ac:dyDescent="0.25">
      <c r="A1074" s="7">
        <v>617</v>
      </c>
      <c r="B1074" s="4">
        <v>44623</v>
      </c>
      <c r="C1074" s="3" t="s">
        <v>207</v>
      </c>
      <c r="D1074" s="3" t="s">
        <v>1277</v>
      </c>
      <c r="E1074" s="3">
        <v>3812</v>
      </c>
      <c r="F1074" s="3">
        <v>2352</v>
      </c>
      <c r="G1074" s="3" t="s">
        <v>1179</v>
      </c>
      <c r="H1074" s="3">
        <v>0</v>
      </c>
      <c r="I1074" s="3">
        <v>0</v>
      </c>
      <c r="J1074" s="5">
        <v>300000</v>
      </c>
      <c r="K1074" s="3">
        <v>0</v>
      </c>
      <c r="L1074" s="3">
        <v>0</v>
      </c>
      <c r="M1074" s="3">
        <v>0</v>
      </c>
      <c r="N1074" s="5">
        <v>150000</v>
      </c>
      <c r="O1074" s="3">
        <v>0</v>
      </c>
      <c r="P1074" s="3">
        <v>0</v>
      </c>
      <c r="Q1074" s="5">
        <v>451000</v>
      </c>
      <c r="R1074" s="5">
        <v>300000</v>
      </c>
      <c r="S1074" s="3">
        <v>0</v>
      </c>
      <c r="T1074" s="3">
        <v>100</v>
      </c>
      <c r="U1074" s="3">
        <v>0</v>
      </c>
      <c r="V1074" s="3">
        <v>0</v>
      </c>
      <c r="W1074" s="3">
        <v>0</v>
      </c>
      <c r="X1074" s="5">
        <v>1000</v>
      </c>
      <c r="Y1074" s="3">
        <v>0</v>
      </c>
      <c r="Z1074" s="5">
        <v>2000</v>
      </c>
      <c r="AA1074" s="5">
        <v>176000</v>
      </c>
      <c r="AB1074" s="6">
        <v>1380100</v>
      </c>
      <c r="AC1074" s="2" t="str">
        <f>VLOOKUP(E1074,'[1]Detailed Transfer Report (12)'!$K:$Y,13,FALSE)</f>
        <v>Banoot Khan</v>
      </c>
      <c r="AD1074" s="2" t="str">
        <f>VLOOKUP(E1074,'[1]Detailed Transfer Report (12)'!$K:$Y,14,FALSE)</f>
        <v>Sardar Yasir Ilyas</v>
      </c>
      <c r="AE1074" s="16">
        <f>VLOOKUP(E1074,'[1]Detailed Transfer Report (12)'!$K:$Y,15,FALSE)</f>
        <v>44629</v>
      </c>
    </row>
    <row r="1075" spans="1:31" x14ac:dyDescent="0.25">
      <c r="A1075" s="9">
        <v>617</v>
      </c>
      <c r="B1075" s="4">
        <v>44628</v>
      </c>
      <c r="C1075" s="3" t="s">
        <v>1478</v>
      </c>
      <c r="D1075" s="3" t="s">
        <v>1479</v>
      </c>
      <c r="E1075" s="3"/>
      <c r="F1075" s="3">
        <v>9474</v>
      </c>
      <c r="G1075" s="3" t="s">
        <v>1179</v>
      </c>
      <c r="H1075" s="3">
        <v>0</v>
      </c>
      <c r="I1075" s="3">
        <v>0</v>
      </c>
      <c r="J1075" s="5">
        <v>100000</v>
      </c>
      <c r="K1075" s="3">
        <v>0</v>
      </c>
      <c r="L1075" s="3">
        <v>0</v>
      </c>
      <c r="M1075" s="3">
        <v>0</v>
      </c>
      <c r="N1075" s="5">
        <v>100000</v>
      </c>
      <c r="O1075" s="3">
        <v>0</v>
      </c>
      <c r="P1075" s="3">
        <v>0</v>
      </c>
      <c r="Q1075" s="5">
        <v>301000</v>
      </c>
      <c r="R1075" s="3">
        <v>0</v>
      </c>
      <c r="S1075" s="3">
        <v>0</v>
      </c>
      <c r="T1075" s="3">
        <v>100</v>
      </c>
      <c r="U1075" s="3">
        <v>0</v>
      </c>
      <c r="V1075" s="3">
        <v>0</v>
      </c>
      <c r="W1075" s="3">
        <v>0</v>
      </c>
      <c r="X1075" s="5">
        <v>1000</v>
      </c>
      <c r="Y1075" s="3">
        <v>0</v>
      </c>
      <c r="Z1075" s="5">
        <v>2000</v>
      </c>
      <c r="AA1075" s="5">
        <v>136000</v>
      </c>
      <c r="AB1075" s="6">
        <v>2020200</v>
      </c>
      <c r="AC1075" s="2" t="str">
        <f>VLOOKUP(F1075,'[1]Detailed Transfer Report (12)'!$L:$Y,12,FALSE)</f>
        <v>Muhammad Pervaiz</v>
      </c>
      <c r="AD1075" s="2" t="str">
        <f>VLOOKUP(F1075,'[1]Detailed Transfer Report (12)'!$L:$Y,13,FALSE)</f>
        <v>Sardar Yasir Ilyas</v>
      </c>
      <c r="AE1075" s="16"/>
    </row>
    <row r="1076" spans="1:31" x14ac:dyDescent="0.25">
      <c r="A1076" s="9">
        <v>617</v>
      </c>
      <c r="B1076" s="4">
        <v>44707</v>
      </c>
      <c r="C1076" s="3" t="s">
        <v>963</v>
      </c>
      <c r="D1076" s="3" t="s">
        <v>1480</v>
      </c>
      <c r="E1076" s="3">
        <v>3921</v>
      </c>
      <c r="F1076" s="3">
        <v>9668</v>
      </c>
      <c r="G1076" s="3" t="s">
        <v>1179</v>
      </c>
      <c r="H1076" s="3">
        <v>0</v>
      </c>
      <c r="I1076" s="3">
        <v>0</v>
      </c>
      <c r="J1076" s="5">
        <v>204000</v>
      </c>
      <c r="K1076" s="3">
        <v>0</v>
      </c>
      <c r="L1076" s="3">
        <v>0</v>
      </c>
      <c r="M1076" s="3">
        <v>0</v>
      </c>
      <c r="N1076" s="5">
        <v>204000</v>
      </c>
      <c r="O1076" s="3">
        <v>0</v>
      </c>
      <c r="P1076" s="3">
        <v>0</v>
      </c>
      <c r="Q1076" s="5">
        <v>205000</v>
      </c>
      <c r="R1076" s="3">
        <v>0</v>
      </c>
      <c r="S1076" s="5">
        <v>24500</v>
      </c>
      <c r="T1076" s="3">
        <v>100</v>
      </c>
      <c r="U1076" s="3">
        <v>0</v>
      </c>
      <c r="V1076" s="3">
        <v>0</v>
      </c>
      <c r="W1076" s="3">
        <v>0</v>
      </c>
      <c r="X1076" s="5">
        <v>1000</v>
      </c>
      <c r="Y1076" s="3">
        <v>0</v>
      </c>
      <c r="Z1076" s="5">
        <v>2000</v>
      </c>
      <c r="AA1076" s="5">
        <v>240000</v>
      </c>
      <c r="AB1076" s="6">
        <v>2900800</v>
      </c>
      <c r="AC1076" s="2" t="str">
        <f>VLOOKUP(E1076,'[1]Detailed Transfer Report (12)'!$K:$Y,13,FALSE)</f>
        <v>Raja basit Ali</v>
      </c>
      <c r="AD1076" s="2" t="str">
        <f>VLOOKUP(E1076,'[1]Detailed Transfer Report (12)'!$K:$Y,14,FALSE)</f>
        <v>Sardar Yasir Ilyas</v>
      </c>
      <c r="AE1076" s="16">
        <f>VLOOKUP(E1076,'[1]Detailed Transfer Report (12)'!$K:$Y,15,FALSE)</f>
        <v>44707</v>
      </c>
    </row>
    <row r="1077" spans="1:31" x14ac:dyDescent="0.25">
      <c r="A1077" s="9">
        <v>617</v>
      </c>
      <c r="B1077" s="4">
        <v>44775</v>
      </c>
      <c r="C1077" s="3" t="s">
        <v>1481</v>
      </c>
      <c r="D1077" s="3" t="s">
        <v>1482</v>
      </c>
      <c r="E1077" s="3">
        <v>3870</v>
      </c>
      <c r="F1077" s="3">
        <v>18767</v>
      </c>
      <c r="G1077" s="3" t="s">
        <v>1179</v>
      </c>
      <c r="H1077" s="3">
        <v>0</v>
      </c>
      <c r="I1077" s="3">
        <v>0</v>
      </c>
      <c r="J1077" s="5">
        <v>81800</v>
      </c>
      <c r="K1077" s="3">
        <v>0</v>
      </c>
      <c r="L1077" s="3">
        <v>0</v>
      </c>
      <c r="M1077" s="3">
        <v>0</v>
      </c>
      <c r="N1077" s="5">
        <v>40900</v>
      </c>
      <c r="O1077" s="3">
        <v>0</v>
      </c>
      <c r="P1077" s="3">
        <v>0</v>
      </c>
      <c r="Q1077" s="5">
        <v>82800</v>
      </c>
      <c r="R1077" s="5">
        <v>163600</v>
      </c>
      <c r="S1077" s="3">
        <v>0</v>
      </c>
      <c r="T1077" s="5">
        <v>1000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5">
        <v>2000</v>
      </c>
      <c r="AA1077" s="5">
        <v>61350</v>
      </c>
      <c r="AB1077" s="6">
        <v>3334250</v>
      </c>
      <c r="AC1077" s="2" t="str">
        <f>VLOOKUP(E1077,'[1]Detailed Transfer Report (12)'!$K:$Y,13,FALSE)</f>
        <v>Maqsood Bibi</v>
      </c>
      <c r="AD1077" s="2" t="str">
        <f>VLOOKUP(E1077,'[1]Detailed Transfer Report (12)'!$K:$Y,14,FALSE)</f>
        <v>Sardar Yasir Ilyas</v>
      </c>
      <c r="AE1077" s="16">
        <f>VLOOKUP(E1077,'[1]Detailed Transfer Report (12)'!$K:$Y,15,FALSE)</f>
        <v>44785</v>
      </c>
    </row>
    <row r="1078" spans="1:31" x14ac:dyDescent="0.25">
      <c r="A1078" s="9">
        <v>617</v>
      </c>
      <c r="B1078" s="4">
        <v>44649</v>
      </c>
      <c r="C1078" s="3" t="s">
        <v>188</v>
      </c>
      <c r="D1078" s="3" t="s">
        <v>1472</v>
      </c>
      <c r="E1078" s="3">
        <v>3794</v>
      </c>
      <c r="F1078" s="3">
        <v>2768</v>
      </c>
      <c r="G1078" s="3" t="s">
        <v>1179</v>
      </c>
      <c r="H1078" s="3">
        <v>0</v>
      </c>
      <c r="I1078" s="3">
        <v>0</v>
      </c>
      <c r="J1078" s="5">
        <v>480000</v>
      </c>
      <c r="K1078" s="3">
        <v>0</v>
      </c>
      <c r="L1078" s="3">
        <v>0</v>
      </c>
      <c r="M1078" s="3">
        <v>0</v>
      </c>
      <c r="N1078" s="5">
        <v>240000</v>
      </c>
      <c r="O1078" s="3">
        <v>0</v>
      </c>
      <c r="P1078" s="3">
        <v>0</v>
      </c>
      <c r="Q1078" s="5">
        <v>241000</v>
      </c>
      <c r="R1078" s="5">
        <v>480000</v>
      </c>
      <c r="S1078" s="5">
        <v>56000</v>
      </c>
      <c r="T1078" s="3">
        <v>0</v>
      </c>
      <c r="U1078" s="3">
        <v>0</v>
      </c>
      <c r="V1078" s="3">
        <v>0</v>
      </c>
      <c r="W1078" s="3">
        <v>0</v>
      </c>
      <c r="X1078" s="5">
        <v>1000</v>
      </c>
      <c r="Y1078" s="3">
        <v>0</v>
      </c>
      <c r="Z1078" s="5">
        <v>2000</v>
      </c>
      <c r="AA1078" s="5">
        <v>276000</v>
      </c>
      <c r="AB1078" s="6">
        <v>5110250</v>
      </c>
      <c r="AC1078" s="2" t="str">
        <f>VLOOKUP(E1078,'[1]Detailed Transfer Report (12)'!$K:$Y,13,FALSE)</f>
        <v>Umer Memon</v>
      </c>
      <c r="AD1078" s="2" t="str">
        <f>VLOOKUP(E1078,'[1]Detailed Transfer Report (12)'!$K:$Y,14,FALSE)</f>
        <v>Sardar Yasir Ilyas</v>
      </c>
      <c r="AE1078" s="16">
        <f>VLOOKUP(E1078,'[1]Detailed Transfer Report (12)'!$K:$Y,15,FALSE)</f>
        <v>44635</v>
      </c>
    </row>
    <row r="1079" spans="1:31" x14ac:dyDescent="0.25">
      <c r="A1079" s="9">
        <v>617</v>
      </c>
      <c r="B1079" s="4">
        <v>44672</v>
      </c>
      <c r="C1079" s="3" t="s">
        <v>188</v>
      </c>
      <c r="D1079" s="3" t="s">
        <v>1483</v>
      </c>
      <c r="E1079" s="3">
        <v>3793</v>
      </c>
      <c r="F1079" s="3">
        <v>4625</v>
      </c>
      <c r="G1079" s="3" t="s">
        <v>1179</v>
      </c>
      <c r="H1079" s="3">
        <v>0</v>
      </c>
      <c r="I1079" s="3">
        <v>0</v>
      </c>
      <c r="J1079" s="5">
        <v>480000</v>
      </c>
      <c r="K1079" s="3">
        <v>0</v>
      </c>
      <c r="L1079" s="3">
        <v>0</v>
      </c>
      <c r="M1079" s="3">
        <v>0</v>
      </c>
      <c r="N1079" s="5">
        <v>240000</v>
      </c>
      <c r="O1079" s="3">
        <v>0</v>
      </c>
      <c r="P1079" s="3">
        <v>0</v>
      </c>
      <c r="Q1079" s="5">
        <v>241000</v>
      </c>
      <c r="R1079" s="5">
        <v>480000</v>
      </c>
      <c r="S1079" s="5">
        <v>56000</v>
      </c>
      <c r="T1079" s="3">
        <v>0</v>
      </c>
      <c r="U1079" s="3">
        <v>0</v>
      </c>
      <c r="V1079" s="3">
        <v>0</v>
      </c>
      <c r="W1079" s="3">
        <v>0</v>
      </c>
      <c r="X1079" s="5">
        <v>1000</v>
      </c>
      <c r="Y1079" s="3">
        <v>0</v>
      </c>
      <c r="Z1079" s="5">
        <v>2000</v>
      </c>
      <c r="AA1079" s="5">
        <v>276000</v>
      </c>
      <c r="AB1079" s="6">
        <v>6886250</v>
      </c>
      <c r="AC1079" s="2" t="str">
        <f>VLOOKUP(E1079,'[1]Detailed Transfer Report (12)'!$K:$Y,13,FALSE)</f>
        <v>Muhammad Zafar Iqbal</v>
      </c>
      <c r="AD1079" s="2" t="str">
        <f>VLOOKUP(E1079,'[1]Detailed Transfer Report (12)'!$K:$Y,14,FALSE)</f>
        <v>Sardar Yasir Ilyas</v>
      </c>
      <c r="AE1079" s="16">
        <f>VLOOKUP(E1079,'[1]Detailed Transfer Report (12)'!$K:$Y,15,FALSE)</f>
        <v>44651</v>
      </c>
    </row>
    <row r="1080" spans="1:31" x14ac:dyDescent="0.25">
      <c r="A1080" s="9">
        <v>617</v>
      </c>
      <c r="B1080" s="4">
        <v>44762</v>
      </c>
      <c r="C1080" s="3" t="s">
        <v>1484</v>
      </c>
      <c r="D1080" s="3" t="s">
        <v>1485</v>
      </c>
      <c r="E1080" s="3">
        <v>3866</v>
      </c>
      <c r="F1080" s="3">
        <v>20984</v>
      </c>
      <c r="G1080" s="3" t="s">
        <v>1179</v>
      </c>
      <c r="H1080" s="3">
        <v>0</v>
      </c>
      <c r="I1080" s="3">
        <v>0</v>
      </c>
      <c r="J1080" s="5">
        <v>1200000</v>
      </c>
      <c r="K1080" s="3">
        <v>0</v>
      </c>
      <c r="L1080" s="3">
        <v>0</v>
      </c>
      <c r="M1080" s="3">
        <v>0</v>
      </c>
      <c r="N1080" s="5">
        <v>600000</v>
      </c>
      <c r="O1080" s="3">
        <v>0</v>
      </c>
      <c r="P1080" s="3">
        <v>0</v>
      </c>
      <c r="Q1080" s="5">
        <v>1201000</v>
      </c>
      <c r="R1080" s="5">
        <v>2400000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5">
        <v>1000</v>
      </c>
      <c r="Y1080" s="3">
        <v>0</v>
      </c>
      <c r="Z1080" s="5">
        <v>2000</v>
      </c>
      <c r="AA1080" s="5">
        <v>900000</v>
      </c>
      <c r="AB1080" s="6">
        <v>13190250</v>
      </c>
      <c r="AC1080" s="2" t="str">
        <f>VLOOKUP(E1080,'[1]Detailed Transfer Report (12)'!$K:$Y,13,FALSE)</f>
        <v>Mansoor Ahmed</v>
      </c>
      <c r="AD1080" s="2" t="str">
        <f>VLOOKUP(E1080,'[1]Detailed Transfer Report (12)'!$K:$Y,14,FALSE)</f>
        <v>Sardar Yasir Ilyas</v>
      </c>
      <c r="AE1080" s="16">
        <f>VLOOKUP(E1080,'[1]Detailed Transfer Report (12)'!$K:$Y,15,FALSE)</f>
        <v>44811</v>
      </c>
    </row>
    <row r="1081" spans="1:31" x14ac:dyDescent="0.25">
      <c r="A1081" s="9">
        <v>617</v>
      </c>
      <c r="B1081" s="4">
        <v>44775</v>
      </c>
      <c r="C1081" s="3" t="s">
        <v>153</v>
      </c>
      <c r="D1081" s="3" t="s">
        <v>822</v>
      </c>
      <c r="E1081" s="3">
        <v>3928</v>
      </c>
      <c r="F1081" s="3">
        <v>10209</v>
      </c>
      <c r="G1081" s="3" t="s">
        <v>1179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5">
        <v>2500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6">
        <v>13192750</v>
      </c>
      <c r="AC1081" s="2" t="str">
        <f>VLOOKUP(E1081,'[1]Detailed Transfer Report (12)'!$K:$Y,13,FALSE)</f>
        <v>Zumurd Khan</v>
      </c>
      <c r="AD1081" s="2" t="str">
        <f>VLOOKUP(E1081,'[1]Detailed Transfer Report (12)'!$K:$Y,14,FALSE)</f>
        <v>Sardar Yasir Ilyas</v>
      </c>
      <c r="AE1081" s="16">
        <f>VLOOKUP(E1081,'[1]Detailed Transfer Report (12)'!$K:$Y,15,FALSE)</f>
        <v>44803</v>
      </c>
    </row>
    <row r="1082" spans="1:31" x14ac:dyDescent="0.25">
      <c r="A1082" s="9">
        <v>617</v>
      </c>
      <c r="B1082" s="4">
        <v>44785</v>
      </c>
      <c r="C1082" s="3" t="s">
        <v>1486</v>
      </c>
      <c r="D1082" s="3" t="s">
        <v>1482</v>
      </c>
      <c r="E1082" s="3">
        <v>3880</v>
      </c>
      <c r="F1082" s="3">
        <v>20986</v>
      </c>
      <c r="G1082" s="3" t="s">
        <v>1179</v>
      </c>
      <c r="H1082" s="3">
        <v>0</v>
      </c>
      <c r="I1082" s="3">
        <v>0</v>
      </c>
      <c r="J1082" s="5">
        <v>989840</v>
      </c>
      <c r="K1082" s="3">
        <v>0</v>
      </c>
      <c r="L1082" s="3">
        <v>0</v>
      </c>
      <c r="M1082" s="3">
        <v>0</v>
      </c>
      <c r="N1082" s="5">
        <v>494920</v>
      </c>
      <c r="O1082" s="3">
        <v>0</v>
      </c>
      <c r="P1082" s="3">
        <v>0</v>
      </c>
      <c r="Q1082" s="5">
        <v>990840</v>
      </c>
      <c r="R1082" s="5">
        <v>1979680</v>
      </c>
      <c r="S1082" s="5">
        <v>100000</v>
      </c>
      <c r="T1082" s="5">
        <v>1000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5">
        <v>2000</v>
      </c>
      <c r="AA1082" s="5">
        <v>742380</v>
      </c>
      <c r="AB1082" s="6">
        <v>18493410</v>
      </c>
      <c r="AC1082" s="2" t="str">
        <f>VLOOKUP(E1082,'[1]Detailed Transfer Report (12)'!$K:$Y,13,FALSE)</f>
        <v>Khasif Javed</v>
      </c>
      <c r="AD1082" s="2" t="str">
        <f>VLOOKUP(E1082,'[1]Detailed Transfer Report (12)'!$K:$Y,14,FALSE)</f>
        <v>Sardar Yasir Ilyas</v>
      </c>
      <c r="AE1082" s="16">
        <f>VLOOKUP(E1082,'[1]Detailed Transfer Report (12)'!$K:$Y,15,FALSE)</f>
        <v>44811</v>
      </c>
    </row>
    <row r="1083" spans="1:31" x14ac:dyDescent="0.25">
      <c r="A1083" s="9">
        <v>617</v>
      </c>
      <c r="B1083" s="4">
        <v>44623</v>
      </c>
      <c r="C1083" s="3" t="s">
        <v>1487</v>
      </c>
      <c r="D1083" s="3" t="s">
        <v>1277</v>
      </c>
      <c r="E1083" s="3">
        <v>3884</v>
      </c>
      <c r="F1083" s="3">
        <v>2351</v>
      </c>
      <c r="G1083" s="3" t="s">
        <v>1179</v>
      </c>
      <c r="H1083" s="3">
        <v>0</v>
      </c>
      <c r="I1083" s="3">
        <v>0</v>
      </c>
      <c r="J1083" s="5">
        <v>900000</v>
      </c>
      <c r="K1083" s="3">
        <v>0</v>
      </c>
      <c r="L1083" s="3">
        <v>0</v>
      </c>
      <c r="M1083" s="3">
        <v>0</v>
      </c>
      <c r="N1083" s="5">
        <v>450000</v>
      </c>
      <c r="O1083" s="3">
        <v>0</v>
      </c>
      <c r="P1083" s="3">
        <v>0</v>
      </c>
      <c r="Q1083" s="5">
        <v>1351000</v>
      </c>
      <c r="R1083" s="5">
        <v>900000</v>
      </c>
      <c r="S1083" s="5">
        <v>52500</v>
      </c>
      <c r="T1083" s="3">
        <v>100</v>
      </c>
      <c r="U1083" s="3">
        <v>0</v>
      </c>
      <c r="V1083" s="3">
        <v>0</v>
      </c>
      <c r="W1083" s="3">
        <v>0</v>
      </c>
      <c r="X1083" s="5">
        <v>1000</v>
      </c>
      <c r="Y1083" s="3">
        <v>0</v>
      </c>
      <c r="Z1083" s="5">
        <v>2000</v>
      </c>
      <c r="AA1083" s="5">
        <v>711000</v>
      </c>
      <c r="AB1083" s="6">
        <v>22861010</v>
      </c>
      <c r="AC1083" s="2" t="str">
        <f>VLOOKUP(E1083,'[1]Detailed Transfer Report (12)'!$K:$Y,13,FALSE)</f>
        <v>Banoot Khan</v>
      </c>
      <c r="AD1083" s="2" t="str">
        <f>VLOOKUP(E1083,'[1]Detailed Transfer Report (12)'!$K:$Y,14,FALSE)</f>
        <v>Sardar Yasir Ilyas</v>
      </c>
      <c r="AE1083" s="16">
        <f>VLOOKUP(E1083,'[1]Detailed Transfer Report (12)'!$K:$Y,15,FALSE)</f>
        <v>44629</v>
      </c>
    </row>
    <row r="1084" spans="1:31" x14ac:dyDescent="0.25">
      <c r="A1084" s="9">
        <v>617</v>
      </c>
      <c r="B1084" s="4">
        <v>44671</v>
      </c>
      <c r="C1084" s="3" t="s">
        <v>1488</v>
      </c>
      <c r="D1084" s="3" t="s">
        <v>1483</v>
      </c>
      <c r="E1084" s="3">
        <v>3922</v>
      </c>
      <c r="F1084" s="3">
        <v>5490</v>
      </c>
      <c r="G1084" s="3" t="s">
        <v>1179</v>
      </c>
      <c r="H1084" s="3">
        <v>0</v>
      </c>
      <c r="I1084" s="3">
        <v>0</v>
      </c>
      <c r="J1084" s="5">
        <v>192000</v>
      </c>
      <c r="K1084" s="3">
        <v>0</v>
      </c>
      <c r="L1084" s="3">
        <v>0</v>
      </c>
      <c r="M1084" s="3">
        <v>0</v>
      </c>
      <c r="N1084" s="5">
        <v>192000</v>
      </c>
      <c r="O1084" s="3">
        <v>0</v>
      </c>
      <c r="P1084" s="3">
        <v>0</v>
      </c>
      <c r="Q1084" s="5">
        <v>193000</v>
      </c>
      <c r="R1084" s="3">
        <v>0</v>
      </c>
      <c r="S1084" s="5">
        <v>24500</v>
      </c>
      <c r="T1084" s="3">
        <v>100</v>
      </c>
      <c r="U1084" s="3">
        <v>0</v>
      </c>
      <c r="V1084" s="3">
        <v>0</v>
      </c>
      <c r="W1084" s="3">
        <v>0</v>
      </c>
      <c r="X1084" s="5">
        <v>1000</v>
      </c>
      <c r="Y1084" s="3">
        <v>0</v>
      </c>
      <c r="Z1084" s="5">
        <v>2000</v>
      </c>
      <c r="AA1084" s="5">
        <v>228000</v>
      </c>
      <c r="AB1084" s="6">
        <v>23693610</v>
      </c>
      <c r="AC1084" s="2" t="str">
        <f>VLOOKUP(E1084,'[1]Detailed Transfer Report (12)'!$K:$Y,13,FALSE)</f>
        <v>Muhammad Irfan</v>
      </c>
      <c r="AD1084" s="2" t="str">
        <f>VLOOKUP(E1084,'[1]Detailed Transfer Report (12)'!$K:$Y,14,FALSE)</f>
        <v>Sardar Yasir Ilyas</v>
      </c>
      <c r="AE1084" s="16">
        <f>VLOOKUP(E1084,'[1]Detailed Transfer Report (12)'!$K:$Y,15,FALSE)</f>
        <v>44658</v>
      </c>
    </row>
    <row r="1085" spans="1:31" x14ac:dyDescent="0.25">
      <c r="A1085" s="10">
        <v>617</v>
      </c>
      <c r="B1085" s="4">
        <v>44811</v>
      </c>
      <c r="C1085" s="3" t="s">
        <v>1489</v>
      </c>
      <c r="D1085" s="3" t="s">
        <v>1482</v>
      </c>
      <c r="E1085" s="3">
        <v>3868</v>
      </c>
      <c r="F1085" s="3">
        <v>20987</v>
      </c>
      <c r="G1085" s="3" t="s">
        <v>1179</v>
      </c>
      <c r="H1085" s="3">
        <v>0</v>
      </c>
      <c r="I1085" s="3">
        <v>0</v>
      </c>
      <c r="J1085" s="5">
        <v>210400</v>
      </c>
      <c r="K1085" s="3">
        <v>0</v>
      </c>
      <c r="L1085" s="3">
        <v>0</v>
      </c>
      <c r="M1085" s="3">
        <v>0</v>
      </c>
      <c r="N1085" s="5">
        <v>105200</v>
      </c>
      <c r="O1085" s="3">
        <v>0</v>
      </c>
      <c r="P1085" s="3">
        <v>0</v>
      </c>
      <c r="Q1085" s="5">
        <v>211400</v>
      </c>
      <c r="R1085" s="5">
        <v>420800</v>
      </c>
      <c r="S1085" s="3">
        <v>0</v>
      </c>
      <c r="T1085" s="5">
        <v>1000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5">
        <v>2000</v>
      </c>
      <c r="AA1085" s="5">
        <v>157800</v>
      </c>
      <c r="AB1085" s="6">
        <v>24802210</v>
      </c>
      <c r="AC1085" s="2" t="str">
        <f>VLOOKUP(E1085,'[1]Detailed Transfer Report (12)'!$K:$Y,13,FALSE)</f>
        <v>Khasif Javed</v>
      </c>
      <c r="AD1085" s="2" t="str">
        <f>VLOOKUP(E1085,'[1]Detailed Transfer Report (12)'!$K:$Y,14,FALSE)</f>
        <v>Sardar Yasir Ilyas</v>
      </c>
      <c r="AE1085" s="16">
        <f>VLOOKUP(E1085,'[1]Detailed Transfer Report (12)'!$K:$Y,15,FALSE)</f>
        <v>44811</v>
      </c>
    </row>
    <row r="1086" spans="1:31" x14ac:dyDescent="0.25">
      <c r="A1086" s="3">
        <v>618</v>
      </c>
      <c r="B1086" s="4">
        <v>44623</v>
      </c>
      <c r="C1086" s="3" t="s">
        <v>588</v>
      </c>
      <c r="D1086" s="3" t="s">
        <v>1490</v>
      </c>
      <c r="E1086" s="3">
        <v>5188</v>
      </c>
      <c r="F1086" s="3">
        <v>5579</v>
      </c>
      <c r="G1086" s="3" t="s">
        <v>756</v>
      </c>
      <c r="H1086" s="3">
        <v>0</v>
      </c>
      <c r="I1086" s="3">
        <v>0</v>
      </c>
      <c r="J1086" s="5">
        <v>18000</v>
      </c>
      <c r="K1086" s="3">
        <v>0</v>
      </c>
      <c r="L1086" s="3">
        <v>0</v>
      </c>
      <c r="M1086" s="3">
        <v>0</v>
      </c>
      <c r="N1086" s="5">
        <v>18000</v>
      </c>
      <c r="O1086" s="3">
        <v>0</v>
      </c>
      <c r="P1086" s="3">
        <v>0</v>
      </c>
      <c r="Q1086" s="5">
        <v>55000</v>
      </c>
      <c r="R1086" s="3">
        <v>0</v>
      </c>
      <c r="S1086" s="3">
        <v>0</v>
      </c>
      <c r="T1086" s="3">
        <v>100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5">
        <v>2000</v>
      </c>
      <c r="AA1086" s="5">
        <v>16000</v>
      </c>
      <c r="AB1086" s="6">
        <v>109100</v>
      </c>
      <c r="AC1086" s="2" t="str">
        <f>VLOOKUP(E1086,'[1]Detailed Transfer Report (12)'!$K:$Y,13,FALSE)</f>
        <v>Saajid Mehmood</v>
      </c>
      <c r="AD1086" s="2" t="str">
        <f>VLOOKUP(E1086,'[1]Detailed Transfer Report (12)'!$K:$Y,14,FALSE)</f>
        <v>Sardar Yasir Ilyas</v>
      </c>
      <c r="AE1086" s="16">
        <f>VLOOKUP(E1086,'[1]Detailed Transfer Report (12)'!$K:$Y,15,FALSE)</f>
        <v>44614</v>
      </c>
    </row>
    <row r="1087" spans="1:31" x14ac:dyDescent="0.25">
      <c r="A1087" s="3">
        <v>619</v>
      </c>
      <c r="B1087" s="4">
        <v>44701</v>
      </c>
      <c r="C1087" s="3" t="s">
        <v>1491</v>
      </c>
      <c r="D1087" s="3" t="s">
        <v>1475</v>
      </c>
      <c r="E1087" s="3">
        <v>593</v>
      </c>
      <c r="F1087" s="3">
        <v>10322</v>
      </c>
      <c r="G1087" s="3" t="s">
        <v>41</v>
      </c>
      <c r="H1087" s="3">
        <v>0</v>
      </c>
      <c r="I1087" s="3">
        <v>0</v>
      </c>
      <c r="J1087" s="5">
        <v>112500</v>
      </c>
      <c r="K1087" s="3">
        <v>0</v>
      </c>
      <c r="L1087" s="3">
        <v>0</v>
      </c>
      <c r="M1087" s="3">
        <v>0</v>
      </c>
      <c r="N1087" s="5">
        <v>112500</v>
      </c>
      <c r="O1087" s="3">
        <v>0</v>
      </c>
      <c r="P1087" s="3">
        <v>0</v>
      </c>
      <c r="Q1087" s="5">
        <v>113500</v>
      </c>
      <c r="R1087" s="5">
        <v>225000</v>
      </c>
      <c r="S1087" s="3">
        <v>0</v>
      </c>
      <c r="T1087" s="3">
        <v>100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5">
        <v>2000</v>
      </c>
      <c r="AA1087" s="5">
        <v>112500</v>
      </c>
      <c r="AB1087" s="6">
        <v>678100</v>
      </c>
      <c r="AC1087" s="2" t="str">
        <f>VLOOKUP(E1087,'[1]Detailed Transfer Report (12)'!$K:$Y,13,FALSE)</f>
        <v>Iftikhar Ahmed</v>
      </c>
      <c r="AD1087" s="2" t="str">
        <f>VLOOKUP(E1087,'[1]Detailed Transfer Report (12)'!$K:$Y,14,FALSE)</f>
        <v>Sardar Yasir Ilyas</v>
      </c>
      <c r="AE1087" s="16">
        <f>VLOOKUP(E1087,'[1]Detailed Transfer Report (12)'!$K:$Y,15,FALSE)</f>
        <v>44713</v>
      </c>
    </row>
    <row r="1088" spans="1:31" x14ac:dyDescent="0.25">
      <c r="A1088" s="7">
        <v>620</v>
      </c>
      <c r="B1088" s="4">
        <v>44627</v>
      </c>
      <c r="C1088" s="3" t="s">
        <v>1492</v>
      </c>
      <c r="D1088" s="3" t="s">
        <v>1493</v>
      </c>
      <c r="E1088" s="3">
        <v>595</v>
      </c>
      <c r="F1088" s="3">
        <v>18226</v>
      </c>
      <c r="G1088" s="3" t="s">
        <v>41</v>
      </c>
      <c r="H1088" s="3">
        <v>0</v>
      </c>
      <c r="I1088" s="3">
        <v>0</v>
      </c>
      <c r="J1088" s="5">
        <v>200000</v>
      </c>
      <c r="K1088" s="3">
        <v>0</v>
      </c>
      <c r="L1088" s="3">
        <v>0</v>
      </c>
      <c r="M1088" s="3">
        <v>0</v>
      </c>
      <c r="N1088" s="5">
        <v>100000</v>
      </c>
      <c r="O1088" s="3">
        <v>0</v>
      </c>
      <c r="P1088" s="3">
        <v>0</v>
      </c>
      <c r="Q1088" s="5">
        <v>201000</v>
      </c>
      <c r="R1088" s="5">
        <v>400000</v>
      </c>
      <c r="S1088" s="3">
        <v>0</v>
      </c>
      <c r="T1088" s="3">
        <v>100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5">
        <v>2000</v>
      </c>
      <c r="AA1088" s="5">
        <v>150000</v>
      </c>
      <c r="AB1088" s="6">
        <v>1053100</v>
      </c>
      <c r="AC1088" s="2" t="str">
        <f>VLOOKUP(E1088,'[1]Detailed Transfer Report (12)'!$K:$Y,13,FALSE)</f>
        <v>Nisar Hussain</v>
      </c>
      <c r="AD1088" s="2" t="str">
        <f>VLOOKUP(E1088,'[1]Detailed Transfer Report (12)'!$K:$Y,14,FALSE)</f>
        <v>Sardar Yasir Ilyas</v>
      </c>
      <c r="AE1088" s="16">
        <f>VLOOKUP(E1088,'[1]Detailed Transfer Report (12)'!$K:$Y,15,FALSE)</f>
        <v>44776</v>
      </c>
    </row>
    <row r="1089" spans="1:31" x14ac:dyDescent="0.25">
      <c r="A1089" s="10">
        <v>620</v>
      </c>
      <c r="B1089" s="4">
        <v>44627</v>
      </c>
      <c r="C1089" s="3" t="s">
        <v>1494</v>
      </c>
      <c r="D1089" s="3" t="s">
        <v>1495</v>
      </c>
      <c r="E1089" s="3">
        <v>607</v>
      </c>
      <c r="F1089" s="3">
        <v>19327</v>
      </c>
      <c r="G1089" s="3" t="s">
        <v>41</v>
      </c>
      <c r="H1089" s="3">
        <v>0</v>
      </c>
      <c r="I1089" s="3">
        <v>0</v>
      </c>
      <c r="J1089" s="5">
        <v>5500</v>
      </c>
      <c r="K1089" s="3">
        <v>0</v>
      </c>
      <c r="L1089" s="3">
        <v>0</v>
      </c>
      <c r="M1089" s="3">
        <v>0</v>
      </c>
      <c r="N1089" s="5">
        <v>5500</v>
      </c>
      <c r="O1089" s="3">
        <v>0</v>
      </c>
      <c r="P1089" s="3">
        <v>0</v>
      </c>
      <c r="Q1089" s="5">
        <v>17500</v>
      </c>
      <c r="R1089" s="3">
        <v>0</v>
      </c>
      <c r="S1089" s="5">
        <v>2500</v>
      </c>
      <c r="T1089" s="3">
        <v>100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5">
        <v>2000</v>
      </c>
      <c r="AA1089" s="5">
        <v>29250</v>
      </c>
      <c r="AB1089" s="6">
        <v>1115450</v>
      </c>
      <c r="AC1089" s="2" t="str">
        <f>VLOOKUP(E1089,'[1]Detailed Transfer Report (12)'!$K:$Y,13,FALSE)</f>
        <v>Samina Bibi</v>
      </c>
      <c r="AD1089" s="2" t="str">
        <f>VLOOKUP(E1089,'[1]Detailed Transfer Report (12)'!$K:$Y,14,FALSE)</f>
        <v>Sardar Yasir Ilyas</v>
      </c>
      <c r="AE1089" s="16">
        <f>VLOOKUP(E1089,'[1]Detailed Transfer Report (12)'!$K:$Y,15,FALSE)</f>
        <v>44791</v>
      </c>
    </row>
    <row r="1090" spans="1:31" x14ac:dyDescent="0.25">
      <c r="A1090" s="3">
        <v>621</v>
      </c>
      <c r="B1090" s="4">
        <v>44628</v>
      </c>
      <c r="C1090" s="3" t="s">
        <v>153</v>
      </c>
      <c r="D1090" s="3" t="s">
        <v>1479</v>
      </c>
      <c r="E1090" s="3">
        <v>4597</v>
      </c>
      <c r="F1090" s="3">
        <v>8171</v>
      </c>
      <c r="G1090" s="3" t="s">
        <v>30</v>
      </c>
      <c r="H1090" s="5">
        <v>7000</v>
      </c>
      <c r="I1090" s="3">
        <v>0</v>
      </c>
      <c r="J1090" s="5">
        <v>3500</v>
      </c>
      <c r="K1090" s="3">
        <v>0</v>
      </c>
      <c r="L1090" s="3">
        <v>0</v>
      </c>
      <c r="M1090" s="3">
        <v>0</v>
      </c>
      <c r="N1090" s="5">
        <v>3500</v>
      </c>
      <c r="O1090" s="3">
        <v>0</v>
      </c>
      <c r="P1090" s="3">
        <v>0</v>
      </c>
      <c r="Q1090" s="5">
        <v>4000</v>
      </c>
      <c r="R1090" s="3">
        <v>0</v>
      </c>
      <c r="S1090" s="3">
        <v>0</v>
      </c>
      <c r="T1090" s="3">
        <v>100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5">
        <v>2000</v>
      </c>
      <c r="AA1090" s="5">
        <v>16000</v>
      </c>
      <c r="AB1090" s="6">
        <v>36100</v>
      </c>
      <c r="AC1090" s="2" t="str">
        <f>VLOOKUP(E1090,'[1]Detailed Transfer Report (12)'!$K:$Y,13,FALSE)</f>
        <v>Bibi Saima</v>
      </c>
      <c r="AD1090" s="2" t="str">
        <f>VLOOKUP(E1090,'[1]Detailed Transfer Report (12)'!$K:$Y,14,FALSE)</f>
        <v>Sardar Yasir Ilyas</v>
      </c>
      <c r="AE1090" s="16">
        <f>VLOOKUP(E1090,'[1]Detailed Transfer Report (12)'!$K:$Y,15,FALSE)</f>
        <v>44693</v>
      </c>
    </row>
    <row r="1091" spans="1:31" x14ac:dyDescent="0.25">
      <c r="A1091" s="7">
        <v>622</v>
      </c>
      <c r="B1091" s="4">
        <v>44859</v>
      </c>
      <c r="C1091" s="3" t="s">
        <v>581</v>
      </c>
      <c r="D1091" s="3" t="s">
        <v>1496</v>
      </c>
      <c r="E1091" s="3">
        <v>5356</v>
      </c>
      <c r="F1091" s="3">
        <v>22761</v>
      </c>
      <c r="G1091" s="3" t="s">
        <v>756</v>
      </c>
      <c r="H1091" s="3">
        <v>0</v>
      </c>
      <c r="I1091" s="3">
        <v>0</v>
      </c>
      <c r="J1091" s="5">
        <v>20000</v>
      </c>
      <c r="K1091" s="3">
        <v>0</v>
      </c>
      <c r="L1091" s="3">
        <v>0</v>
      </c>
      <c r="M1091" s="3">
        <v>0</v>
      </c>
      <c r="N1091" s="5">
        <v>10000</v>
      </c>
      <c r="O1091" s="3">
        <v>0</v>
      </c>
      <c r="P1091" s="5">
        <v>21000</v>
      </c>
      <c r="Q1091" s="3">
        <v>0</v>
      </c>
      <c r="R1091" s="5">
        <v>40000</v>
      </c>
      <c r="S1091" s="3">
        <v>0</v>
      </c>
      <c r="T1091" s="3">
        <v>100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5">
        <v>2000</v>
      </c>
      <c r="AA1091" s="5">
        <v>16000</v>
      </c>
      <c r="AB1091" s="6">
        <v>109100</v>
      </c>
      <c r="AC1091" s="2" t="str">
        <f>VLOOKUP(E1091,'[1]Detailed Transfer Report (12)'!$K:$Y,13,FALSE)</f>
        <v>Waseem abbas</v>
      </c>
      <c r="AD1091" s="2" t="str">
        <f>VLOOKUP(E1091,'[1]Detailed Transfer Report (12)'!$K:$Y,14,FALSE)</f>
        <v>Sardar Yasir Ilyas</v>
      </c>
      <c r="AE1091" s="16">
        <f>VLOOKUP(E1091,'[1]Detailed Transfer Report (12)'!$K:$Y,15,FALSE)</f>
        <v>44831</v>
      </c>
    </row>
    <row r="1092" spans="1:31" x14ac:dyDescent="0.25">
      <c r="A1092" s="9">
        <v>622</v>
      </c>
      <c r="B1092" s="4">
        <v>44859</v>
      </c>
      <c r="C1092" s="3" t="s">
        <v>114</v>
      </c>
      <c r="D1092" s="3" t="s">
        <v>1496</v>
      </c>
      <c r="E1092" s="3">
        <v>5357</v>
      </c>
      <c r="F1092" s="3">
        <v>22648</v>
      </c>
      <c r="G1092" s="3" t="s">
        <v>756</v>
      </c>
      <c r="H1092" s="3">
        <v>0</v>
      </c>
      <c r="I1092" s="3">
        <v>0</v>
      </c>
      <c r="J1092" s="5">
        <v>8000</v>
      </c>
      <c r="K1092" s="3">
        <v>0</v>
      </c>
      <c r="L1092" s="3">
        <v>0</v>
      </c>
      <c r="M1092" s="3">
        <v>0</v>
      </c>
      <c r="N1092" s="5">
        <v>4000</v>
      </c>
      <c r="O1092" s="3">
        <v>0</v>
      </c>
      <c r="P1092" s="5">
        <v>8500</v>
      </c>
      <c r="Q1092" s="3">
        <v>0</v>
      </c>
      <c r="R1092" s="5">
        <v>16000</v>
      </c>
      <c r="S1092" s="3">
        <v>0</v>
      </c>
      <c r="T1092" s="3">
        <v>100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5">
        <v>2000</v>
      </c>
      <c r="AA1092" s="5">
        <v>16000</v>
      </c>
      <c r="AB1092" s="6">
        <v>163700</v>
      </c>
      <c r="AC1092" s="2" t="str">
        <f>VLOOKUP(E1092,'[1]Detailed Transfer Report (12)'!$K:$Y,13,FALSE)</f>
        <v>Amaan ullah</v>
      </c>
      <c r="AD1092" s="2" t="str">
        <f>VLOOKUP(E1092,'[1]Detailed Transfer Report (12)'!$K:$Y,14,FALSE)</f>
        <v>Sardar Yasir Ilyas</v>
      </c>
      <c r="AE1092" s="16">
        <f>VLOOKUP(E1092,'[1]Detailed Transfer Report (12)'!$K:$Y,15,FALSE)</f>
        <v>44830</v>
      </c>
    </row>
    <row r="1093" spans="1:31" x14ac:dyDescent="0.25">
      <c r="A1093" s="10">
        <v>622</v>
      </c>
      <c r="B1093" s="4">
        <v>44820</v>
      </c>
      <c r="C1093" s="3" t="s">
        <v>153</v>
      </c>
      <c r="D1093" s="3" t="s">
        <v>1496</v>
      </c>
      <c r="E1093" s="3">
        <v>5358</v>
      </c>
      <c r="F1093" s="3">
        <v>22913</v>
      </c>
      <c r="G1093" s="3" t="s">
        <v>756</v>
      </c>
      <c r="H1093" s="3">
        <v>0</v>
      </c>
      <c r="I1093" s="3">
        <v>0</v>
      </c>
      <c r="J1093" s="5">
        <v>10000</v>
      </c>
      <c r="K1093" s="3">
        <v>0</v>
      </c>
      <c r="L1093" s="3">
        <v>0</v>
      </c>
      <c r="M1093" s="3">
        <v>0</v>
      </c>
      <c r="N1093" s="5">
        <v>5000</v>
      </c>
      <c r="O1093" s="3">
        <v>0</v>
      </c>
      <c r="P1093" s="5">
        <v>10500</v>
      </c>
      <c r="Q1093" s="3">
        <v>0</v>
      </c>
      <c r="R1093" s="5">
        <v>20000</v>
      </c>
      <c r="S1093" s="3">
        <v>0</v>
      </c>
      <c r="T1093" s="3">
        <v>100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5">
        <v>2000</v>
      </c>
      <c r="AA1093" s="5">
        <v>16000</v>
      </c>
      <c r="AB1093" s="6">
        <v>227300</v>
      </c>
      <c r="AC1093" s="2" t="str">
        <f>VLOOKUP(E1093,'[1]Detailed Transfer Report (12)'!$K:$Y,13,FALSE)</f>
        <v>Nisar Ahmed</v>
      </c>
      <c r="AD1093" s="2" t="str">
        <f>VLOOKUP(E1093,'[1]Detailed Transfer Report (12)'!$K:$Y,14,FALSE)</f>
        <v>Sardar Yasir Ilyas</v>
      </c>
      <c r="AE1093" s="16">
        <f>VLOOKUP(E1093,'[1]Detailed Transfer Report (12)'!$K:$Y,15,FALSE)</f>
        <v>44832</v>
      </c>
    </row>
    <row r="1094" spans="1:31" x14ac:dyDescent="0.25">
      <c r="A1094" s="3">
        <v>623</v>
      </c>
      <c r="B1094" s="4">
        <v>44677</v>
      </c>
      <c r="C1094" s="3" t="s">
        <v>205</v>
      </c>
      <c r="D1094" s="3" t="s">
        <v>1497</v>
      </c>
      <c r="E1094" s="3">
        <v>5158</v>
      </c>
      <c r="F1094" s="3">
        <v>3385</v>
      </c>
      <c r="G1094" s="3" t="s">
        <v>756</v>
      </c>
      <c r="H1094" s="3">
        <v>0</v>
      </c>
      <c r="I1094" s="3">
        <v>0</v>
      </c>
      <c r="J1094" s="5">
        <v>9000</v>
      </c>
      <c r="K1094" s="3">
        <v>0</v>
      </c>
      <c r="L1094" s="3">
        <v>0</v>
      </c>
      <c r="M1094" s="3">
        <v>0</v>
      </c>
      <c r="N1094" s="5">
        <v>4500</v>
      </c>
      <c r="O1094" s="3">
        <v>0</v>
      </c>
      <c r="P1094" s="3">
        <v>0</v>
      </c>
      <c r="Q1094" s="5">
        <v>5000</v>
      </c>
      <c r="R1094" s="3">
        <v>0</v>
      </c>
      <c r="S1094" s="3">
        <v>0</v>
      </c>
      <c r="T1094" s="3">
        <v>100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5">
        <v>2000</v>
      </c>
      <c r="AA1094" s="5">
        <v>16000</v>
      </c>
      <c r="AB1094" s="6">
        <v>36600</v>
      </c>
      <c r="AC1094" s="2" t="str">
        <f>VLOOKUP(E1094,'[1]Detailed Transfer Report (12)'!$K:$Y,13,FALSE)</f>
        <v>Falak Shabbir</v>
      </c>
      <c r="AD1094" s="2" t="str">
        <f>VLOOKUP(E1094,'[1]Detailed Transfer Report (12)'!$K:$Y,14,FALSE)</f>
        <v>Sardar Yasir Ilyas</v>
      </c>
      <c r="AE1094" s="16">
        <f>VLOOKUP(E1094,'[1]Detailed Transfer Report (12)'!$K:$Y,15,FALSE)</f>
        <v>44639</v>
      </c>
    </row>
    <row r="1095" spans="1:31" x14ac:dyDescent="0.25">
      <c r="A1095" s="3">
        <v>624</v>
      </c>
      <c r="B1095" s="4">
        <v>44678</v>
      </c>
      <c r="C1095" s="3" t="s">
        <v>114</v>
      </c>
      <c r="D1095" s="3" t="s">
        <v>1497</v>
      </c>
      <c r="E1095" s="3">
        <v>4595</v>
      </c>
      <c r="F1095" s="3">
        <v>7886</v>
      </c>
      <c r="G1095" s="3" t="s">
        <v>30</v>
      </c>
      <c r="H1095" s="3">
        <v>0</v>
      </c>
      <c r="I1095" s="3">
        <v>0</v>
      </c>
      <c r="J1095" s="5">
        <v>5000</v>
      </c>
      <c r="K1095" s="3">
        <v>0</v>
      </c>
      <c r="L1095" s="3">
        <v>0</v>
      </c>
      <c r="M1095" s="3">
        <v>0</v>
      </c>
      <c r="N1095" s="5">
        <v>2500</v>
      </c>
      <c r="O1095" s="3">
        <v>0</v>
      </c>
      <c r="P1095" s="3">
        <v>0</v>
      </c>
      <c r="Q1095" s="5">
        <v>3000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5">
        <v>2000</v>
      </c>
      <c r="AA1095" s="5">
        <v>14000</v>
      </c>
      <c r="AB1095" s="6">
        <v>26500</v>
      </c>
      <c r="AC1095" s="2" t="str">
        <f>VLOOKUP(E1095,'[1]Detailed Transfer Report (12)'!$K:$Y,13,FALSE)</f>
        <v>Siraj ud din</v>
      </c>
      <c r="AD1095" s="2" t="str">
        <f>VLOOKUP(E1095,'[1]Detailed Transfer Report (12)'!$K:$Y,14,FALSE)</f>
        <v>Sardar Yasir Ilyas</v>
      </c>
      <c r="AE1095" s="16">
        <f>VLOOKUP(E1095,'[1]Detailed Transfer Report (12)'!$K:$Y,15,FALSE)</f>
        <v>44691</v>
      </c>
    </row>
    <row r="1096" spans="1:31" x14ac:dyDescent="0.25">
      <c r="A1096" s="7">
        <v>625</v>
      </c>
      <c r="B1096" s="4">
        <v>44762</v>
      </c>
      <c r="C1096" s="3" t="s">
        <v>427</v>
      </c>
      <c r="D1096" s="3" t="s">
        <v>1498</v>
      </c>
      <c r="E1096" s="3">
        <v>3861</v>
      </c>
      <c r="F1096" s="3">
        <v>18061</v>
      </c>
      <c r="G1096" s="3" t="s">
        <v>1179</v>
      </c>
      <c r="H1096" s="3">
        <v>0</v>
      </c>
      <c r="I1096" s="3">
        <v>0</v>
      </c>
      <c r="J1096" s="5">
        <v>200000</v>
      </c>
      <c r="K1096" s="3">
        <v>0</v>
      </c>
      <c r="L1096" s="3">
        <v>0</v>
      </c>
      <c r="M1096" s="3">
        <v>0</v>
      </c>
      <c r="N1096" s="5">
        <v>100000</v>
      </c>
      <c r="O1096" s="3">
        <v>0</v>
      </c>
      <c r="P1096" s="3">
        <v>0</v>
      </c>
      <c r="Q1096" s="5">
        <v>201000</v>
      </c>
      <c r="R1096" s="5">
        <v>400000</v>
      </c>
      <c r="S1096" s="3">
        <v>0</v>
      </c>
      <c r="T1096" s="5">
        <v>1000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5">
        <v>2000</v>
      </c>
      <c r="AA1096" s="5">
        <v>150000</v>
      </c>
      <c r="AB1096" s="6">
        <v>1054000</v>
      </c>
      <c r="AC1096" s="2" t="str">
        <f>VLOOKUP(E1096,'[1]Detailed Transfer Report (12)'!$K:$Y,13,FALSE)</f>
        <v>Malik Zubair Awan</v>
      </c>
      <c r="AD1096" s="2" t="str">
        <f>VLOOKUP(E1096,'[1]Detailed Transfer Report (12)'!$K:$Y,14,FALSE)</f>
        <v>Sardar Yasir Ilyas</v>
      </c>
      <c r="AE1096" s="16">
        <f>VLOOKUP(E1096,'[1]Detailed Transfer Report (12)'!$K:$Y,15,FALSE)</f>
        <v>44775</v>
      </c>
    </row>
    <row r="1097" spans="1:31" x14ac:dyDescent="0.25">
      <c r="A1097" s="9">
        <v>625</v>
      </c>
      <c r="B1097" s="4">
        <v>44776</v>
      </c>
      <c r="C1097" s="3" t="s">
        <v>1499</v>
      </c>
      <c r="D1097" s="3" t="s">
        <v>1500</v>
      </c>
      <c r="E1097" s="3">
        <v>3867</v>
      </c>
      <c r="F1097" s="3">
        <v>19267</v>
      </c>
      <c r="G1097" s="3" t="s">
        <v>1179</v>
      </c>
      <c r="H1097" s="3">
        <v>0</v>
      </c>
      <c r="I1097" s="3">
        <v>0</v>
      </c>
      <c r="J1097" s="5">
        <v>180000</v>
      </c>
      <c r="K1097" s="3">
        <v>0</v>
      </c>
      <c r="L1097" s="3">
        <v>0</v>
      </c>
      <c r="M1097" s="3">
        <v>0</v>
      </c>
      <c r="N1097" s="5">
        <v>90000</v>
      </c>
      <c r="O1097" s="3">
        <v>0</v>
      </c>
      <c r="P1097" s="3">
        <v>0</v>
      </c>
      <c r="Q1097" s="5">
        <v>181000</v>
      </c>
      <c r="R1097" s="5">
        <v>360000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5">
        <v>1000</v>
      </c>
      <c r="Y1097" s="3">
        <v>0</v>
      </c>
      <c r="Z1097" s="5">
        <v>2000</v>
      </c>
      <c r="AA1097" s="5">
        <v>135000</v>
      </c>
      <c r="AB1097" s="6">
        <v>2003000</v>
      </c>
      <c r="AC1097" s="2" t="str">
        <f>VLOOKUP(E1097,'[1]Detailed Transfer Report (12)'!$K:$Y,13,FALSE)</f>
        <v>Zetoon Bibi</v>
      </c>
      <c r="AD1097" s="2" t="str">
        <f>VLOOKUP(E1097,'[1]Detailed Transfer Report (12)'!$K:$Y,14,FALSE)</f>
        <v>Sardar Yasir Ilyas</v>
      </c>
      <c r="AE1097" s="16">
        <f>VLOOKUP(E1097,'[1]Detailed Transfer Report (12)'!$K:$Y,15,FALSE)</f>
        <v>44791</v>
      </c>
    </row>
    <row r="1098" spans="1:31" x14ac:dyDescent="0.25">
      <c r="A1098" s="9">
        <v>625</v>
      </c>
      <c r="B1098" s="4">
        <v>44762</v>
      </c>
      <c r="C1098" s="3" t="s">
        <v>1501</v>
      </c>
      <c r="D1098" s="3" t="s">
        <v>1498</v>
      </c>
      <c r="E1098" s="3">
        <v>3862</v>
      </c>
      <c r="F1098" s="3">
        <v>19928</v>
      </c>
      <c r="G1098" s="3" t="s">
        <v>1179</v>
      </c>
      <c r="H1098" s="3">
        <v>0</v>
      </c>
      <c r="I1098" s="3">
        <v>0</v>
      </c>
      <c r="J1098" s="5">
        <v>140000</v>
      </c>
      <c r="K1098" s="3">
        <v>0</v>
      </c>
      <c r="L1098" s="3">
        <v>0</v>
      </c>
      <c r="M1098" s="3">
        <v>0</v>
      </c>
      <c r="N1098" s="5">
        <v>70000</v>
      </c>
      <c r="O1098" s="3">
        <v>0</v>
      </c>
      <c r="P1098" s="3">
        <v>0</v>
      </c>
      <c r="Q1098" s="5">
        <v>141000</v>
      </c>
      <c r="R1098" s="5">
        <v>280000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5">
        <v>1000</v>
      </c>
      <c r="Y1098" s="3">
        <v>0</v>
      </c>
      <c r="Z1098" s="5">
        <v>2000</v>
      </c>
      <c r="AA1098" s="5">
        <v>105000</v>
      </c>
      <c r="AB1098" s="6">
        <v>2742000</v>
      </c>
      <c r="AC1098" s="2" t="str">
        <f>VLOOKUP(E1098,'[1]Detailed Transfer Report (12)'!$K:$Y,13,FALSE)</f>
        <v>Abdul Razzaq</v>
      </c>
      <c r="AD1098" s="2" t="str">
        <f>VLOOKUP(E1098,'[1]Detailed Transfer Report (12)'!$K:$Y,14,FALSE)</f>
        <v>Sardar Yasir Ilyas</v>
      </c>
      <c r="AE1098" s="16">
        <f>VLOOKUP(E1098,'[1]Detailed Transfer Report (12)'!$K:$Y,15,FALSE)</f>
        <v>44798</v>
      </c>
    </row>
    <row r="1099" spans="1:31" x14ac:dyDescent="0.25">
      <c r="A1099" s="9">
        <v>625</v>
      </c>
      <c r="B1099" s="4">
        <v>44762</v>
      </c>
      <c r="C1099" s="3" t="s">
        <v>1223</v>
      </c>
      <c r="D1099" s="3" t="s">
        <v>1498</v>
      </c>
      <c r="E1099" s="3">
        <v>3863</v>
      </c>
      <c r="F1099" s="3">
        <v>18060</v>
      </c>
      <c r="G1099" s="3" t="s">
        <v>1179</v>
      </c>
      <c r="H1099" s="3">
        <v>0</v>
      </c>
      <c r="I1099" s="3">
        <v>0</v>
      </c>
      <c r="J1099" s="5">
        <v>910000</v>
      </c>
      <c r="K1099" s="3">
        <v>0</v>
      </c>
      <c r="L1099" s="3">
        <v>0</v>
      </c>
      <c r="M1099" s="3">
        <v>0</v>
      </c>
      <c r="N1099" s="5">
        <v>455000</v>
      </c>
      <c r="O1099" s="3">
        <v>0</v>
      </c>
      <c r="P1099" s="3">
        <v>0</v>
      </c>
      <c r="Q1099" s="5">
        <v>911000</v>
      </c>
      <c r="R1099" s="5">
        <v>910000</v>
      </c>
      <c r="S1099" s="3">
        <v>0</v>
      </c>
      <c r="T1099" s="5">
        <v>1000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5">
        <v>2000</v>
      </c>
      <c r="AA1099" s="5">
        <v>682500</v>
      </c>
      <c r="AB1099" s="6">
        <v>6613500</v>
      </c>
      <c r="AC1099" s="2" t="str">
        <f>VLOOKUP(E1099,'[1]Detailed Transfer Report (12)'!$K:$Y,13,FALSE)</f>
        <v>Ghulam Abbas</v>
      </c>
      <c r="AD1099" s="2" t="str">
        <f>VLOOKUP(E1099,'[1]Detailed Transfer Report (12)'!$K:$Y,14,FALSE)</f>
        <v>Sardar Yasir Ilyas</v>
      </c>
      <c r="AE1099" s="16">
        <f>VLOOKUP(E1099,'[1]Detailed Transfer Report (12)'!$K:$Y,15,FALSE)</f>
        <v>44775</v>
      </c>
    </row>
    <row r="1100" spans="1:31" x14ac:dyDescent="0.25">
      <c r="A1100" s="9">
        <v>625</v>
      </c>
      <c r="B1100" s="4">
        <v>44762</v>
      </c>
      <c r="C1100" s="3" t="s">
        <v>1502</v>
      </c>
      <c r="D1100" s="3" t="s">
        <v>1498</v>
      </c>
      <c r="E1100" s="3">
        <v>3890</v>
      </c>
      <c r="F1100" s="3">
        <v>20985</v>
      </c>
      <c r="G1100" s="3" t="s">
        <v>1179</v>
      </c>
      <c r="H1100" s="3">
        <v>0</v>
      </c>
      <c r="I1100" s="3">
        <v>0</v>
      </c>
      <c r="J1100" s="5">
        <v>460000</v>
      </c>
      <c r="K1100" s="3">
        <v>0</v>
      </c>
      <c r="L1100" s="3">
        <v>0</v>
      </c>
      <c r="M1100" s="3">
        <v>0</v>
      </c>
      <c r="N1100" s="5">
        <v>230000</v>
      </c>
      <c r="O1100" s="3">
        <v>0</v>
      </c>
      <c r="P1100" s="3">
        <v>0</v>
      </c>
      <c r="Q1100" s="5">
        <v>461000</v>
      </c>
      <c r="R1100" s="5">
        <v>920000</v>
      </c>
      <c r="S1100" s="5">
        <v>31500</v>
      </c>
      <c r="T1100" s="5">
        <v>1000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5">
        <v>2000</v>
      </c>
      <c r="AA1100" s="5">
        <v>345000</v>
      </c>
      <c r="AB1100" s="6">
        <v>9064000</v>
      </c>
      <c r="AC1100" s="2" t="str">
        <f>VLOOKUP(E1100,'[1]Detailed Transfer Report (12)'!$K:$Y,13,FALSE)</f>
        <v>Choudhary Majid Ahmed</v>
      </c>
      <c r="AD1100" s="2" t="str">
        <f>VLOOKUP(E1100,'[1]Detailed Transfer Report (12)'!$K:$Y,14,FALSE)</f>
        <v>Sardar Yasir Ilyas</v>
      </c>
      <c r="AE1100" s="16">
        <f>VLOOKUP(E1100,'[1]Detailed Transfer Report (12)'!$K:$Y,15,FALSE)</f>
        <v>44811</v>
      </c>
    </row>
    <row r="1101" spans="1:31" x14ac:dyDescent="0.25">
      <c r="A1101" s="9">
        <v>625</v>
      </c>
      <c r="B1101" s="4">
        <v>44678</v>
      </c>
      <c r="C1101" s="3" t="s">
        <v>188</v>
      </c>
      <c r="D1101" s="3" t="s">
        <v>1503</v>
      </c>
      <c r="E1101" s="3">
        <v>3810</v>
      </c>
      <c r="F1101" s="3">
        <v>7429</v>
      </c>
      <c r="G1101" s="3" t="s">
        <v>1179</v>
      </c>
      <c r="H1101" s="3">
        <v>0</v>
      </c>
      <c r="I1101" s="3">
        <v>0</v>
      </c>
      <c r="J1101" s="5">
        <v>280000</v>
      </c>
      <c r="K1101" s="3">
        <v>0</v>
      </c>
      <c r="L1101" s="3">
        <v>0</v>
      </c>
      <c r="M1101" s="3">
        <v>0</v>
      </c>
      <c r="N1101" s="5">
        <v>280000</v>
      </c>
      <c r="O1101" s="3">
        <v>0</v>
      </c>
      <c r="P1101" s="3">
        <v>0</v>
      </c>
      <c r="Q1101" s="5">
        <v>281000</v>
      </c>
      <c r="R1101" s="5">
        <v>560000</v>
      </c>
      <c r="S1101" s="5">
        <v>56000</v>
      </c>
      <c r="T1101" s="3">
        <v>100</v>
      </c>
      <c r="U1101" s="3">
        <v>0</v>
      </c>
      <c r="V1101" s="3">
        <v>0</v>
      </c>
      <c r="W1101" s="3">
        <v>0</v>
      </c>
      <c r="X1101" s="5">
        <v>1000</v>
      </c>
      <c r="Y1101" s="3">
        <v>0</v>
      </c>
      <c r="Z1101" s="5">
        <v>2000</v>
      </c>
      <c r="AA1101" s="5">
        <v>316000</v>
      </c>
      <c r="AB1101" s="6">
        <v>10840100</v>
      </c>
      <c r="AC1101" s="2" t="str">
        <f>VLOOKUP(E1101,'[1]Detailed Transfer Report (12)'!$K:$Y,13,FALSE)</f>
        <v>Ghulam Abbas</v>
      </c>
      <c r="AD1101" s="2" t="str">
        <f>VLOOKUP(E1101,'[1]Detailed Transfer Report (12)'!$K:$Y,14,FALSE)</f>
        <v>Sardar Yasir Ilyas</v>
      </c>
      <c r="AE1101" s="16">
        <f>VLOOKUP(E1101,'[1]Detailed Transfer Report (12)'!$K:$Y,15,FALSE)</f>
        <v>44678</v>
      </c>
    </row>
    <row r="1102" spans="1:31" x14ac:dyDescent="0.25">
      <c r="A1102" s="10">
        <v>625</v>
      </c>
      <c r="B1102" s="4">
        <v>44701</v>
      </c>
      <c r="C1102" s="3" t="s">
        <v>754</v>
      </c>
      <c r="D1102" s="3" t="s">
        <v>1466</v>
      </c>
      <c r="E1102" s="3">
        <v>3981</v>
      </c>
      <c r="F1102" s="3">
        <v>12569</v>
      </c>
      <c r="G1102" s="3" t="s">
        <v>1179</v>
      </c>
      <c r="H1102" s="3">
        <v>0</v>
      </c>
      <c r="I1102" s="3">
        <v>0</v>
      </c>
      <c r="J1102" s="5">
        <v>350000</v>
      </c>
      <c r="K1102" s="3">
        <v>0</v>
      </c>
      <c r="L1102" s="3">
        <v>0</v>
      </c>
      <c r="M1102" s="3">
        <v>0</v>
      </c>
      <c r="N1102" s="5">
        <v>350000</v>
      </c>
      <c r="O1102" s="3">
        <v>0</v>
      </c>
      <c r="P1102" s="3">
        <v>0</v>
      </c>
      <c r="Q1102" s="5">
        <v>351000</v>
      </c>
      <c r="R1102" s="3">
        <v>0</v>
      </c>
      <c r="S1102" s="3">
        <v>0</v>
      </c>
      <c r="T1102" s="3">
        <v>100</v>
      </c>
      <c r="U1102" s="3">
        <v>0</v>
      </c>
      <c r="V1102" s="3">
        <v>0</v>
      </c>
      <c r="W1102" s="3">
        <v>0</v>
      </c>
      <c r="X1102" s="5">
        <v>1000</v>
      </c>
      <c r="Y1102" s="3">
        <v>0</v>
      </c>
      <c r="Z1102" s="5">
        <v>2000</v>
      </c>
      <c r="AA1102" s="5">
        <v>386000</v>
      </c>
      <c r="AB1102" s="6">
        <v>12280200</v>
      </c>
      <c r="AC1102" s="2" t="str">
        <f>VLOOKUP(E1102,'[1]Detailed Transfer Report (12)'!$K:$Y,13,FALSE)</f>
        <v>Ghulam Abbas</v>
      </c>
      <c r="AD1102" s="2" t="str">
        <f>VLOOKUP(E1102,'[1]Detailed Transfer Report (12)'!$K:$Y,14,FALSE)</f>
        <v>Sardar Yasir Ilyas</v>
      </c>
      <c r="AE1102" s="16">
        <f>VLOOKUP(E1102,'[1]Detailed Transfer Report (12)'!$K:$Y,15,FALSE)</f>
        <v>44728</v>
      </c>
    </row>
    <row r="1103" spans="1:31" x14ac:dyDescent="0.25">
      <c r="A1103" s="3">
        <v>626</v>
      </c>
      <c r="B1103" s="4">
        <v>44573</v>
      </c>
      <c r="C1103" s="3" t="s">
        <v>1504</v>
      </c>
      <c r="D1103" s="3" t="s">
        <v>1365</v>
      </c>
      <c r="E1103" s="3" t="s">
        <v>1505</v>
      </c>
      <c r="F1103" s="3">
        <v>9994</v>
      </c>
      <c r="G1103" s="3" t="s">
        <v>30</v>
      </c>
      <c r="H1103" s="3">
        <v>0</v>
      </c>
      <c r="I1103" s="3">
        <v>0</v>
      </c>
      <c r="J1103" s="5">
        <v>5100</v>
      </c>
      <c r="K1103" s="3">
        <v>0</v>
      </c>
      <c r="L1103" s="3">
        <v>0</v>
      </c>
      <c r="M1103" s="3">
        <v>0</v>
      </c>
      <c r="N1103" s="5">
        <v>5100</v>
      </c>
      <c r="O1103" s="3">
        <v>0</v>
      </c>
      <c r="P1103" s="5">
        <v>6100</v>
      </c>
      <c r="Q1103" s="3">
        <v>0</v>
      </c>
      <c r="R1103" s="3">
        <v>0</v>
      </c>
      <c r="S1103" s="3">
        <v>0</v>
      </c>
      <c r="T1103" s="3">
        <v>100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5">
        <v>2000</v>
      </c>
      <c r="AA1103" s="5">
        <v>16000</v>
      </c>
      <c r="AB1103" s="6">
        <v>34400</v>
      </c>
      <c r="AC1103" s="2" t="str">
        <f>VLOOKUP(E1103,'[1]Detailed Transfer Report (12)'!$K:$Y,13,FALSE)</f>
        <v>Kamran Haliq</v>
      </c>
      <c r="AD1103" s="2" t="str">
        <f>VLOOKUP(E1103,'[1]Detailed Transfer Report (12)'!$K:$Y,14,FALSE)</f>
        <v>Sardar Yasir Ilyas</v>
      </c>
      <c r="AE1103" s="16">
        <f>VLOOKUP(E1103,'[1]Detailed Transfer Report (12)'!$K:$Y,15,FALSE)</f>
        <v>44711</v>
      </c>
    </row>
    <row r="1104" spans="1:31" x14ac:dyDescent="0.25">
      <c r="A1104" s="3">
        <v>627</v>
      </c>
      <c r="B1104" s="4">
        <v>44739</v>
      </c>
      <c r="C1104" s="3" t="s">
        <v>153</v>
      </c>
      <c r="D1104" s="3" t="s">
        <v>1506</v>
      </c>
      <c r="E1104" s="3">
        <v>5263</v>
      </c>
      <c r="F1104" s="3">
        <v>10770</v>
      </c>
      <c r="G1104" s="3" t="s">
        <v>756</v>
      </c>
      <c r="H1104" s="3">
        <v>0</v>
      </c>
      <c r="I1104" s="3">
        <v>0</v>
      </c>
      <c r="J1104" s="5">
        <v>4000</v>
      </c>
      <c r="K1104" s="3">
        <v>0</v>
      </c>
      <c r="L1104" s="3">
        <v>0</v>
      </c>
      <c r="M1104" s="3">
        <v>0</v>
      </c>
      <c r="N1104" s="5">
        <v>4000</v>
      </c>
      <c r="O1104" s="3">
        <v>0</v>
      </c>
      <c r="P1104" s="3">
        <v>0</v>
      </c>
      <c r="Q1104" s="5">
        <v>4500</v>
      </c>
      <c r="R1104" s="3">
        <v>0</v>
      </c>
      <c r="S1104" s="3">
        <v>0</v>
      </c>
      <c r="T1104" s="3">
        <v>100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5">
        <v>2000</v>
      </c>
      <c r="AA1104" s="5">
        <v>16000</v>
      </c>
      <c r="AB1104" s="6">
        <v>30600</v>
      </c>
      <c r="AC1104" s="2" t="str">
        <f>VLOOKUP(E1104,'[1]Detailed Transfer Report (12)'!$K:$Y,13,FALSE)</f>
        <v>Muham Baz</v>
      </c>
      <c r="AD1104" s="2" t="str">
        <f>VLOOKUP(E1104,'[1]Detailed Transfer Report (12)'!$K:$Y,14,FALSE)</f>
        <v>Sardar Yasir Ilyas</v>
      </c>
      <c r="AE1104" s="16">
        <f>VLOOKUP(E1104,'[1]Detailed Transfer Report (12)'!$K:$Y,15,FALSE)</f>
        <v>44716</v>
      </c>
    </row>
    <row r="1105" spans="1:31" x14ac:dyDescent="0.25">
      <c r="A1105" s="3">
        <v>628</v>
      </c>
      <c r="B1105" s="4">
        <v>44776</v>
      </c>
      <c r="C1105" s="3" t="s">
        <v>1507</v>
      </c>
      <c r="D1105" s="3" t="s">
        <v>1508</v>
      </c>
      <c r="E1105" s="3">
        <v>5491</v>
      </c>
      <c r="F1105" s="3">
        <v>11586</v>
      </c>
      <c r="G1105" s="3" t="s">
        <v>756</v>
      </c>
      <c r="H1105" s="3">
        <v>0</v>
      </c>
      <c r="I1105" s="3">
        <v>0</v>
      </c>
      <c r="J1105" s="5">
        <v>510000</v>
      </c>
      <c r="K1105" s="3">
        <v>0</v>
      </c>
      <c r="L1105" s="3">
        <v>0</v>
      </c>
      <c r="M1105" s="3">
        <v>0</v>
      </c>
      <c r="N1105" s="5">
        <v>510000</v>
      </c>
      <c r="O1105" s="3">
        <v>0</v>
      </c>
      <c r="P1105" s="3">
        <v>0</v>
      </c>
      <c r="Q1105" s="5">
        <v>511000</v>
      </c>
      <c r="R1105" s="3">
        <v>0</v>
      </c>
      <c r="S1105" s="3">
        <v>0</v>
      </c>
      <c r="T1105" s="3">
        <v>100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5">
        <v>2000</v>
      </c>
      <c r="AA1105" s="5">
        <v>821000</v>
      </c>
      <c r="AB1105" s="6">
        <v>2354100</v>
      </c>
      <c r="AC1105" s="2" t="str">
        <f>VLOOKUP(E1105,'[1]Detailed Transfer Report (12)'!$K:$Y,13,FALSE)</f>
        <v>Rukhsana</v>
      </c>
      <c r="AD1105" s="2" t="str">
        <f>VLOOKUP(E1105,'[1]Detailed Transfer Report (12)'!$K:$Y,14,FALSE)</f>
        <v>Sardar Yasir Ilyas</v>
      </c>
      <c r="AE1105" s="16">
        <f>VLOOKUP(E1105,'[1]Detailed Transfer Report (12)'!$K:$Y,15,FALSE)</f>
        <v>44721</v>
      </c>
    </row>
    <row r="1106" spans="1:31" x14ac:dyDescent="0.25">
      <c r="A1106" s="3">
        <v>629</v>
      </c>
      <c r="B1106" s="4">
        <v>44776</v>
      </c>
      <c r="C1106" s="3" t="s">
        <v>1481</v>
      </c>
      <c r="D1106" s="3" t="s">
        <v>1509</v>
      </c>
      <c r="E1106" s="3">
        <v>5300</v>
      </c>
      <c r="F1106" s="3">
        <v>16461</v>
      </c>
      <c r="G1106" s="3" t="s">
        <v>756</v>
      </c>
      <c r="H1106" s="3">
        <v>0</v>
      </c>
      <c r="I1106" s="3">
        <v>0</v>
      </c>
      <c r="J1106" s="5">
        <v>200000</v>
      </c>
      <c r="K1106" s="3">
        <v>0</v>
      </c>
      <c r="L1106" s="3">
        <v>0</v>
      </c>
      <c r="M1106" s="3">
        <v>0</v>
      </c>
      <c r="N1106" s="5">
        <v>100000</v>
      </c>
      <c r="O1106" s="3">
        <v>0</v>
      </c>
      <c r="P1106" s="3">
        <v>0</v>
      </c>
      <c r="Q1106" s="5">
        <v>201000</v>
      </c>
      <c r="R1106" s="5">
        <v>500000</v>
      </c>
      <c r="S1106" s="3">
        <v>0</v>
      </c>
      <c r="T1106" s="3">
        <v>100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5">
        <v>2000</v>
      </c>
      <c r="AA1106" s="5">
        <v>150000</v>
      </c>
      <c r="AB1106" s="6">
        <v>1153100</v>
      </c>
      <c r="AC1106" s="2" t="str">
        <f>VLOOKUP(E1106,'[1]Detailed Transfer Report (12)'!$K:$Y,13,FALSE)</f>
        <v>Muhammad Ashfaq</v>
      </c>
      <c r="AD1106" s="2" t="str">
        <f>VLOOKUP(E1106,'[1]Detailed Transfer Report (12)'!$K:$Y,14,FALSE)</f>
        <v>Sardar Yasir Ilyas</v>
      </c>
      <c r="AE1106" s="16">
        <f>VLOOKUP(E1106,'[1]Detailed Transfer Report (12)'!$K:$Y,15,FALSE)</f>
        <v>44748</v>
      </c>
    </row>
    <row r="1107" spans="1:31" x14ac:dyDescent="0.25">
      <c r="A1107" s="7">
        <v>630</v>
      </c>
      <c r="B1107" s="4">
        <v>44762</v>
      </c>
      <c r="C1107" s="3" t="s">
        <v>1510</v>
      </c>
      <c r="D1107" s="3" t="s">
        <v>1511</v>
      </c>
      <c r="E1107" s="3">
        <v>577</v>
      </c>
      <c r="F1107" s="3">
        <v>18765</v>
      </c>
      <c r="G1107" s="3" t="s">
        <v>41</v>
      </c>
      <c r="H1107" s="3">
        <v>0</v>
      </c>
      <c r="I1107" s="3">
        <v>0</v>
      </c>
      <c r="J1107" s="5">
        <v>54000</v>
      </c>
      <c r="K1107" s="3">
        <v>0</v>
      </c>
      <c r="L1107" s="3">
        <v>0</v>
      </c>
      <c r="M1107" s="3">
        <v>0</v>
      </c>
      <c r="N1107" s="5">
        <v>27000</v>
      </c>
      <c r="O1107" s="3">
        <v>0</v>
      </c>
      <c r="P1107" s="3">
        <v>0</v>
      </c>
      <c r="Q1107" s="5">
        <v>55000</v>
      </c>
      <c r="R1107" s="5">
        <v>108000</v>
      </c>
      <c r="S1107" s="3">
        <v>0</v>
      </c>
      <c r="T1107" s="3">
        <v>100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5">
        <v>2000</v>
      </c>
      <c r="AA1107" s="5">
        <v>16000</v>
      </c>
      <c r="AB1107" s="6">
        <v>262100</v>
      </c>
      <c r="AC1107" s="2" t="str">
        <f>VLOOKUP(E1107,'[1]Detailed Transfer Report (12)'!$K:$Y,13,FALSE)</f>
        <v>Nasir Mehmood</v>
      </c>
      <c r="AD1107" s="2" t="str">
        <f>VLOOKUP(E1107,'[1]Detailed Transfer Report (12)'!$K:$Y,14,FALSE)</f>
        <v>Sardar Yasir Ilyas</v>
      </c>
      <c r="AE1107" s="16">
        <f>VLOOKUP(E1107,'[1]Detailed Transfer Report (12)'!$K:$Y,15,FALSE)</f>
        <v>44785</v>
      </c>
    </row>
    <row r="1108" spans="1:31" x14ac:dyDescent="0.25">
      <c r="A1108" s="9">
        <v>630</v>
      </c>
      <c r="B1108" s="4">
        <v>44768</v>
      </c>
      <c r="C1108" s="3" t="s">
        <v>342</v>
      </c>
      <c r="D1108" s="3" t="s">
        <v>1511</v>
      </c>
      <c r="E1108" s="3">
        <v>583</v>
      </c>
      <c r="F1108" s="3">
        <v>18673</v>
      </c>
      <c r="G1108" s="3" t="s">
        <v>41</v>
      </c>
      <c r="H1108" s="3">
        <v>0</v>
      </c>
      <c r="I1108" s="3">
        <v>0</v>
      </c>
      <c r="J1108" s="5">
        <v>114000</v>
      </c>
      <c r="K1108" s="3">
        <v>0</v>
      </c>
      <c r="L1108" s="3">
        <v>0</v>
      </c>
      <c r="M1108" s="3">
        <v>0</v>
      </c>
      <c r="N1108" s="5">
        <v>57000</v>
      </c>
      <c r="O1108" s="3">
        <v>0</v>
      </c>
      <c r="P1108" s="3">
        <v>0</v>
      </c>
      <c r="Q1108" s="5">
        <v>115000</v>
      </c>
      <c r="R1108" s="5">
        <v>228000</v>
      </c>
      <c r="S1108" s="3">
        <v>0</v>
      </c>
      <c r="T1108" s="3">
        <v>100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5">
        <v>2000</v>
      </c>
      <c r="AA1108" s="5">
        <v>85500</v>
      </c>
      <c r="AB1108" s="6">
        <v>863700</v>
      </c>
      <c r="AC1108" s="2" t="str">
        <f>VLOOKUP(E1108,'[1]Detailed Transfer Report (12)'!$K:$Y,13,FALSE)</f>
        <v>Gulnaz Shaheen</v>
      </c>
      <c r="AD1108" s="2" t="str">
        <f>VLOOKUP(E1108,'[1]Detailed Transfer Report (12)'!$K:$Y,14,FALSE)</f>
        <v>Sardar Yasir Ilyas</v>
      </c>
      <c r="AE1108" s="16">
        <f>VLOOKUP(E1108,'[1]Detailed Transfer Report (12)'!$K:$Y,15,FALSE)</f>
        <v>44784</v>
      </c>
    </row>
    <row r="1109" spans="1:31" x14ac:dyDescent="0.25">
      <c r="A1109" s="9">
        <v>630</v>
      </c>
      <c r="B1109" s="4">
        <v>44784</v>
      </c>
      <c r="C1109" s="3" t="s">
        <v>1252</v>
      </c>
      <c r="D1109" s="3" t="s">
        <v>1511</v>
      </c>
      <c r="E1109" s="3">
        <v>584</v>
      </c>
      <c r="F1109" s="3">
        <v>18766</v>
      </c>
      <c r="G1109" s="3" t="s">
        <v>41</v>
      </c>
      <c r="H1109" s="3">
        <v>0</v>
      </c>
      <c r="I1109" s="3">
        <v>0</v>
      </c>
      <c r="J1109" s="5">
        <v>8200</v>
      </c>
      <c r="K1109" s="3">
        <v>0</v>
      </c>
      <c r="L1109" s="3">
        <v>0</v>
      </c>
      <c r="M1109" s="3">
        <v>0</v>
      </c>
      <c r="N1109" s="5">
        <v>4100</v>
      </c>
      <c r="O1109" s="3">
        <v>0</v>
      </c>
      <c r="P1109" s="3">
        <v>0</v>
      </c>
      <c r="Q1109" s="5">
        <v>8700</v>
      </c>
      <c r="R1109" s="5">
        <v>16400</v>
      </c>
      <c r="S1109" s="3">
        <v>0</v>
      </c>
      <c r="T1109" s="3">
        <v>100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5">
        <v>2000</v>
      </c>
      <c r="AA1109" s="5">
        <v>16000</v>
      </c>
      <c r="AB1109" s="6">
        <v>919200</v>
      </c>
      <c r="AC1109" s="2" t="str">
        <f>VLOOKUP(E1109,'[1]Detailed Transfer Report (12)'!$K:$Y,13,FALSE)</f>
        <v>Nasir Mehmood</v>
      </c>
      <c r="AD1109" s="2" t="str">
        <f>VLOOKUP(E1109,'[1]Detailed Transfer Report (12)'!$K:$Y,14,FALSE)</f>
        <v>Sardar Yasir Ilyas</v>
      </c>
      <c r="AE1109" s="16">
        <f>VLOOKUP(E1109,'[1]Detailed Transfer Report (12)'!$K:$Y,15,FALSE)</f>
        <v>44785</v>
      </c>
    </row>
    <row r="1110" spans="1:31" x14ac:dyDescent="0.25">
      <c r="A1110" s="9">
        <v>630</v>
      </c>
      <c r="B1110" s="4">
        <v>44762</v>
      </c>
      <c r="C1110" s="3" t="s">
        <v>44</v>
      </c>
      <c r="D1110" s="3" t="s">
        <v>1511</v>
      </c>
      <c r="E1110" s="3">
        <v>619</v>
      </c>
      <c r="F1110" s="3">
        <v>17147</v>
      </c>
      <c r="G1110" s="3" t="s">
        <v>41</v>
      </c>
      <c r="H1110" s="3">
        <v>0</v>
      </c>
      <c r="I1110" s="3">
        <v>0</v>
      </c>
      <c r="J1110" s="5">
        <v>80000</v>
      </c>
      <c r="K1110" s="3">
        <v>0</v>
      </c>
      <c r="L1110" s="3">
        <v>0</v>
      </c>
      <c r="M1110" s="3">
        <v>0</v>
      </c>
      <c r="N1110" s="5">
        <v>40000</v>
      </c>
      <c r="O1110" s="3">
        <v>0</v>
      </c>
      <c r="P1110" s="3">
        <v>0</v>
      </c>
      <c r="Q1110" s="5">
        <v>81000</v>
      </c>
      <c r="R1110" s="3">
        <v>0</v>
      </c>
      <c r="S1110" s="3">
        <v>0</v>
      </c>
      <c r="T1110" s="3">
        <v>100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5">
        <v>2000</v>
      </c>
      <c r="AA1110" s="5">
        <v>16000</v>
      </c>
      <c r="AB1110" s="6">
        <v>1138300</v>
      </c>
      <c r="AC1110" s="2" t="str">
        <f>VLOOKUP(E1110,'[1]Detailed Transfer Report (12)'!$K:$Y,13,FALSE)</f>
        <v>Khalid Mehmood</v>
      </c>
      <c r="AD1110" s="2" t="str">
        <f>VLOOKUP(E1110,'[1]Detailed Transfer Report (12)'!$K:$Y,14,FALSE)</f>
        <v>Sardar Yasir Ilyas</v>
      </c>
      <c r="AE1110" s="16">
        <f>VLOOKUP(E1110,'[1]Detailed Transfer Report (12)'!$K:$Y,15,FALSE)</f>
        <v>44763</v>
      </c>
    </row>
    <row r="1111" spans="1:31" x14ac:dyDescent="0.25">
      <c r="A1111" s="9">
        <v>630</v>
      </c>
      <c r="B1111" s="4">
        <v>44788</v>
      </c>
      <c r="C1111" s="3" t="s">
        <v>377</v>
      </c>
      <c r="D1111" s="3" t="s">
        <v>1512</v>
      </c>
      <c r="E1111" s="3">
        <v>620</v>
      </c>
      <c r="F1111" s="3">
        <v>19739</v>
      </c>
      <c r="G1111" s="3" t="s">
        <v>41</v>
      </c>
      <c r="H1111" s="3">
        <v>0</v>
      </c>
      <c r="I1111" s="3">
        <v>0</v>
      </c>
      <c r="J1111" s="5">
        <v>6000</v>
      </c>
      <c r="K1111" s="3">
        <v>0</v>
      </c>
      <c r="L1111" s="3">
        <v>0</v>
      </c>
      <c r="M1111" s="3">
        <v>0</v>
      </c>
      <c r="N1111" s="5">
        <v>6000</v>
      </c>
      <c r="O1111" s="3">
        <v>0</v>
      </c>
      <c r="P1111" s="3">
        <v>0</v>
      </c>
      <c r="Q1111" s="5">
        <v>7000</v>
      </c>
      <c r="R1111" s="3">
        <v>0</v>
      </c>
      <c r="S1111" s="3">
        <v>0</v>
      </c>
      <c r="T1111" s="3">
        <v>100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5">
        <v>2000</v>
      </c>
      <c r="AA1111" s="5">
        <v>16000</v>
      </c>
      <c r="AB1111" s="6">
        <v>1175400</v>
      </c>
      <c r="AC1111" s="2" t="str">
        <f>VLOOKUP(E1111,'[1]Detailed Transfer Report (12)'!$K:$Y,13,FALSE)</f>
        <v>Sher Afzal Khan</v>
      </c>
      <c r="AD1111" s="2" t="str">
        <f>VLOOKUP(E1111,'[1]Detailed Transfer Report (12)'!$K:$Y,14,FALSE)</f>
        <v>Sardar Yasir Ilyas</v>
      </c>
      <c r="AE1111" s="16">
        <f>VLOOKUP(E1111,'[1]Detailed Transfer Report (12)'!$K:$Y,15,FALSE)</f>
        <v>44796</v>
      </c>
    </row>
    <row r="1112" spans="1:31" x14ac:dyDescent="0.25">
      <c r="A1112" s="10">
        <v>630</v>
      </c>
      <c r="B1112" s="4">
        <v>44945</v>
      </c>
      <c r="C1112" s="3" t="s">
        <v>1513</v>
      </c>
      <c r="D1112" s="3" t="s">
        <v>1514</v>
      </c>
      <c r="E1112" s="3"/>
      <c r="F1112" s="3"/>
      <c r="G1112" s="3" t="s">
        <v>41</v>
      </c>
      <c r="H1112" s="3">
        <v>0</v>
      </c>
      <c r="I1112" s="3">
        <v>0</v>
      </c>
      <c r="J1112" s="5">
        <v>40000</v>
      </c>
      <c r="K1112" s="3">
        <v>0</v>
      </c>
      <c r="L1112" s="3">
        <v>0</v>
      </c>
      <c r="M1112" s="3">
        <v>0</v>
      </c>
      <c r="N1112" s="5">
        <v>20000</v>
      </c>
      <c r="O1112" s="3">
        <v>0</v>
      </c>
      <c r="P1112" s="5">
        <v>21000</v>
      </c>
      <c r="Q1112" s="3">
        <v>0</v>
      </c>
      <c r="R1112" s="5">
        <v>80000</v>
      </c>
      <c r="S1112" s="5">
        <v>8500</v>
      </c>
      <c r="T1112" s="3">
        <v>100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5">
        <v>2000</v>
      </c>
      <c r="AA1112" s="5">
        <v>16000</v>
      </c>
      <c r="AB1112" s="6">
        <v>1363000</v>
      </c>
      <c r="AE1112" s="16"/>
    </row>
    <row r="1113" spans="1:31" x14ac:dyDescent="0.25">
      <c r="A1113" s="3">
        <v>631</v>
      </c>
      <c r="B1113" s="4">
        <v>44797</v>
      </c>
      <c r="C1113" s="3" t="s">
        <v>323</v>
      </c>
      <c r="D1113" s="3" t="s">
        <v>1500</v>
      </c>
      <c r="E1113" s="3" t="s">
        <v>1515</v>
      </c>
      <c r="F1113" s="3">
        <v>19940</v>
      </c>
      <c r="G1113" s="3" t="s">
        <v>1469</v>
      </c>
      <c r="H1113" s="3">
        <v>0</v>
      </c>
      <c r="I1113" s="3">
        <v>0</v>
      </c>
      <c r="J1113" s="5">
        <v>260000</v>
      </c>
      <c r="K1113" s="3">
        <v>0</v>
      </c>
      <c r="L1113" s="3">
        <v>0</v>
      </c>
      <c r="M1113" s="3">
        <v>0</v>
      </c>
      <c r="N1113" s="5">
        <v>130000</v>
      </c>
      <c r="O1113" s="3">
        <v>0</v>
      </c>
      <c r="P1113" s="3">
        <v>0</v>
      </c>
      <c r="Q1113" s="5">
        <v>261000</v>
      </c>
      <c r="R1113" s="5">
        <v>520000</v>
      </c>
      <c r="S1113" s="3">
        <v>0</v>
      </c>
      <c r="T1113" s="3">
        <v>100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5">
        <v>2000</v>
      </c>
      <c r="AA1113" s="5">
        <v>195000</v>
      </c>
      <c r="AB1113" s="6">
        <v>1368100</v>
      </c>
      <c r="AC1113" s="2" t="str">
        <f>VLOOKUP(E1113,'[1]Detailed Transfer Report (12)'!$K:$Y,13,FALSE)</f>
        <v>Saleem</v>
      </c>
      <c r="AD1113" s="2" t="str">
        <f>VLOOKUP(E1113,'[1]Detailed Transfer Report (12)'!$K:$Y,14,FALSE)</f>
        <v>Sardar Yasir Ilyas</v>
      </c>
      <c r="AE1113" s="16">
        <f>VLOOKUP(E1113,'[1]Detailed Transfer Report (12)'!$K:$Y,15,FALSE)</f>
        <v>44798</v>
      </c>
    </row>
    <row r="1114" spans="1:31" x14ac:dyDescent="0.25">
      <c r="A1114" s="7">
        <v>632</v>
      </c>
      <c r="B1114" s="4">
        <v>44797</v>
      </c>
      <c r="C1114" s="3" t="s">
        <v>1516</v>
      </c>
      <c r="D1114" s="3" t="s">
        <v>1517</v>
      </c>
      <c r="E1114" s="3">
        <v>4451</v>
      </c>
      <c r="F1114" s="3">
        <v>20268</v>
      </c>
      <c r="G1114" s="3" t="s">
        <v>30</v>
      </c>
      <c r="H1114" s="3">
        <v>0</v>
      </c>
      <c r="I1114" s="3">
        <v>0</v>
      </c>
      <c r="J1114" s="5">
        <v>742000</v>
      </c>
      <c r="K1114" s="3">
        <v>0</v>
      </c>
      <c r="L1114" s="5">
        <v>3000000</v>
      </c>
      <c r="M1114" s="3">
        <v>0</v>
      </c>
      <c r="N1114" s="5">
        <v>371000</v>
      </c>
      <c r="O1114" s="3">
        <v>0</v>
      </c>
      <c r="P1114" s="3">
        <v>0</v>
      </c>
      <c r="Q1114" s="5">
        <v>743000</v>
      </c>
      <c r="R1114" s="5">
        <v>1484000</v>
      </c>
      <c r="S1114" s="3">
        <v>0</v>
      </c>
      <c r="T1114" s="3">
        <v>100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5">
        <v>2000</v>
      </c>
      <c r="AA1114" s="5">
        <v>556500</v>
      </c>
      <c r="AB1114" s="6">
        <v>6898600</v>
      </c>
      <c r="AC1114" s="2" t="str">
        <f>VLOOKUP(E1114,'[1]Detailed Transfer Report (12)'!$K:$Y,13,FALSE)</f>
        <v>Karim Jan</v>
      </c>
      <c r="AD1114" s="2" t="str">
        <f>VLOOKUP(E1114,'[1]Detailed Transfer Report (12)'!$K:$Y,14,FALSE)</f>
        <v>Sardar Yasir Ilyas</v>
      </c>
      <c r="AE1114" s="16">
        <f>VLOOKUP(E1114,'[1]Detailed Transfer Report (12)'!$K:$Y,15,FALSE)</f>
        <v>44802</v>
      </c>
    </row>
    <row r="1115" spans="1:31" x14ac:dyDescent="0.25">
      <c r="A1115" s="10">
        <v>632</v>
      </c>
      <c r="B1115" s="4">
        <v>44797</v>
      </c>
      <c r="C1115" s="3" t="s">
        <v>141</v>
      </c>
      <c r="D1115" s="3" t="s">
        <v>1517</v>
      </c>
      <c r="E1115" s="3">
        <v>4454</v>
      </c>
      <c r="F1115" s="3">
        <v>20267</v>
      </c>
      <c r="G1115" s="3" t="s">
        <v>30</v>
      </c>
      <c r="H1115" s="3">
        <v>0</v>
      </c>
      <c r="I1115" s="3">
        <v>0</v>
      </c>
      <c r="J1115" s="5">
        <v>180000</v>
      </c>
      <c r="K1115" s="3">
        <v>0</v>
      </c>
      <c r="L1115" s="3">
        <v>0</v>
      </c>
      <c r="M1115" s="3">
        <v>0</v>
      </c>
      <c r="N1115" s="5">
        <v>90000</v>
      </c>
      <c r="O1115" s="3">
        <v>0</v>
      </c>
      <c r="P1115" s="3">
        <v>0</v>
      </c>
      <c r="Q1115" s="5">
        <v>181000</v>
      </c>
      <c r="R1115" s="5">
        <v>360000</v>
      </c>
      <c r="S1115" s="3">
        <v>0</v>
      </c>
      <c r="T1115" s="5">
        <v>1000000</v>
      </c>
      <c r="U1115" s="3">
        <v>0</v>
      </c>
      <c r="V1115" s="5">
        <v>1000000</v>
      </c>
      <c r="W1115" s="3">
        <v>0</v>
      </c>
      <c r="X1115" s="3">
        <v>0</v>
      </c>
      <c r="Y1115" s="3">
        <v>0</v>
      </c>
      <c r="Z1115" s="5">
        <v>2000</v>
      </c>
      <c r="AA1115" s="5">
        <v>135000</v>
      </c>
      <c r="AB1115" s="6">
        <v>9846600</v>
      </c>
      <c r="AC1115" s="2" t="str">
        <f>VLOOKUP(E1115,'[1]Detailed Transfer Report (12)'!$K:$Y,13,FALSE)</f>
        <v>Karim Jan</v>
      </c>
      <c r="AD1115" s="2" t="str">
        <f>VLOOKUP(E1115,'[1]Detailed Transfer Report (12)'!$K:$Y,14,FALSE)</f>
        <v>Sardar Yasir Ilyas</v>
      </c>
      <c r="AE1115" s="16">
        <f>VLOOKUP(E1115,'[1]Detailed Transfer Report (12)'!$K:$Y,15,FALSE)</f>
        <v>44802</v>
      </c>
    </row>
    <row r="1116" spans="1:31" x14ac:dyDescent="0.25">
      <c r="A1116" s="7">
        <v>633</v>
      </c>
      <c r="B1116" s="4">
        <v>44797</v>
      </c>
      <c r="C1116" s="3" t="s">
        <v>342</v>
      </c>
      <c r="D1116" s="3" t="s">
        <v>1518</v>
      </c>
      <c r="E1116" s="3">
        <v>4458</v>
      </c>
      <c r="F1116" s="3">
        <v>21887</v>
      </c>
      <c r="G1116" s="3" t="s">
        <v>30</v>
      </c>
      <c r="H1116" s="3">
        <v>0</v>
      </c>
      <c r="I1116" s="3">
        <v>0</v>
      </c>
      <c r="J1116" s="5">
        <v>220000</v>
      </c>
      <c r="K1116" s="3">
        <v>0</v>
      </c>
      <c r="L1116" s="3">
        <v>0</v>
      </c>
      <c r="M1116" s="3">
        <v>0</v>
      </c>
      <c r="N1116" s="5">
        <v>110000</v>
      </c>
      <c r="O1116" s="3">
        <v>0</v>
      </c>
      <c r="P1116" s="3">
        <v>0</v>
      </c>
      <c r="Q1116" s="5">
        <v>221000</v>
      </c>
      <c r="R1116" s="5">
        <v>440000</v>
      </c>
      <c r="S1116" s="3">
        <v>0</v>
      </c>
      <c r="T1116" s="3">
        <v>100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5">
        <v>2000</v>
      </c>
      <c r="AA1116" s="5">
        <v>165000</v>
      </c>
      <c r="AB1116" s="6">
        <v>1158100</v>
      </c>
      <c r="AC1116" s="2" t="str">
        <f>VLOOKUP(E1116,'[1]Detailed Transfer Report (12)'!$K:$Y,13,FALSE)</f>
        <v>Safila Kausar</v>
      </c>
      <c r="AD1116" s="2" t="str">
        <f>VLOOKUP(E1116,'[1]Detailed Transfer Report (12)'!$K:$Y,14,FALSE)</f>
        <v>Sardar Yasir Ilyas</v>
      </c>
      <c r="AE1116" s="16">
        <f>VLOOKUP(E1116,'[1]Detailed Transfer Report (12)'!$K:$Y,15,FALSE)</f>
        <v>44820</v>
      </c>
    </row>
    <row r="1117" spans="1:31" ht="34.5" x14ac:dyDescent="0.25">
      <c r="A1117" s="9">
        <v>633</v>
      </c>
      <c r="B1117" s="4">
        <v>44823</v>
      </c>
      <c r="C1117" s="3" t="s">
        <v>44</v>
      </c>
      <c r="D1117" s="3" t="s">
        <v>822</v>
      </c>
      <c r="E1117" s="3" t="s">
        <v>1519</v>
      </c>
      <c r="F1117" s="3"/>
      <c r="G1117" s="3" t="s">
        <v>30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6">
        <v>1158100</v>
      </c>
      <c r="AE1117" s="16"/>
    </row>
    <row r="1118" spans="1:31" x14ac:dyDescent="0.25">
      <c r="A1118" s="9">
        <v>633</v>
      </c>
      <c r="B1118" s="4">
        <v>44797</v>
      </c>
      <c r="C1118" s="3" t="s">
        <v>304</v>
      </c>
      <c r="D1118" s="3" t="s">
        <v>1518</v>
      </c>
      <c r="E1118" s="3">
        <v>4460</v>
      </c>
      <c r="F1118" s="3">
        <v>21886</v>
      </c>
      <c r="G1118" s="3" t="s">
        <v>30</v>
      </c>
      <c r="H1118" s="3">
        <v>0</v>
      </c>
      <c r="I1118" s="3">
        <v>0</v>
      </c>
      <c r="J1118" s="5">
        <v>114000</v>
      </c>
      <c r="K1118" s="3">
        <v>0</v>
      </c>
      <c r="L1118" s="3">
        <v>0</v>
      </c>
      <c r="M1118" s="3">
        <v>0</v>
      </c>
      <c r="N1118" s="5">
        <v>57000</v>
      </c>
      <c r="O1118" s="3">
        <v>0</v>
      </c>
      <c r="P1118" s="3">
        <v>0</v>
      </c>
      <c r="Q1118" s="5">
        <v>115000</v>
      </c>
      <c r="R1118" s="5">
        <v>228000</v>
      </c>
      <c r="S1118" s="3">
        <v>0</v>
      </c>
      <c r="T1118" s="3">
        <v>100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5">
        <v>2000</v>
      </c>
      <c r="AA1118" s="5">
        <v>85500</v>
      </c>
      <c r="AB1118" s="6">
        <v>1759700</v>
      </c>
      <c r="AC1118" s="2" t="str">
        <f>VLOOKUP(E1118,'[1]Detailed Transfer Report (12)'!$K:$Y,13,FALSE)</f>
        <v>Malik Danish Mehmood</v>
      </c>
      <c r="AD1118" s="2" t="str">
        <f>VLOOKUP(E1118,'[1]Detailed Transfer Report (12)'!$K:$Y,14,FALSE)</f>
        <v>Sardar Yasir Ilyas</v>
      </c>
      <c r="AE1118" s="16">
        <f>VLOOKUP(E1118,'[1]Detailed Transfer Report (12)'!$K:$Y,15,FALSE)</f>
        <v>44820</v>
      </c>
    </row>
    <row r="1119" spans="1:31" x14ac:dyDescent="0.25">
      <c r="A1119" s="9">
        <v>633</v>
      </c>
      <c r="B1119" s="4">
        <v>44797</v>
      </c>
      <c r="C1119" s="3" t="s">
        <v>323</v>
      </c>
      <c r="D1119" s="3" t="s">
        <v>1518</v>
      </c>
      <c r="E1119" s="3">
        <v>4453</v>
      </c>
      <c r="F1119" s="3">
        <v>21899</v>
      </c>
      <c r="G1119" s="3" t="s">
        <v>30</v>
      </c>
      <c r="H1119" s="3">
        <v>0</v>
      </c>
      <c r="I1119" s="3">
        <v>0</v>
      </c>
      <c r="J1119" s="5">
        <v>320000</v>
      </c>
      <c r="K1119" s="3">
        <v>0</v>
      </c>
      <c r="L1119" s="3">
        <v>0</v>
      </c>
      <c r="M1119" s="3">
        <v>0</v>
      </c>
      <c r="N1119" s="5">
        <v>160000</v>
      </c>
      <c r="O1119" s="3">
        <v>0</v>
      </c>
      <c r="P1119" s="3">
        <v>0</v>
      </c>
      <c r="Q1119" s="5">
        <v>321000</v>
      </c>
      <c r="R1119" s="5">
        <v>640000</v>
      </c>
      <c r="S1119" s="3">
        <v>0</v>
      </c>
      <c r="T1119" s="3">
        <v>100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5">
        <v>2000</v>
      </c>
      <c r="AA1119" s="5">
        <v>240000</v>
      </c>
      <c r="AB1119" s="6">
        <v>3442800</v>
      </c>
      <c r="AC1119" s="2" t="str">
        <f>VLOOKUP(E1119,'[1]Detailed Transfer Report (12)'!$K:$Y,13,FALSE)</f>
        <v>Muhammad Shabbir Awan</v>
      </c>
      <c r="AD1119" s="2" t="str">
        <f>VLOOKUP(E1119,'[1]Detailed Transfer Report (12)'!$K:$Y,14,FALSE)</f>
        <v>Sardar Yasir Ilyas</v>
      </c>
      <c r="AE1119" s="16">
        <f>VLOOKUP(E1119,'[1]Detailed Transfer Report (12)'!$K:$Y,15,FALSE)</f>
        <v>44820</v>
      </c>
    </row>
    <row r="1120" spans="1:31" x14ac:dyDescent="0.25">
      <c r="A1120" s="10">
        <v>633</v>
      </c>
      <c r="B1120" s="4">
        <v>44797</v>
      </c>
      <c r="C1120" s="3" t="s">
        <v>215</v>
      </c>
      <c r="D1120" s="3" t="s">
        <v>1518</v>
      </c>
      <c r="E1120" s="3">
        <v>4450</v>
      </c>
      <c r="F1120" s="3">
        <v>21888</v>
      </c>
      <c r="G1120" s="3" t="s">
        <v>30</v>
      </c>
      <c r="H1120" s="3">
        <v>0</v>
      </c>
      <c r="I1120" s="3">
        <v>0</v>
      </c>
      <c r="J1120" s="5">
        <v>1368320</v>
      </c>
      <c r="K1120" s="3">
        <v>0</v>
      </c>
      <c r="L1120" s="5">
        <v>6200000</v>
      </c>
      <c r="M1120" s="3">
        <v>0</v>
      </c>
      <c r="N1120" s="5">
        <v>684160</v>
      </c>
      <c r="O1120" s="3">
        <v>0</v>
      </c>
      <c r="P1120" s="3">
        <v>0</v>
      </c>
      <c r="Q1120" s="5">
        <v>1369320</v>
      </c>
      <c r="R1120" s="5">
        <v>2736640</v>
      </c>
      <c r="S1120" s="3">
        <v>0</v>
      </c>
      <c r="T1120" s="3">
        <v>100</v>
      </c>
      <c r="U1120" s="3">
        <v>0</v>
      </c>
      <c r="V1120" s="5">
        <v>3000000</v>
      </c>
      <c r="W1120" s="3">
        <v>0</v>
      </c>
      <c r="X1120" s="3">
        <v>0</v>
      </c>
      <c r="Y1120" s="3">
        <v>0</v>
      </c>
      <c r="Z1120" s="5">
        <v>2000</v>
      </c>
      <c r="AA1120" s="5">
        <v>102640</v>
      </c>
      <c r="AB1120" s="6">
        <v>18905980</v>
      </c>
      <c r="AC1120" s="2" t="str">
        <f>VLOOKUP(E1120,'[1]Detailed Transfer Report (12)'!$K:$Y,13,FALSE)</f>
        <v>Muhammad Shabbir Awan</v>
      </c>
      <c r="AD1120" s="2" t="str">
        <f>VLOOKUP(E1120,'[1]Detailed Transfer Report (12)'!$K:$Y,14,FALSE)</f>
        <v>Sardar Yasir Ilyas</v>
      </c>
      <c r="AE1120" s="16">
        <f>VLOOKUP(E1120,'[1]Detailed Transfer Report (12)'!$K:$Y,15,FALSE)</f>
        <v>44820</v>
      </c>
    </row>
    <row r="1121" spans="1:31" x14ac:dyDescent="0.25">
      <c r="A1121" s="7">
        <v>634</v>
      </c>
      <c r="B1121" s="4">
        <v>44818</v>
      </c>
      <c r="C1121" s="3" t="s">
        <v>383</v>
      </c>
      <c r="D1121" s="3" t="s">
        <v>1520</v>
      </c>
      <c r="E1121" s="3">
        <v>4484</v>
      </c>
      <c r="F1121" s="3">
        <v>21627</v>
      </c>
      <c r="G1121" s="3" t="s">
        <v>30</v>
      </c>
      <c r="H1121" s="3">
        <v>0</v>
      </c>
      <c r="I1121" s="3">
        <v>0</v>
      </c>
      <c r="J1121" s="5">
        <v>34000</v>
      </c>
      <c r="K1121" s="3">
        <v>0</v>
      </c>
      <c r="L1121" s="3">
        <v>0</v>
      </c>
      <c r="M1121" s="3">
        <v>0</v>
      </c>
      <c r="N1121" s="5">
        <v>17000</v>
      </c>
      <c r="O1121" s="3">
        <v>0</v>
      </c>
      <c r="P1121" s="3">
        <v>0</v>
      </c>
      <c r="Q1121" s="5">
        <v>35000</v>
      </c>
      <c r="R1121" s="5">
        <v>68000</v>
      </c>
      <c r="S1121" s="3">
        <v>0</v>
      </c>
      <c r="T1121" s="3">
        <v>100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5">
        <v>2000</v>
      </c>
      <c r="AA1121" s="5">
        <v>16000</v>
      </c>
      <c r="AB1121" s="6">
        <v>172100</v>
      </c>
      <c r="AC1121" s="2" t="str">
        <f>VLOOKUP(E1121,'[1]Detailed Transfer Report (12)'!$K:$Y,13,FALSE)</f>
        <v>Muhammad Haroon Arshad</v>
      </c>
      <c r="AD1121" s="2" t="str">
        <f>VLOOKUP(E1121,'[1]Detailed Transfer Report (12)'!$K:$Y,14,FALSE)</f>
        <v>Sardar Yasir Ilyas</v>
      </c>
      <c r="AE1121" s="16">
        <f>VLOOKUP(E1121,'[1]Detailed Transfer Report (12)'!$K:$Y,15,FALSE)</f>
        <v>44818</v>
      </c>
    </row>
    <row r="1122" spans="1:31" x14ac:dyDescent="0.25">
      <c r="A1122" s="9">
        <v>634</v>
      </c>
      <c r="B1122" s="4">
        <v>44818</v>
      </c>
      <c r="C1122" s="3" t="s">
        <v>671</v>
      </c>
      <c r="D1122" s="3" t="s">
        <v>1520</v>
      </c>
      <c r="E1122" s="3">
        <v>4481</v>
      </c>
      <c r="F1122" s="3">
        <v>21629</v>
      </c>
      <c r="G1122" s="3" t="s">
        <v>30</v>
      </c>
      <c r="H1122" s="3">
        <v>0</v>
      </c>
      <c r="I1122" s="3">
        <v>0</v>
      </c>
      <c r="J1122" s="5">
        <v>22800</v>
      </c>
      <c r="K1122" s="3">
        <v>0</v>
      </c>
      <c r="L1122" s="3">
        <v>0</v>
      </c>
      <c r="M1122" s="3">
        <v>0</v>
      </c>
      <c r="N1122" s="5">
        <v>11400</v>
      </c>
      <c r="O1122" s="3">
        <v>0</v>
      </c>
      <c r="P1122" s="3">
        <v>0</v>
      </c>
      <c r="Q1122" s="5">
        <v>23800</v>
      </c>
      <c r="R1122" s="5">
        <v>45600</v>
      </c>
      <c r="S1122" s="3">
        <v>0</v>
      </c>
      <c r="T1122" s="3">
        <v>100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5">
        <v>2000</v>
      </c>
      <c r="AA1122" s="5">
        <v>16000</v>
      </c>
      <c r="AB1122" s="6">
        <v>293800</v>
      </c>
      <c r="AC1122" s="2" t="str">
        <f>VLOOKUP(E1122,'[1]Detailed Transfer Report (12)'!$K:$Y,13,FALSE)</f>
        <v>Qazi Iftikhar Hussain Qureshi</v>
      </c>
      <c r="AD1122" s="2" t="str">
        <f>VLOOKUP(E1122,'[1]Detailed Transfer Report (12)'!$K:$Y,14,FALSE)</f>
        <v>Sardar Yasir Ilyas</v>
      </c>
      <c r="AE1122" s="16">
        <f>VLOOKUP(E1122,'[1]Detailed Transfer Report (12)'!$K:$Y,15,FALSE)</f>
        <v>44818</v>
      </c>
    </row>
    <row r="1123" spans="1:31" x14ac:dyDescent="0.25">
      <c r="A1123" s="9">
        <v>634</v>
      </c>
      <c r="B1123" s="4">
        <v>44897</v>
      </c>
      <c r="C1123" s="3" t="s">
        <v>1521</v>
      </c>
      <c r="D1123" s="3" t="s">
        <v>1522</v>
      </c>
      <c r="E1123" s="3">
        <v>4479</v>
      </c>
      <c r="F1123" s="3">
        <v>30044</v>
      </c>
      <c r="G1123" s="3" t="s">
        <v>30</v>
      </c>
      <c r="H1123" s="3">
        <v>0</v>
      </c>
      <c r="I1123" s="3">
        <v>0</v>
      </c>
      <c r="J1123" s="5">
        <v>4000</v>
      </c>
      <c r="K1123" s="3">
        <v>0</v>
      </c>
      <c r="L1123" s="3">
        <v>0</v>
      </c>
      <c r="M1123" s="3">
        <v>0</v>
      </c>
      <c r="N1123" s="5">
        <v>2000</v>
      </c>
      <c r="O1123" s="3">
        <v>0</v>
      </c>
      <c r="P1123" s="5">
        <v>2500</v>
      </c>
      <c r="Q1123" s="3">
        <v>0</v>
      </c>
      <c r="R1123" s="5">
        <v>8000</v>
      </c>
      <c r="S1123" s="3">
        <v>0</v>
      </c>
      <c r="T1123" s="3">
        <v>100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5">
        <v>2000</v>
      </c>
      <c r="AA1123" s="5">
        <v>16000</v>
      </c>
      <c r="AB1123" s="6">
        <v>328400</v>
      </c>
      <c r="AC1123" s="2" t="str">
        <f>VLOOKUP(E1123,'[1]Detailed Transfer Report (12)'!$K:$Y,13,FALSE)</f>
        <v>Aqeela Ateeq</v>
      </c>
      <c r="AD1123" s="2" t="str">
        <f>VLOOKUP(E1123,'[1]Detailed Transfer Report (12)'!$K:$Y,14,FALSE)</f>
        <v>Sardar Yasir Ilyas</v>
      </c>
      <c r="AE1123" s="16">
        <f>VLOOKUP(E1123,'[1]Detailed Transfer Report (12)'!$K:$Y,15,FALSE)</f>
        <v>44908</v>
      </c>
    </row>
    <row r="1124" spans="1:31" x14ac:dyDescent="0.25">
      <c r="A1124" s="9">
        <v>634</v>
      </c>
      <c r="B1124" s="4">
        <v>44814</v>
      </c>
      <c r="C1124" s="3" t="s">
        <v>153</v>
      </c>
      <c r="D1124" s="3" t="s">
        <v>822</v>
      </c>
      <c r="E1124" s="3">
        <v>4469</v>
      </c>
      <c r="F1124" s="3">
        <v>20433</v>
      </c>
      <c r="G1124" s="3" t="s">
        <v>30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6">
        <v>328400</v>
      </c>
      <c r="AC1124" s="2" t="str">
        <f>VLOOKUP(E1124,'[1]Detailed Transfer Report (12)'!$K:$Y,13,FALSE)</f>
        <v>Muhammad Zain Noor</v>
      </c>
      <c r="AD1124" s="2" t="str">
        <f>VLOOKUP(E1124,'[1]Detailed Transfer Report (12)'!$K:$Y,14,FALSE)</f>
        <v>Sardar Yasir Ilyas</v>
      </c>
      <c r="AE1124" s="16">
        <f>VLOOKUP(E1124,'[1]Detailed Transfer Report (12)'!$K:$Y,15,FALSE)</f>
        <v>44804</v>
      </c>
    </row>
    <row r="1125" spans="1:31" x14ac:dyDescent="0.25">
      <c r="A1125" s="9">
        <v>634</v>
      </c>
      <c r="B1125" s="4">
        <v>44814</v>
      </c>
      <c r="C1125" s="3" t="s">
        <v>299</v>
      </c>
      <c r="D1125" s="3" t="s">
        <v>1520</v>
      </c>
      <c r="E1125" s="3">
        <v>4474</v>
      </c>
      <c r="F1125" s="3">
        <v>21628</v>
      </c>
      <c r="G1125" s="3" t="s">
        <v>30</v>
      </c>
      <c r="H1125" s="3">
        <v>0</v>
      </c>
      <c r="I1125" s="3">
        <v>0</v>
      </c>
      <c r="J1125" s="5">
        <v>3000</v>
      </c>
      <c r="K1125" s="3">
        <v>0</v>
      </c>
      <c r="L1125" s="3">
        <v>0</v>
      </c>
      <c r="M1125" s="3">
        <v>0</v>
      </c>
      <c r="N1125" s="5">
        <v>1500</v>
      </c>
      <c r="O1125" s="3">
        <v>0</v>
      </c>
      <c r="P1125" s="3">
        <v>0</v>
      </c>
      <c r="Q1125" s="5">
        <v>3500</v>
      </c>
      <c r="R1125" s="5">
        <v>6000</v>
      </c>
      <c r="S1125" s="3">
        <v>0</v>
      </c>
      <c r="T1125" s="3">
        <v>100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5">
        <v>2000</v>
      </c>
      <c r="AA1125" s="5">
        <v>16000</v>
      </c>
      <c r="AB1125" s="6">
        <v>360500</v>
      </c>
      <c r="AC1125" s="2" t="str">
        <f>VLOOKUP(E1125,'[1]Detailed Transfer Report (12)'!$K:$Y,13,FALSE)</f>
        <v>Muhammad Haroon Arshad</v>
      </c>
      <c r="AD1125" s="2" t="str">
        <f>VLOOKUP(E1125,'[1]Detailed Transfer Report (12)'!$K:$Y,14,FALSE)</f>
        <v>Sardar Yasir Ilyas</v>
      </c>
      <c r="AE1125" s="16">
        <f>VLOOKUP(E1125,'[1]Detailed Transfer Report (12)'!$K:$Y,15,FALSE)</f>
        <v>44818</v>
      </c>
    </row>
    <row r="1126" spans="1:31" x14ac:dyDescent="0.25">
      <c r="A1126" s="9">
        <v>634</v>
      </c>
      <c r="B1126" s="4">
        <v>44882</v>
      </c>
      <c r="C1126" s="3" t="s">
        <v>139</v>
      </c>
      <c r="D1126" s="3" t="s">
        <v>1523</v>
      </c>
      <c r="E1126" s="3">
        <v>4465</v>
      </c>
      <c r="F1126" s="3">
        <v>27114</v>
      </c>
      <c r="G1126" s="3" t="s">
        <v>30</v>
      </c>
      <c r="H1126" s="3">
        <v>0</v>
      </c>
      <c r="I1126" s="3">
        <v>0</v>
      </c>
      <c r="J1126" s="5">
        <v>34000</v>
      </c>
      <c r="K1126" s="3">
        <v>0</v>
      </c>
      <c r="L1126" s="3">
        <v>0</v>
      </c>
      <c r="M1126" s="3">
        <v>0</v>
      </c>
      <c r="N1126" s="5">
        <v>17000</v>
      </c>
      <c r="O1126" s="3">
        <v>0</v>
      </c>
      <c r="P1126" s="5">
        <v>18000</v>
      </c>
      <c r="Q1126" s="3">
        <v>0</v>
      </c>
      <c r="R1126" s="5">
        <v>68000</v>
      </c>
      <c r="S1126" s="3">
        <v>0</v>
      </c>
      <c r="T1126" s="3">
        <v>100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5">
        <v>2000</v>
      </c>
      <c r="AA1126" s="5">
        <v>16000</v>
      </c>
      <c r="AB1126" s="6">
        <v>515600</v>
      </c>
      <c r="AC1126" s="2" t="str">
        <f>VLOOKUP(E1126,'[1]Detailed Transfer Report (12)'!$K:$Y,13,FALSE)</f>
        <v>Akhash Hussain</v>
      </c>
      <c r="AD1126" s="2" t="str">
        <f>VLOOKUP(E1126,'[1]Detailed Transfer Report (12)'!$K:$Y,14,FALSE)</f>
        <v>Sardar Yasir Ilyas</v>
      </c>
      <c r="AE1126" s="16">
        <f>VLOOKUP(E1126,'[1]Detailed Transfer Report (12)'!$K:$Y,15,FALSE)</f>
        <v>44876</v>
      </c>
    </row>
    <row r="1127" spans="1:31" x14ac:dyDescent="0.25">
      <c r="A1127" s="9">
        <v>634</v>
      </c>
      <c r="B1127" s="4">
        <v>44818</v>
      </c>
      <c r="C1127" s="3" t="s">
        <v>1524</v>
      </c>
      <c r="D1127" s="3" t="s">
        <v>1520</v>
      </c>
      <c r="E1127" s="3">
        <v>4483</v>
      </c>
      <c r="F1127" s="3">
        <v>21630</v>
      </c>
      <c r="G1127" s="3" t="s">
        <v>30</v>
      </c>
      <c r="H1127" s="3">
        <v>0</v>
      </c>
      <c r="I1127" s="3">
        <v>0</v>
      </c>
      <c r="J1127" s="3">
        <v>500</v>
      </c>
      <c r="K1127" s="3">
        <v>0</v>
      </c>
      <c r="L1127" s="3">
        <v>0</v>
      </c>
      <c r="M1127" s="3">
        <v>0</v>
      </c>
      <c r="N1127" s="3">
        <v>250</v>
      </c>
      <c r="O1127" s="3">
        <v>0</v>
      </c>
      <c r="P1127" s="3">
        <v>0</v>
      </c>
      <c r="Q1127" s="5">
        <v>1000</v>
      </c>
      <c r="R1127" s="5">
        <v>1000</v>
      </c>
      <c r="S1127" s="3">
        <v>0</v>
      </c>
      <c r="T1127" s="3">
        <v>100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5">
        <v>2000</v>
      </c>
      <c r="AA1127" s="5">
        <v>16000</v>
      </c>
      <c r="AB1127" s="6">
        <v>536450</v>
      </c>
      <c r="AC1127" s="2" t="str">
        <f>VLOOKUP(E1127,'[1]Detailed Transfer Report (12)'!$K:$Y,13,FALSE)</f>
        <v>Qamar Un Nisa</v>
      </c>
      <c r="AD1127" s="2" t="str">
        <f>VLOOKUP(E1127,'[1]Detailed Transfer Report (12)'!$K:$Y,14,FALSE)</f>
        <v>Sardar Yasir Ilyas</v>
      </c>
      <c r="AE1127" s="16">
        <f>VLOOKUP(E1127,'[1]Detailed Transfer Report (12)'!$K:$Y,15,FALSE)</f>
        <v>44818</v>
      </c>
    </row>
    <row r="1128" spans="1:31" x14ac:dyDescent="0.25">
      <c r="A1128" s="9">
        <v>634</v>
      </c>
      <c r="B1128" s="4">
        <v>44814</v>
      </c>
      <c r="C1128" s="3" t="s">
        <v>614</v>
      </c>
      <c r="D1128" s="3" t="s">
        <v>822</v>
      </c>
      <c r="E1128" s="3">
        <v>4462</v>
      </c>
      <c r="F1128" s="3">
        <v>20409</v>
      </c>
      <c r="G1128" s="3" t="s">
        <v>30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6">
        <v>536450</v>
      </c>
      <c r="AC1128" s="2" t="str">
        <f>VLOOKUP(E1128,'[1]Detailed Transfer Report (12)'!$K:$Y,13,FALSE)</f>
        <v>Rehmat Khan</v>
      </c>
      <c r="AD1128" s="2" t="str">
        <f>VLOOKUP(E1128,'[1]Detailed Transfer Report (12)'!$K:$Y,14,FALSE)</f>
        <v>Sardar Yasir Ilyas</v>
      </c>
      <c r="AE1128" s="16">
        <f>VLOOKUP(E1128,'[1]Detailed Transfer Report (12)'!$K:$Y,15,FALSE)</f>
        <v>44804</v>
      </c>
    </row>
    <row r="1129" spans="1:31" x14ac:dyDescent="0.25">
      <c r="A1129" s="9">
        <v>634</v>
      </c>
      <c r="B1129" s="4">
        <v>44882</v>
      </c>
      <c r="C1129" s="3" t="s">
        <v>536</v>
      </c>
      <c r="D1129" s="3" t="s">
        <v>1523</v>
      </c>
      <c r="E1129" s="3">
        <v>4585</v>
      </c>
      <c r="F1129" s="3">
        <v>27113</v>
      </c>
      <c r="G1129" s="3" t="s">
        <v>30</v>
      </c>
      <c r="H1129" s="3">
        <v>0</v>
      </c>
      <c r="I1129" s="3">
        <v>0</v>
      </c>
      <c r="J1129" s="5">
        <v>4000</v>
      </c>
      <c r="K1129" s="3">
        <v>0</v>
      </c>
      <c r="L1129" s="3">
        <v>0</v>
      </c>
      <c r="M1129" s="3">
        <v>0</v>
      </c>
      <c r="N1129" s="5">
        <v>2000</v>
      </c>
      <c r="O1129" s="3">
        <v>0</v>
      </c>
      <c r="P1129" s="5">
        <v>2500</v>
      </c>
      <c r="Q1129" s="3">
        <v>0</v>
      </c>
      <c r="R1129" s="5">
        <v>8000</v>
      </c>
      <c r="S1129" s="3">
        <v>0</v>
      </c>
      <c r="T1129" s="3">
        <v>100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5">
        <v>2000</v>
      </c>
      <c r="AA1129" s="5">
        <v>16000</v>
      </c>
      <c r="AB1129" s="6">
        <v>571050</v>
      </c>
      <c r="AC1129" s="2" t="str">
        <f>VLOOKUP(E1129,'[1]Detailed Transfer Report (12)'!$K:$Y,13,FALSE)</f>
        <v>Akhash Hussain</v>
      </c>
      <c r="AD1129" s="2" t="str">
        <f>VLOOKUP(E1129,'[1]Detailed Transfer Report (12)'!$K:$Y,14,FALSE)</f>
        <v>Sardar Yasir Ilyas</v>
      </c>
      <c r="AE1129" s="16">
        <f>VLOOKUP(E1129,'[1]Detailed Transfer Report (12)'!$K:$Y,15,FALSE)</f>
        <v>44876</v>
      </c>
    </row>
    <row r="1130" spans="1:31" x14ac:dyDescent="0.25">
      <c r="A1130" s="9">
        <v>634</v>
      </c>
      <c r="B1130" s="4">
        <v>44897</v>
      </c>
      <c r="C1130" s="3" t="s">
        <v>1525</v>
      </c>
      <c r="D1130" s="3" t="s">
        <v>1522</v>
      </c>
      <c r="E1130" s="3">
        <v>4476</v>
      </c>
      <c r="F1130" s="3">
        <v>30043</v>
      </c>
      <c r="G1130" s="3" t="s">
        <v>30</v>
      </c>
      <c r="H1130" s="3">
        <v>0</v>
      </c>
      <c r="I1130" s="3">
        <v>0</v>
      </c>
      <c r="J1130" s="5">
        <v>15000</v>
      </c>
      <c r="K1130" s="3">
        <v>0</v>
      </c>
      <c r="L1130" s="3">
        <v>0</v>
      </c>
      <c r="M1130" s="3">
        <v>0</v>
      </c>
      <c r="N1130" s="5">
        <v>7500</v>
      </c>
      <c r="O1130" s="3">
        <v>0</v>
      </c>
      <c r="P1130" s="5">
        <v>8500</v>
      </c>
      <c r="Q1130" s="3">
        <v>0</v>
      </c>
      <c r="R1130" s="3">
        <v>0</v>
      </c>
      <c r="S1130" s="3">
        <v>0</v>
      </c>
      <c r="T1130" s="3">
        <v>100</v>
      </c>
      <c r="U1130" s="3">
        <v>0</v>
      </c>
      <c r="V1130" s="3">
        <v>0</v>
      </c>
      <c r="W1130" s="3">
        <v>0</v>
      </c>
      <c r="X1130" s="5">
        <v>30000</v>
      </c>
      <c r="Y1130" s="3">
        <v>0</v>
      </c>
      <c r="Z1130" s="5">
        <v>2000</v>
      </c>
      <c r="AA1130" s="5">
        <v>16000</v>
      </c>
      <c r="AB1130" s="6">
        <v>650150</v>
      </c>
      <c r="AC1130" s="2" t="str">
        <f>VLOOKUP(E1130,'[1]Detailed Transfer Report (12)'!$K:$Y,13,FALSE)</f>
        <v>Haseena Bibi</v>
      </c>
      <c r="AD1130" s="2" t="str">
        <f>VLOOKUP(E1130,'[1]Detailed Transfer Report (12)'!$K:$Y,14,FALSE)</f>
        <v>Sardar Yasir Ilyas</v>
      </c>
      <c r="AE1130" s="16">
        <f>VLOOKUP(E1130,'[1]Detailed Transfer Report (12)'!$K:$Y,15,FALSE)</f>
        <v>44908</v>
      </c>
    </row>
    <row r="1131" spans="1:31" x14ac:dyDescent="0.25">
      <c r="A1131" s="10">
        <v>634</v>
      </c>
      <c r="B1131" s="4">
        <v>44882</v>
      </c>
      <c r="C1131" s="3" t="s">
        <v>1526</v>
      </c>
      <c r="D1131" s="3" t="s">
        <v>1527</v>
      </c>
      <c r="E1131" s="3">
        <v>4467</v>
      </c>
      <c r="F1131" s="3">
        <v>27115</v>
      </c>
      <c r="G1131" s="3" t="s">
        <v>30</v>
      </c>
      <c r="H1131" s="3">
        <v>0</v>
      </c>
      <c r="I1131" s="3">
        <v>0</v>
      </c>
      <c r="J1131" s="5">
        <v>3000</v>
      </c>
      <c r="K1131" s="3">
        <v>0</v>
      </c>
      <c r="L1131" s="3">
        <v>0</v>
      </c>
      <c r="M1131" s="3">
        <v>0</v>
      </c>
      <c r="N1131" s="5">
        <v>1500</v>
      </c>
      <c r="O1131" s="3">
        <v>0</v>
      </c>
      <c r="P1131" s="5">
        <v>2000</v>
      </c>
      <c r="Q1131" s="3">
        <v>0</v>
      </c>
      <c r="R1131" s="5">
        <v>6000</v>
      </c>
      <c r="S1131" s="3">
        <v>0</v>
      </c>
      <c r="T1131" s="3">
        <v>100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5">
        <v>2000</v>
      </c>
      <c r="AA1131" s="5">
        <v>16000</v>
      </c>
      <c r="AB1131" s="6">
        <v>680750</v>
      </c>
      <c r="AC1131" s="2" t="str">
        <f>VLOOKUP(E1131,'[1]Detailed Transfer Report (12)'!$K:$Y,13,FALSE)</f>
        <v>Chaudhary Zeeshan Ali</v>
      </c>
      <c r="AD1131" s="2" t="str">
        <f>VLOOKUP(E1131,'[1]Detailed Transfer Report (12)'!$K:$Y,14,FALSE)</f>
        <v>Sardar Yasir Ilyas</v>
      </c>
      <c r="AE1131" s="16">
        <f>VLOOKUP(E1131,'[1]Detailed Transfer Report (12)'!$K:$Y,15,FALSE)</f>
        <v>44876</v>
      </c>
    </row>
    <row r="1132" spans="1:31" x14ac:dyDescent="0.25">
      <c r="A1132" s="7">
        <v>635</v>
      </c>
      <c r="B1132" s="4">
        <v>44876</v>
      </c>
      <c r="C1132" s="3" t="s">
        <v>205</v>
      </c>
      <c r="D1132" s="3" t="s">
        <v>1528</v>
      </c>
      <c r="E1132" s="3"/>
      <c r="F1132" s="3">
        <v>329</v>
      </c>
      <c r="G1132" s="3" t="s">
        <v>41</v>
      </c>
      <c r="H1132" s="3">
        <v>0</v>
      </c>
      <c r="I1132" s="3">
        <v>0</v>
      </c>
      <c r="J1132" s="5">
        <v>10000</v>
      </c>
      <c r="K1132" s="3">
        <v>0</v>
      </c>
      <c r="L1132" s="3">
        <v>0</v>
      </c>
      <c r="M1132" s="3">
        <v>0</v>
      </c>
      <c r="N1132" s="5">
        <v>5000</v>
      </c>
      <c r="O1132" s="3">
        <v>0</v>
      </c>
      <c r="P1132" s="5">
        <v>5500</v>
      </c>
      <c r="Q1132" s="3">
        <v>0</v>
      </c>
      <c r="R1132" s="5">
        <v>20000</v>
      </c>
      <c r="S1132" s="3">
        <v>0</v>
      </c>
      <c r="T1132" s="3">
        <v>100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5">
        <v>2000</v>
      </c>
      <c r="AA1132" s="5">
        <v>16000</v>
      </c>
      <c r="AB1132" s="6">
        <v>58600</v>
      </c>
      <c r="AC1132" s="2" t="str">
        <f>VLOOKUP(F1132,'[1]Detailed Transfer Report (12)'!$L:$Y,12,FALSE)</f>
        <v>Irshad Beghum</v>
      </c>
      <c r="AD1132" s="2" t="str">
        <f>VLOOKUP(F1132,'[1]Detailed Transfer Report (12)'!$L:$Y,13,FALSE)</f>
        <v>Sardar Yasir Ilyas</v>
      </c>
      <c r="AE1132" s="16"/>
    </row>
    <row r="1133" spans="1:31" x14ac:dyDescent="0.25">
      <c r="A1133" s="9">
        <v>635</v>
      </c>
      <c r="B1133" s="4">
        <v>44876</v>
      </c>
      <c r="C1133" s="3" t="s">
        <v>1529</v>
      </c>
      <c r="D1133" s="3" t="s">
        <v>1528</v>
      </c>
      <c r="E1133" s="3">
        <v>591</v>
      </c>
      <c r="F1133" s="3">
        <v>25947</v>
      </c>
      <c r="G1133" s="3" t="s">
        <v>41</v>
      </c>
      <c r="H1133" s="3">
        <v>0</v>
      </c>
      <c r="I1133" s="3">
        <v>0</v>
      </c>
      <c r="J1133" s="5">
        <v>58000</v>
      </c>
      <c r="K1133" s="3">
        <v>0</v>
      </c>
      <c r="L1133" s="3">
        <v>0</v>
      </c>
      <c r="M1133" s="3">
        <v>0</v>
      </c>
      <c r="N1133" s="5">
        <v>29000</v>
      </c>
      <c r="O1133" s="3">
        <v>0</v>
      </c>
      <c r="P1133" s="5">
        <v>30000</v>
      </c>
      <c r="Q1133" s="3">
        <v>0</v>
      </c>
      <c r="R1133" s="5">
        <v>116000</v>
      </c>
      <c r="S1133" s="3">
        <v>0</v>
      </c>
      <c r="T1133" s="3">
        <v>100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5">
        <v>2000</v>
      </c>
      <c r="AA1133" s="5">
        <v>16000</v>
      </c>
      <c r="AB1133" s="6">
        <v>309700</v>
      </c>
      <c r="AD1133" s="2" t="str">
        <f>VLOOKUP(E1133,'[1]Detailed Transfer Report (12)'!$K:$Y,14,FALSE)</f>
        <v>Sardar Tanveer Ilyas</v>
      </c>
      <c r="AE1133" s="16"/>
    </row>
    <row r="1134" spans="1:31" x14ac:dyDescent="0.25">
      <c r="A1134" s="9">
        <v>635</v>
      </c>
      <c r="B1134" s="4">
        <v>44859</v>
      </c>
      <c r="C1134" s="3" t="s">
        <v>44</v>
      </c>
      <c r="D1134" s="3" t="s">
        <v>1527</v>
      </c>
      <c r="E1134" s="3">
        <v>598</v>
      </c>
      <c r="F1134" s="3">
        <v>27776</v>
      </c>
      <c r="G1134" s="3" t="s">
        <v>41</v>
      </c>
      <c r="H1134" s="3">
        <v>0</v>
      </c>
      <c r="I1134" s="3">
        <v>0</v>
      </c>
      <c r="J1134" s="5">
        <v>30000</v>
      </c>
      <c r="K1134" s="3">
        <v>0</v>
      </c>
      <c r="L1134" s="3">
        <v>0</v>
      </c>
      <c r="M1134" s="3">
        <v>0</v>
      </c>
      <c r="N1134" s="5">
        <v>15000</v>
      </c>
      <c r="O1134" s="3">
        <v>0</v>
      </c>
      <c r="P1134" s="5">
        <v>16000</v>
      </c>
      <c r="Q1134" s="3">
        <v>0</v>
      </c>
      <c r="R1134" s="5">
        <v>60000</v>
      </c>
      <c r="S1134" s="3">
        <v>0</v>
      </c>
      <c r="T1134" s="3">
        <v>100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5">
        <v>2000</v>
      </c>
      <c r="AA1134" s="5">
        <v>16000</v>
      </c>
      <c r="AB1134" s="6">
        <v>448800</v>
      </c>
      <c r="AC1134" s="2" t="str">
        <f>VLOOKUP(E1134,'[1]Detailed Transfer Report (12)'!$K:$Y,13,FALSE)</f>
        <v>Muhammad Khushnood</v>
      </c>
      <c r="AD1134" s="2" t="str">
        <f>VLOOKUP(E1134,'[1]Detailed Transfer Report (12)'!$K:$Y,14,FALSE)</f>
        <v>Sardar Yasir Ilyas</v>
      </c>
      <c r="AE1134" s="16">
        <f>VLOOKUP(E1134,'[1]Detailed Transfer Report (12)'!$K:$Y,15,FALSE)</f>
        <v>44883</v>
      </c>
    </row>
    <row r="1135" spans="1:31" ht="34.5" x14ac:dyDescent="0.25">
      <c r="A1135" s="9">
        <v>635</v>
      </c>
      <c r="B1135" s="4">
        <v>44873</v>
      </c>
      <c r="C1135" s="3" t="s">
        <v>507</v>
      </c>
      <c r="D1135" s="3" t="s">
        <v>822</v>
      </c>
      <c r="E1135" s="3" t="s">
        <v>1295</v>
      </c>
      <c r="F1135" s="3"/>
      <c r="G1135" s="3" t="s">
        <v>41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6">
        <v>448800</v>
      </c>
      <c r="AE1135" s="16"/>
    </row>
    <row r="1136" spans="1:31" x14ac:dyDescent="0.25">
      <c r="A1136" s="10">
        <v>635</v>
      </c>
      <c r="B1136" s="4">
        <v>44859</v>
      </c>
      <c r="C1136" s="3" t="s">
        <v>1530</v>
      </c>
      <c r="D1136" s="3" t="s">
        <v>1531</v>
      </c>
      <c r="E1136" s="3">
        <v>624</v>
      </c>
      <c r="F1136" s="3">
        <v>26142</v>
      </c>
      <c r="G1136" s="3" t="s">
        <v>41</v>
      </c>
      <c r="H1136" s="3">
        <v>0</v>
      </c>
      <c r="I1136" s="3">
        <v>0</v>
      </c>
      <c r="J1136" s="5">
        <v>80000</v>
      </c>
      <c r="K1136" s="3">
        <v>0</v>
      </c>
      <c r="L1136" s="3">
        <v>0</v>
      </c>
      <c r="M1136" s="3">
        <v>0</v>
      </c>
      <c r="N1136" s="5">
        <v>40000</v>
      </c>
      <c r="O1136" s="3">
        <v>0</v>
      </c>
      <c r="P1136" s="5">
        <v>81000</v>
      </c>
      <c r="Q1136" s="3">
        <v>0</v>
      </c>
      <c r="R1136" s="5">
        <v>160000</v>
      </c>
      <c r="S1136" s="3">
        <v>0</v>
      </c>
      <c r="T1136" s="3">
        <v>100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5">
        <v>2000</v>
      </c>
      <c r="AA1136" s="5">
        <v>40000</v>
      </c>
      <c r="AB1136" s="6">
        <v>851900</v>
      </c>
      <c r="AC1136" s="2" t="str">
        <f>VLOOKUP(E1136,'[1]Detailed Transfer Report (12)'!$K:$Y,13,FALSE)</f>
        <v>Ghulam Shabbir</v>
      </c>
      <c r="AD1136" s="2" t="str">
        <f>VLOOKUP(E1136,'[1]Detailed Transfer Report (12)'!$K:$Y,14,FALSE)</f>
        <v>Sardar Yasir Ilyas</v>
      </c>
      <c r="AE1136" s="16">
        <f>VLOOKUP(E1136,'[1]Detailed Transfer Report (12)'!$K:$Y,15,FALSE)</f>
        <v>44865</v>
      </c>
    </row>
    <row r="1137" spans="1:31" x14ac:dyDescent="0.25">
      <c r="A1137" s="7">
        <v>636</v>
      </c>
      <c r="B1137" s="4">
        <v>44859</v>
      </c>
      <c r="C1137" s="3" t="s">
        <v>44</v>
      </c>
      <c r="D1137" s="3" t="s">
        <v>1532</v>
      </c>
      <c r="E1137" s="3">
        <v>5355</v>
      </c>
      <c r="F1137" s="3">
        <v>24010</v>
      </c>
      <c r="G1137" s="3" t="s">
        <v>756</v>
      </c>
      <c r="H1137" s="3">
        <v>0</v>
      </c>
      <c r="I1137" s="3">
        <v>0</v>
      </c>
      <c r="J1137" s="5">
        <v>34000</v>
      </c>
      <c r="K1137" s="3">
        <v>0</v>
      </c>
      <c r="L1137" s="3">
        <v>0</v>
      </c>
      <c r="M1137" s="3">
        <v>0</v>
      </c>
      <c r="N1137" s="5">
        <v>17000</v>
      </c>
      <c r="O1137" s="3">
        <v>0</v>
      </c>
      <c r="P1137" s="5">
        <v>35000</v>
      </c>
      <c r="Q1137" s="3">
        <v>0</v>
      </c>
      <c r="R1137" s="5">
        <v>68000</v>
      </c>
      <c r="S1137" s="3">
        <v>0</v>
      </c>
      <c r="T1137" s="3">
        <v>100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5">
        <v>2000</v>
      </c>
      <c r="AA1137" s="5">
        <v>16000</v>
      </c>
      <c r="AB1137" s="6">
        <v>172100</v>
      </c>
      <c r="AC1137" s="2" t="str">
        <f>VLOOKUP(E1137,'[1]Detailed Transfer Report (12)'!$K:$Y,13,FALSE)</f>
        <v>Irshad Saddique</v>
      </c>
      <c r="AD1137" s="2" t="str">
        <f>VLOOKUP(E1137,'[1]Detailed Transfer Report (12)'!$K:$Y,14,FALSE)</f>
        <v>Sardar Yasir Ilyas</v>
      </c>
      <c r="AE1137" s="16">
        <f>VLOOKUP(E1137,'[1]Detailed Transfer Report (12)'!$K:$Y,15,FALSE)</f>
        <v>44844</v>
      </c>
    </row>
    <row r="1138" spans="1:31" x14ac:dyDescent="0.25">
      <c r="A1138" s="9">
        <v>636</v>
      </c>
      <c r="B1138" s="4">
        <v>44876</v>
      </c>
      <c r="C1138" s="3" t="s">
        <v>207</v>
      </c>
      <c r="D1138" s="3" t="s">
        <v>1533</v>
      </c>
      <c r="E1138" s="3">
        <v>5359</v>
      </c>
      <c r="F1138" s="3">
        <v>26101</v>
      </c>
      <c r="G1138" s="3" t="s">
        <v>756</v>
      </c>
      <c r="H1138" s="3">
        <v>0</v>
      </c>
      <c r="I1138" s="3">
        <v>0</v>
      </c>
      <c r="J1138" s="5">
        <v>150000</v>
      </c>
      <c r="K1138" s="3">
        <v>0</v>
      </c>
      <c r="L1138" s="3">
        <v>0</v>
      </c>
      <c r="M1138" s="3">
        <v>0</v>
      </c>
      <c r="N1138" s="5">
        <v>75000</v>
      </c>
      <c r="O1138" s="3">
        <v>0</v>
      </c>
      <c r="P1138" s="5">
        <v>76000</v>
      </c>
      <c r="Q1138" s="3">
        <v>0</v>
      </c>
      <c r="R1138" s="5">
        <v>300000</v>
      </c>
      <c r="S1138" s="3">
        <v>0</v>
      </c>
      <c r="T1138" s="3">
        <v>100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5">
        <v>2000</v>
      </c>
      <c r="AA1138" s="5">
        <v>75000</v>
      </c>
      <c r="AB1138" s="6">
        <v>850200</v>
      </c>
      <c r="AC1138" s="2" t="str">
        <f>VLOOKUP(E1138,'[1]Detailed Transfer Report (12)'!$K:$Y,13,FALSE)</f>
        <v>Raja yasir mehmood</v>
      </c>
      <c r="AD1138" s="2" t="str">
        <f>VLOOKUP(E1138,'[1]Detailed Transfer Report (12)'!$K:$Y,14,FALSE)</f>
        <v>Sardar Yasir Ilyas</v>
      </c>
      <c r="AE1138" s="16">
        <f>VLOOKUP(E1138,'[1]Detailed Transfer Report (12)'!$K:$Y,15,FALSE)</f>
        <v>44865</v>
      </c>
    </row>
    <row r="1139" spans="1:31" x14ac:dyDescent="0.25">
      <c r="A1139" s="10">
        <v>636</v>
      </c>
      <c r="B1139" s="4">
        <v>44831</v>
      </c>
      <c r="C1139" s="3" t="s">
        <v>323</v>
      </c>
      <c r="D1139" s="3" t="s">
        <v>1532</v>
      </c>
      <c r="E1139" s="3">
        <v>5412</v>
      </c>
      <c r="F1139" s="3">
        <v>24011</v>
      </c>
      <c r="G1139" s="3" t="s">
        <v>756</v>
      </c>
      <c r="H1139" s="3">
        <v>0</v>
      </c>
      <c r="I1139" s="3">
        <v>0</v>
      </c>
      <c r="J1139" s="5">
        <v>150000</v>
      </c>
      <c r="K1139" s="3">
        <v>0</v>
      </c>
      <c r="L1139" s="3">
        <v>0</v>
      </c>
      <c r="M1139" s="3">
        <v>0</v>
      </c>
      <c r="N1139" s="5">
        <v>75000</v>
      </c>
      <c r="O1139" s="3">
        <v>0</v>
      </c>
      <c r="P1139" s="5">
        <v>151000</v>
      </c>
      <c r="Q1139" s="3">
        <v>0</v>
      </c>
      <c r="R1139" s="5">
        <v>300000</v>
      </c>
      <c r="S1139" s="3">
        <v>0</v>
      </c>
      <c r="T1139" s="3">
        <v>100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5">
        <v>2000</v>
      </c>
      <c r="AA1139" s="5">
        <v>75000</v>
      </c>
      <c r="AB1139" s="6">
        <v>1603300</v>
      </c>
      <c r="AC1139" s="2" t="str">
        <f>VLOOKUP(E1139,'[1]Detailed Transfer Report (12)'!$K:$Y,13,FALSE)</f>
        <v>Rashida Bibi</v>
      </c>
      <c r="AD1139" s="2" t="str">
        <f>VLOOKUP(E1139,'[1]Detailed Transfer Report (12)'!$K:$Y,14,FALSE)</f>
        <v>Sardar Yasir Ilyas</v>
      </c>
      <c r="AE1139" s="16">
        <f>VLOOKUP(E1139,'[1]Detailed Transfer Report (12)'!$K:$Y,15,FALSE)</f>
        <v>44844</v>
      </c>
    </row>
    <row r="1140" spans="1:31" x14ac:dyDescent="0.25">
      <c r="A1140" s="7">
        <v>637</v>
      </c>
      <c r="B1140" s="4">
        <v>44838</v>
      </c>
      <c r="C1140" s="3" t="s">
        <v>427</v>
      </c>
      <c r="D1140" s="3" t="s">
        <v>1534</v>
      </c>
      <c r="E1140" s="3">
        <v>3920</v>
      </c>
      <c r="F1140" s="3">
        <v>23409</v>
      </c>
      <c r="G1140" s="3" t="s">
        <v>1179</v>
      </c>
      <c r="H1140" s="3">
        <v>0</v>
      </c>
      <c r="I1140" s="3">
        <v>0</v>
      </c>
      <c r="J1140" s="5">
        <v>58000</v>
      </c>
      <c r="K1140" s="3">
        <v>0</v>
      </c>
      <c r="L1140" s="3">
        <v>0</v>
      </c>
      <c r="M1140" s="3">
        <v>0</v>
      </c>
      <c r="N1140" s="5">
        <v>29000</v>
      </c>
      <c r="O1140" s="3">
        <v>0</v>
      </c>
      <c r="P1140" s="5">
        <v>59000</v>
      </c>
      <c r="Q1140" s="3">
        <v>0</v>
      </c>
      <c r="R1140" s="5">
        <v>116000</v>
      </c>
      <c r="S1140" s="5">
        <v>6000</v>
      </c>
      <c r="T1140" s="5">
        <v>1000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5">
        <v>2000</v>
      </c>
      <c r="AA1140" s="5">
        <v>16000</v>
      </c>
      <c r="AB1140" s="6">
        <v>287000</v>
      </c>
      <c r="AC1140" s="2" t="str">
        <f>VLOOKUP(E1140,'[1]Detailed Transfer Report (12)'!$K:$Y,13,FALSE)</f>
        <v>Saeed Jan</v>
      </c>
      <c r="AD1140" s="2" t="str">
        <f>VLOOKUP(E1140,'[1]Detailed Transfer Report (12)'!$K:$Y,14,FALSE)</f>
        <v>Sardar Yasir Ilyas</v>
      </c>
      <c r="AE1140" s="16">
        <f>VLOOKUP(E1140,'[1]Detailed Transfer Report (12)'!$K:$Y,15,FALSE)</f>
        <v>44838</v>
      </c>
    </row>
    <row r="1141" spans="1:31" x14ac:dyDescent="0.25">
      <c r="A1141" s="9">
        <v>637</v>
      </c>
      <c r="B1141" s="4">
        <v>44903</v>
      </c>
      <c r="C1141" s="3" t="s">
        <v>1535</v>
      </c>
      <c r="D1141" s="3" t="s">
        <v>1527</v>
      </c>
      <c r="E1141" s="3">
        <v>3949</v>
      </c>
      <c r="F1141" s="3">
        <v>28911</v>
      </c>
      <c r="G1141" s="3" t="s">
        <v>1179</v>
      </c>
      <c r="H1141" s="3">
        <v>0</v>
      </c>
      <c r="I1141" s="3">
        <v>0</v>
      </c>
      <c r="J1141" s="5">
        <v>114000</v>
      </c>
      <c r="K1141" s="3">
        <v>0</v>
      </c>
      <c r="L1141" s="3">
        <v>0</v>
      </c>
      <c r="M1141" s="3">
        <v>0</v>
      </c>
      <c r="N1141" s="5">
        <v>57000</v>
      </c>
      <c r="O1141" s="3">
        <v>0</v>
      </c>
      <c r="P1141" s="5">
        <v>165905</v>
      </c>
      <c r="Q1141" s="3">
        <v>0</v>
      </c>
      <c r="R1141" s="5">
        <v>228000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5">
        <v>2000</v>
      </c>
      <c r="Y1141" s="3">
        <v>0</v>
      </c>
      <c r="Z1141" s="5">
        <v>2000</v>
      </c>
      <c r="AA1141" s="5">
        <v>73000</v>
      </c>
      <c r="AB1141" s="6">
        <v>928905</v>
      </c>
      <c r="AC1141" s="2" t="str">
        <f>VLOOKUP(E1141,'[1]Detailed Transfer Report (12)'!$K:$Y,13,FALSE)</f>
        <v>Rashid Khan</v>
      </c>
      <c r="AD1141" s="2" t="str">
        <f>VLOOKUP(E1141,'[1]Detailed Transfer Report (12)'!$K:$Y,14,FALSE)</f>
        <v>Sardar Yasir Ilyas</v>
      </c>
      <c r="AE1141" s="16">
        <f>VLOOKUP(E1141,'[1]Detailed Transfer Report (12)'!$K:$Y,15,FALSE)</f>
        <v>44896</v>
      </c>
    </row>
    <row r="1142" spans="1:31" x14ac:dyDescent="0.25">
      <c r="A1142" s="9">
        <v>637</v>
      </c>
      <c r="B1142" s="4">
        <v>44838</v>
      </c>
      <c r="C1142" s="3" t="s">
        <v>44</v>
      </c>
      <c r="D1142" s="3" t="s">
        <v>1534</v>
      </c>
      <c r="E1142" s="3">
        <v>3923</v>
      </c>
      <c r="F1142" s="3">
        <v>23410</v>
      </c>
      <c r="G1142" s="3" t="s">
        <v>1179</v>
      </c>
      <c r="H1142" s="3">
        <v>0</v>
      </c>
      <c r="I1142" s="3">
        <v>0</v>
      </c>
      <c r="J1142" s="5">
        <v>50000</v>
      </c>
      <c r="K1142" s="3">
        <v>0</v>
      </c>
      <c r="L1142" s="3">
        <v>0</v>
      </c>
      <c r="M1142" s="3">
        <v>0</v>
      </c>
      <c r="N1142" s="5">
        <v>25000</v>
      </c>
      <c r="O1142" s="3">
        <v>0</v>
      </c>
      <c r="P1142" s="5">
        <v>51000</v>
      </c>
      <c r="Q1142" s="3">
        <v>0</v>
      </c>
      <c r="R1142" s="5">
        <v>100000</v>
      </c>
      <c r="S1142" s="5">
        <v>3500</v>
      </c>
      <c r="T1142" s="3">
        <v>0</v>
      </c>
      <c r="U1142" s="3">
        <v>0</v>
      </c>
      <c r="V1142" s="3">
        <v>0</v>
      </c>
      <c r="W1142" s="3">
        <v>0</v>
      </c>
      <c r="X1142" s="5">
        <v>1000</v>
      </c>
      <c r="Y1142" s="3">
        <v>0</v>
      </c>
      <c r="Z1142" s="5">
        <v>2000</v>
      </c>
      <c r="AA1142" s="5">
        <v>16000</v>
      </c>
      <c r="AB1142" s="6">
        <v>1177405</v>
      </c>
      <c r="AC1142" s="2" t="str">
        <f>VLOOKUP(E1142,'[1]Detailed Transfer Report (12)'!$K:$Y,13,FALSE)</f>
        <v>Adnan Afzal</v>
      </c>
      <c r="AD1142" s="2" t="str">
        <f>VLOOKUP(E1142,'[1]Detailed Transfer Report (12)'!$K:$Y,14,FALSE)</f>
        <v>Sardar Yasir Ilyas</v>
      </c>
      <c r="AE1142" s="16">
        <f>VLOOKUP(E1142,'[1]Detailed Transfer Report (12)'!$K:$Y,15,FALSE)</f>
        <v>44838</v>
      </c>
    </row>
    <row r="1143" spans="1:31" x14ac:dyDescent="0.25">
      <c r="A1143" s="10">
        <v>637</v>
      </c>
      <c r="B1143" s="4">
        <v>44876</v>
      </c>
      <c r="C1143" s="3" t="s">
        <v>504</v>
      </c>
      <c r="D1143" s="3" t="s">
        <v>1533</v>
      </c>
      <c r="E1143" s="3">
        <v>3919</v>
      </c>
      <c r="F1143" s="3">
        <v>25707</v>
      </c>
      <c r="G1143" s="3" t="s">
        <v>1179</v>
      </c>
      <c r="H1143" s="3">
        <v>0</v>
      </c>
      <c r="I1143" s="3">
        <v>0</v>
      </c>
      <c r="J1143" s="5">
        <v>28000</v>
      </c>
      <c r="K1143" s="3">
        <v>0</v>
      </c>
      <c r="L1143" s="3">
        <v>0</v>
      </c>
      <c r="M1143" s="3">
        <v>0</v>
      </c>
      <c r="N1143" s="5">
        <v>14000</v>
      </c>
      <c r="O1143" s="3">
        <v>0</v>
      </c>
      <c r="P1143" s="5">
        <v>15000</v>
      </c>
      <c r="Q1143" s="3">
        <v>0</v>
      </c>
      <c r="R1143" s="5">
        <v>56000</v>
      </c>
      <c r="S1143" s="5">
        <v>3500</v>
      </c>
      <c r="T1143" s="3">
        <v>0</v>
      </c>
      <c r="U1143" s="3">
        <v>0</v>
      </c>
      <c r="V1143" s="3">
        <v>0</v>
      </c>
      <c r="W1143" s="3">
        <v>0</v>
      </c>
      <c r="X1143" s="5">
        <v>1000</v>
      </c>
      <c r="Y1143" s="3">
        <v>0</v>
      </c>
      <c r="Z1143" s="5">
        <v>2000</v>
      </c>
      <c r="AA1143" s="5">
        <v>16000</v>
      </c>
      <c r="AB1143" s="6">
        <v>1312905</v>
      </c>
      <c r="AC1143" s="2" t="str">
        <f>VLOOKUP(E1143,'[1]Detailed Transfer Report (12)'!$K:$Y,13,FALSE)</f>
        <v>Nasreen Beghum</v>
      </c>
      <c r="AD1143" s="2" t="str">
        <f>VLOOKUP(E1143,'[1]Detailed Transfer Report (12)'!$K:$Y,14,FALSE)</f>
        <v>Sardar Yasir Ilyas</v>
      </c>
      <c r="AE1143" s="16">
        <f>VLOOKUP(E1143,'[1]Detailed Transfer Report (12)'!$K:$Y,15,FALSE)</f>
        <v>44861</v>
      </c>
    </row>
    <row r="1144" spans="1:31" x14ac:dyDescent="0.25">
      <c r="A1144" s="7">
        <v>638</v>
      </c>
      <c r="B1144" s="4">
        <v>44859</v>
      </c>
      <c r="C1144" s="3" t="s">
        <v>1536</v>
      </c>
      <c r="D1144" s="3" t="s">
        <v>1537</v>
      </c>
      <c r="E1144" s="3" t="s">
        <v>1538</v>
      </c>
      <c r="F1144" s="3">
        <v>23647</v>
      </c>
      <c r="G1144" s="3" t="s">
        <v>1469</v>
      </c>
      <c r="H1144" s="3">
        <v>0</v>
      </c>
      <c r="I1144" s="3">
        <v>0</v>
      </c>
      <c r="J1144" s="5">
        <v>900000</v>
      </c>
      <c r="K1144" s="3">
        <v>0</v>
      </c>
      <c r="L1144" s="3">
        <v>0</v>
      </c>
      <c r="M1144" s="3">
        <v>0</v>
      </c>
      <c r="N1144" s="5">
        <v>450000</v>
      </c>
      <c r="O1144" s="3">
        <v>0</v>
      </c>
      <c r="P1144" s="5">
        <v>451000</v>
      </c>
      <c r="Q1144" s="3">
        <v>0</v>
      </c>
      <c r="R1144" s="5">
        <v>1800000</v>
      </c>
      <c r="S1144" s="5">
        <v>98000</v>
      </c>
      <c r="T1144" s="3">
        <v>100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5">
        <v>2000</v>
      </c>
      <c r="AA1144" s="5">
        <v>450000</v>
      </c>
      <c r="AB1144" s="6">
        <v>4151100</v>
      </c>
      <c r="AC1144" s="2" t="str">
        <f>VLOOKUP(E1144,'[1]Detailed Transfer Report (12)'!$K:$Y,13,FALSE)</f>
        <v>Shazia Bibi</v>
      </c>
      <c r="AD1144" s="2" t="str">
        <f>VLOOKUP(E1144,'[1]Detailed Transfer Report (12)'!$K:$Y,14,FALSE)</f>
        <v>Sardar Yasir Ilyas</v>
      </c>
      <c r="AE1144" s="16">
        <f>VLOOKUP(E1144,'[1]Detailed Transfer Report (12)'!$K:$Y,15,FALSE)</f>
        <v>44840</v>
      </c>
    </row>
    <row r="1145" spans="1:31" x14ac:dyDescent="0.25">
      <c r="A1145" s="9">
        <v>638</v>
      </c>
      <c r="B1145" s="4">
        <v>45012</v>
      </c>
      <c r="C1145" s="3" t="s">
        <v>44</v>
      </c>
      <c r="D1145" s="3" t="s">
        <v>1539</v>
      </c>
      <c r="E1145" s="3">
        <v>135</v>
      </c>
      <c r="F1145" s="3">
        <v>10756</v>
      </c>
      <c r="G1145" s="3" t="s">
        <v>1469</v>
      </c>
      <c r="H1145" s="3">
        <v>0</v>
      </c>
      <c r="I1145" s="3">
        <v>0</v>
      </c>
      <c r="J1145" s="5">
        <v>64000</v>
      </c>
      <c r="K1145" s="3">
        <v>0</v>
      </c>
      <c r="L1145" s="3">
        <v>0</v>
      </c>
      <c r="M1145" s="3">
        <v>0</v>
      </c>
      <c r="N1145" s="5">
        <v>32000</v>
      </c>
      <c r="O1145" s="3">
        <v>0</v>
      </c>
      <c r="P1145" s="5">
        <v>33000</v>
      </c>
      <c r="Q1145" s="3">
        <v>0</v>
      </c>
      <c r="R1145" s="5">
        <v>128000</v>
      </c>
      <c r="S1145" s="5">
        <v>7000</v>
      </c>
      <c r="T1145" s="3">
        <v>100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5">
        <v>2000</v>
      </c>
      <c r="AA1145" s="5">
        <v>16000</v>
      </c>
      <c r="AB1145" s="6">
        <v>4433200</v>
      </c>
      <c r="AC1145" s="2" t="str">
        <f>VLOOKUP(E1145,'[1]Detailed Transfer Report (12)'!$K:$Y,13,FALSE)</f>
        <v>Raja Mehmood Sultan</v>
      </c>
      <c r="AD1145" s="2" t="str">
        <f>VLOOKUP(E1145,'[1]Detailed Transfer Report (12)'!$K:$Y,14,FALSE)</f>
        <v>Sardar Tanveer Ilyas</v>
      </c>
      <c r="AE1145" s="16">
        <f>VLOOKUP(E1145,'[1]Detailed Transfer Report (12)'!$K:$Y,15,FALSE)</f>
        <v>45027</v>
      </c>
    </row>
    <row r="1146" spans="1:31" x14ac:dyDescent="0.25">
      <c r="A1146" s="9">
        <v>638</v>
      </c>
      <c r="B1146" s="4">
        <v>45012</v>
      </c>
      <c r="C1146" s="3" t="s">
        <v>207</v>
      </c>
      <c r="D1146" s="3" t="s">
        <v>1539</v>
      </c>
      <c r="E1146" s="3">
        <v>125</v>
      </c>
      <c r="F1146" s="3">
        <v>11063</v>
      </c>
      <c r="G1146" s="3" t="s">
        <v>1469</v>
      </c>
      <c r="H1146" s="3">
        <v>0</v>
      </c>
      <c r="I1146" s="3">
        <v>0</v>
      </c>
      <c r="J1146" s="5">
        <v>1120000</v>
      </c>
      <c r="K1146" s="3">
        <v>0</v>
      </c>
      <c r="L1146" s="3">
        <v>0</v>
      </c>
      <c r="M1146" s="3">
        <v>0</v>
      </c>
      <c r="N1146" s="5">
        <v>160000</v>
      </c>
      <c r="O1146" s="3">
        <v>0</v>
      </c>
      <c r="P1146" s="5">
        <v>161000</v>
      </c>
      <c r="Q1146" s="3">
        <v>0</v>
      </c>
      <c r="R1146" s="5">
        <v>640000</v>
      </c>
      <c r="S1146" s="5">
        <v>35000</v>
      </c>
      <c r="T1146" s="3">
        <v>100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5">
        <v>2000</v>
      </c>
      <c r="AA1146" s="5">
        <v>160000</v>
      </c>
      <c r="AB1146" s="6">
        <v>6711300</v>
      </c>
      <c r="AC1146" s="2" t="str">
        <f>VLOOKUP(E1146,'[1]Detailed Transfer Report (12)'!$K:$Y,13,FALSE)</f>
        <v>Riffat Jabeen</v>
      </c>
      <c r="AD1146" s="2" t="str">
        <f>VLOOKUP(E1146,'[1]Detailed Transfer Report (12)'!$K:$Y,14,FALSE)</f>
        <v>Sardar Tanveer Ilyas</v>
      </c>
      <c r="AE1146" s="16">
        <f>VLOOKUP(E1146,'[1]Detailed Transfer Report (12)'!$K:$Y,15,FALSE)</f>
        <v>45030</v>
      </c>
    </row>
    <row r="1147" spans="1:31" x14ac:dyDescent="0.25">
      <c r="A1147" s="10">
        <v>638</v>
      </c>
      <c r="B1147" s="4">
        <v>45012</v>
      </c>
      <c r="C1147" s="3" t="s">
        <v>323</v>
      </c>
      <c r="D1147" s="3" t="s">
        <v>1539</v>
      </c>
      <c r="E1147" s="3">
        <v>123</v>
      </c>
      <c r="F1147" s="3">
        <v>11036</v>
      </c>
      <c r="G1147" s="3" t="s">
        <v>1469</v>
      </c>
      <c r="H1147" s="3">
        <v>0</v>
      </c>
      <c r="I1147" s="3">
        <v>0</v>
      </c>
      <c r="J1147" s="5">
        <v>910000</v>
      </c>
      <c r="K1147" s="3">
        <v>0</v>
      </c>
      <c r="L1147" s="3">
        <v>0</v>
      </c>
      <c r="M1147" s="3">
        <v>0</v>
      </c>
      <c r="N1147" s="5">
        <v>130000</v>
      </c>
      <c r="O1147" s="3">
        <v>0</v>
      </c>
      <c r="P1147" s="5">
        <v>131000</v>
      </c>
      <c r="Q1147" s="3">
        <v>0</v>
      </c>
      <c r="R1147" s="5">
        <v>520000</v>
      </c>
      <c r="S1147" s="5">
        <v>28000</v>
      </c>
      <c r="T1147" s="3">
        <v>100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5">
        <v>2000</v>
      </c>
      <c r="AA1147" s="5">
        <v>130000</v>
      </c>
      <c r="AB1147" s="6">
        <v>8562400</v>
      </c>
      <c r="AC1147" s="2" t="str">
        <f>VLOOKUP(E1147,'[1]Detailed Transfer Report (12)'!$K:$Y,13,FALSE)</f>
        <v>Muhammad Sabir</v>
      </c>
      <c r="AD1147" s="2" t="str">
        <f>VLOOKUP(E1147,'[1]Detailed Transfer Report (12)'!$K:$Y,14,FALSE)</f>
        <v>Sardar Tanveer Ilyas</v>
      </c>
      <c r="AE1147" s="16">
        <f>VLOOKUP(E1147,'[1]Detailed Transfer Report (12)'!$K:$Y,15,FALSE)</f>
        <v>45306</v>
      </c>
    </row>
    <row r="1148" spans="1:31" x14ac:dyDescent="0.25">
      <c r="A1148" s="7">
        <v>639</v>
      </c>
      <c r="B1148" s="4">
        <v>44852</v>
      </c>
      <c r="C1148" s="3" t="s">
        <v>1540</v>
      </c>
      <c r="D1148" s="3" t="s">
        <v>1533</v>
      </c>
      <c r="E1148" s="3">
        <v>592</v>
      </c>
      <c r="F1148" s="3">
        <v>25620</v>
      </c>
      <c r="G1148" s="3" t="s">
        <v>41</v>
      </c>
      <c r="H1148" s="3">
        <v>0</v>
      </c>
      <c r="I1148" s="3">
        <v>0</v>
      </c>
      <c r="J1148" s="5">
        <v>50000</v>
      </c>
      <c r="K1148" s="3">
        <v>0</v>
      </c>
      <c r="L1148" s="3">
        <v>0</v>
      </c>
      <c r="M1148" s="3">
        <v>0</v>
      </c>
      <c r="N1148" s="5">
        <v>25000</v>
      </c>
      <c r="O1148" s="3">
        <v>0</v>
      </c>
      <c r="P1148" s="5">
        <v>26000</v>
      </c>
      <c r="Q1148" s="3">
        <v>0</v>
      </c>
      <c r="R1148" s="5">
        <v>100000</v>
      </c>
      <c r="S1148" s="3">
        <v>0</v>
      </c>
      <c r="T1148" s="3">
        <v>100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5">
        <v>2000</v>
      </c>
      <c r="AA1148" s="5">
        <v>16000</v>
      </c>
      <c r="AB1148" s="6">
        <v>219100</v>
      </c>
      <c r="AC1148" s="2" t="str">
        <f>VLOOKUP(E1148,'[1]Detailed Transfer Report (12)'!$K:$Y,13,FALSE)</f>
        <v>Muhammad Shabbir</v>
      </c>
      <c r="AD1148" s="2" t="str">
        <f>VLOOKUP(E1148,'[1]Detailed Transfer Report (12)'!$K:$Y,14,FALSE)</f>
        <v>Sardar Yasir Ilyas</v>
      </c>
      <c r="AE1148" s="16">
        <f>VLOOKUP(E1148,'[1]Detailed Transfer Report (12)'!$K:$Y,15,FALSE)</f>
        <v>44860</v>
      </c>
    </row>
    <row r="1149" spans="1:31" x14ac:dyDescent="0.25">
      <c r="A1149" s="9">
        <v>639</v>
      </c>
      <c r="B1149" s="4">
        <v>44903</v>
      </c>
      <c r="C1149" s="3" t="s">
        <v>125</v>
      </c>
      <c r="D1149" s="3" t="s">
        <v>1541</v>
      </c>
      <c r="E1149" s="3">
        <v>622</v>
      </c>
      <c r="F1149" s="3">
        <v>29391</v>
      </c>
      <c r="G1149" s="3" t="s">
        <v>41</v>
      </c>
      <c r="H1149" s="3">
        <v>0</v>
      </c>
      <c r="I1149" s="3">
        <v>0</v>
      </c>
      <c r="J1149" s="5">
        <v>10000</v>
      </c>
      <c r="K1149" s="3">
        <v>0</v>
      </c>
      <c r="L1149" s="3">
        <v>0</v>
      </c>
      <c r="M1149" s="3">
        <v>0</v>
      </c>
      <c r="N1149" s="5">
        <v>5000</v>
      </c>
      <c r="O1149" s="3">
        <v>0</v>
      </c>
      <c r="P1149" s="5">
        <v>5500</v>
      </c>
      <c r="Q1149" s="3">
        <v>0</v>
      </c>
      <c r="R1149" s="5">
        <v>20000</v>
      </c>
      <c r="S1149" s="3">
        <v>0</v>
      </c>
      <c r="T1149" s="3">
        <v>100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5">
        <v>2000</v>
      </c>
      <c r="AA1149" s="5">
        <v>16000</v>
      </c>
      <c r="AB1149" s="6">
        <v>277700</v>
      </c>
      <c r="AC1149" s="2" t="str">
        <f>VLOOKUP(E1149,'[1]Detailed Transfer Report (12)'!$K:$Y,13,FALSE)</f>
        <v>Muhammad Irfan Sabir</v>
      </c>
      <c r="AD1149" s="2" t="str">
        <f>VLOOKUP(E1149,'[1]Detailed Transfer Report (12)'!$K:$Y,14,FALSE)</f>
        <v>Sardar Yasir Ilyas</v>
      </c>
      <c r="AE1149" s="16">
        <f>VLOOKUP(E1149,'[1]Detailed Transfer Report (12)'!$K:$Y,15,FALSE)</f>
        <v>44901</v>
      </c>
    </row>
    <row r="1150" spans="1:31" x14ac:dyDescent="0.25">
      <c r="A1150" s="9">
        <v>639</v>
      </c>
      <c r="B1150" s="4">
        <v>44903</v>
      </c>
      <c r="C1150" s="3" t="s">
        <v>273</v>
      </c>
      <c r="D1150" s="3" t="s">
        <v>1542</v>
      </c>
      <c r="E1150" s="3">
        <v>757</v>
      </c>
      <c r="F1150" s="3">
        <v>15943</v>
      </c>
      <c r="G1150" s="3" t="s">
        <v>41</v>
      </c>
      <c r="H1150" s="3">
        <v>0</v>
      </c>
      <c r="I1150" s="3">
        <v>0</v>
      </c>
      <c r="J1150" s="5">
        <v>105000</v>
      </c>
      <c r="K1150" s="3">
        <v>0</v>
      </c>
      <c r="L1150" s="3">
        <v>0</v>
      </c>
      <c r="M1150" s="3">
        <v>0</v>
      </c>
      <c r="N1150" s="5">
        <v>15000</v>
      </c>
      <c r="O1150" s="3">
        <v>0</v>
      </c>
      <c r="P1150" s="5">
        <v>16000</v>
      </c>
      <c r="Q1150" s="3">
        <v>0</v>
      </c>
      <c r="R1150" s="5">
        <v>60000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5">
        <v>1100</v>
      </c>
      <c r="Y1150" s="3">
        <v>0</v>
      </c>
      <c r="Z1150" s="5">
        <v>2000</v>
      </c>
      <c r="AA1150" s="5">
        <v>16000</v>
      </c>
      <c r="AB1150" s="6">
        <v>492800</v>
      </c>
      <c r="AC1150" s="2" t="str">
        <f>VLOOKUP(E1150,'[1]Detailed Transfer Report (12)'!$K:$Y,13,FALSE)</f>
        <v>Nazak Khan</v>
      </c>
      <c r="AD1150" s="2" t="str">
        <f>VLOOKUP(E1150,'[1]Detailed Transfer Report (12)'!$K:$Y,14,FALSE)</f>
        <v>Sardar Tanveer Ilyas</v>
      </c>
      <c r="AE1150" s="16">
        <f>VLOOKUP(E1150,'[1]Detailed Transfer Report (12)'!$K:$Y,15,FALSE)</f>
        <v>45815</v>
      </c>
    </row>
    <row r="1151" spans="1:31" x14ac:dyDescent="0.25">
      <c r="A1151" s="9">
        <v>639</v>
      </c>
      <c r="B1151" s="4">
        <v>45012</v>
      </c>
      <c r="C1151" s="3" t="s">
        <v>1364</v>
      </c>
      <c r="D1151" s="3" t="s">
        <v>1543</v>
      </c>
      <c r="E1151" s="3">
        <v>656</v>
      </c>
      <c r="F1151" s="3">
        <v>10661</v>
      </c>
      <c r="G1151" s="3" t="s">
        <v>41</v>
      </c>
      <c r="H1151" s="5">
        <v>1000</v>
      </c>
      <c r="I1151" s="3">
        <v>0</v>
      </c>
      <c r="J1151" s="5">
        <v>10500</v>
      </c>
      <c r="K1151" s="3">
        <v>0</v>
      </c>
      <c r="L1151" s="3">
        <v>0</v>
      </c>
      <c r="M1151" s="3">
        <v>0</v>
      </c>
      <c r="N1151" s="5">
        <v>1500</v>
      </c>
      <c r="O1151" s="3">
        <v>0</v>
      </c>
      <c r="P1151" s="5">
        <v>2000</v>
      </c>
      <c r="Q1151" s="3">
        <v>0</v>
      </c>
      <c r="R1151" s="3">
        <v>0</v>
      </c>
      <c r="S1151" s="3">
        <v>0</v>
      </c>
      <c r="T1151" s="3">
        <v>100</v>
      </c>
      <c r="U1151" s="3">
        <v>0</v>
      </c>
      <c r="V1151" s="3">
        <v>0</v>
      </c>
      <c r="W1151" s="3">
        <v>0</v>
      </c>
      <c r="X1151" s="5">
        <v>6000</v>
      </c>
      <c r="Y1151" s="3">
        <v>0</v>
      </c>
      <c r="Z1151" s="5">
        <v>2000</v>
      </c>
      <c r="AA1151" s="5">
        <v>16000</v>
      </c>
      <c r="AB1151" s="6">
        <v>531900</v>
      </c>
      <c r="AC1151" s="2" t="str">
        <f>VLOOKUP(E1151,'[1]Detailed Transfer Report (12)'!$K:$Y,13,FALSE)</f>
        <v>Muhammad Imran</v>
      </c>
      <c r="AD1151" s="2" t="str">
        <f>VLOOKUP(E1151,'[1]Detailed Transfer Report (12)'!$K:$Y,14,FALSE)</f>
        <v>Sardar Tanveer Ilyas</v>
      </c>
      <c r="AE1151" s="16">
        <f>VLOOKUP(E1151,'[1]Detailed Transfer Report (12)'!$K:$Y,15,FALSE)</f>
        <v>45026</v>
      </c>
    </row>
    <row r="1152" spans="1:31" x14ac:dyDescent="0.25">
      <c r="A1152" s="9">
        <v>639</v>
      </c>
      <c r="B1152" s="4">
        <v>44985</v>
      </c>
      <c r="C1152" s="3" t="s">
        <v>827</v>
      </c>
      <c r="D1152" s="3" t="s">
        <v>1544</v>
      </c>
      <c r="E1152" s="3">
        <v>654</v>
      </c>
      <c r="F1152" s="3">
        <v>7981</v>
      </c>
      <c r="G1152" s="3" t="s">
        <v>41</v>
      </c>
      <c r="H1152" s="3">
        <v>0</v>
      </c>
      <c r="I1152" s="3">
        <v>0</v>
      </c>
      <c r="J1152" s="5">
        <v>30000</v>
      </c>
      <c r="K1152" s="3">
        <v>0</v>
      </c>
      <c r="L1152" s="3">
        <v>0</v>
      </c>
      <c r="M1152" s="3">
        <v>0</v>
      </c>
      <c r="N1152" s="5">
        <v>15000</v>
      </c>
      <c r="O1152" s="3">
        <v>0</v>
      </c>
      <c r="P1152" s="5">
        <v>16000</v>
      </c>
      <c r="Q1152" s="3">
        <v>0</v>
      </c>
      <c r="R1152" s="5">
        <v>60000</v>
      </c>
      <c r="S1152" s="5">
        <v>7000</v>
      </c>
      <c r="T1152" s="3">
        <v>100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5">
        <v>2000</v>
      </c>
      <c r="AA1152" s="5">
        <v>16000</v>
      </c>
      <c r="AB1152" s="6">
        <v>678000</v>
      </c>
      <c r="AC1152" s="2" t="str">
        <f>VLOOKUP(E1152,'[1]Detailed Transfer Report (12)'!$K:$Y,13,FALSE)</f>
        <v>Muhammad Nawaz</v>
      </c>
      <c r="AD1152" s="2" t="str">
        <f>VLOOKUP(E1152,'[1]Detailed Transfer Report (12)'!$K:$Y,14,FALSE)</f>
        <v>Taj Residencia</v>
      </c>
      <c r="AE1152" s="16">
        <f>VLOOKUP(E1152,'[1]Detailed Transfer Report (12)'!$K:$Y,15,FALSE)</f>
        <v>45000</v>
      </c>
    </row>
    <row r="1153" spans="1:31" x14ac:dyDescent="0.25">
      <c r="A1153" s="9">
        <v>639</v>
      </c>
      <c r="B1153" s="4">
        <v>44966</v>
      </c>
      <c r="C1153" s="3" t="s">
        <v>604</v>
      </c>
      <c r="D1153" s="3" t="s">
        <v>1545</v>
      </c>
      <c r="E1153" s="3">
        <v>643</v>
      </c>
      <c r="F1153" s="3">
        <v>4341</v>
      </c>
      <c r="G1153" s="3" t="s">
        <v>41</v>
      </c>
      <c r="H1153" s="3">
        <v>0</v>
      </c>
      <c r="I1153" s="3">
        <v>0</v>
      </c>
      <c r="J1153" s="5">
        <v>40000</v>
      </c>
      <c r="K1153" s="3">
        <v>0</v>
      </c>
      <c r="L1153" s="3">
        <v>0</v>
      </c>
      <c r="M1153" s="3">
        <v>0</v>
      </c>
      <c r="N1153" s="5">
        <v>20000</v>
      </c>
      <c r="O1153" s="3">
        <v>0</v>
      </c>
      <c r="P1153" s="5">
        <v>21000</v>
      </c>
      <c r="Q1153" s="3">
        <v>0</v>
      </c>
      <c r="R1153" s="5">
        <v>80000</v>
      </c>
      <c r="S1153" s="5">
        <v>10000</v>
      </c>
      <c r="T1153" s="3">
        <v>100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5">
        <v>2000</v>
      </c>
      <c r="AA1153" s="5">
        <v>16000</v>
      </c>
      <c r="AB1153" s="6">
        <v>867100</v>
      </c>
      <c r="AC1153" s="2" t="str">
        <f>VLOOKUP(E1153,'[1]Detailed Transfer Report (12)'!$K:$Y,13,FALSE)</f>
        <v>Jhangir Khan</v>
      </c>
      <c r="AD1153" s="2" t="str">
        <f>VLOOKUP(E1153,'[1]Detailed Transfer Report (12)'!$K:$Y,14,FALSE)</f>
        <v>Sardar Rashid Ilyas Khan</v>
      </c>
      <c r="AE1153" s="16">
        <f>VLOOKUP(E1153,'[1]Detailed Transfer Report (12)'!$K:$Y,15,FALSE)</f>
        <v>44968</v>
      </c>
    </row>
    <row r="1154" spans="1:31" x14ac:dyDescent="0.25">
      <c r="A1154" s="9">
        <v>639</v>
      </c>
      <c r="B1154" s="4">
        <v>45064</v>
      </c>
      <c r="C1154" s="3" t="s">
        <v>137</v>
      </c>
      <c r="D1154" s="3" t="s">
        <v>1546</v>
      </c>
      <c r="E1154" s="3">
        <v>741</v>
      </c>
      <c r="F1154" s="3">
        <v>11498</v>
      </c>
      <c r="G1154" s="3" t="s">
        <v>41</v>
      </c>
      <c r="H1154" s="3">
        <v>0</v>
      </c>
      <c r="I1154" s="3">
        <v>0</v>
      </c>
      <c r="J1154" s="5">
        <v>56000</v>
      </c>
      <c r="K1154" s="3">
        <v>0</v>
      </c>
      <c r="L1154" s="3">
        <v>0</v>
      </c>
      <c r="M1154" s="3">
        <v>0</v>
      </c>
      <c r="N1154" s="5">
        <v>8000</v>
      </c>
      <c r="O1154" s="3">
        <v>0</v>
      </c>
      <c r="P1154" s="5">
        <v>9000</v>
      </c>
      <c r="Q1154" s="3">
        <v>0</v>
      </c>
      <c r="R1154" s="5">
        <v>32000</v>
      </c>
      <c r="S1154" s="3">
        <v>0</v>
      </c>
      <c r="T1154" s="3">
        <v>100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5">
        <v>2000</v>
      </c>
      <c r="AA1154" s="5">
        <v>16000</v>
      </c>
      <c r="AB1154" s="6">
        <v>990200</v>
      </c>
      <c r="AD1154" s="2" t="str">
        <f>VLOOKUP(E1154,'[1]Detailed Transfer Report (12)'!$K:$Y,14,FALSE)</f>
        <v>Sardar M Sagheer Khan</v>
      </c>
      <c r="AE1154" s="16"/>
    </row>
    <row r="1155" spans="1:31" x14ac:dyDescent="0.25">
      <c r="A1155" s="9">
        <v>639</v>
      </c>
      <c r="B1155" s="4">
        <v>44938</v>
      </c>
      <c r="C1155" s="3" t="s">
        <v>153</v>
      </c>
      <c r="D1155" s="3" t="s">
        <v>1547</v>
      </c>
      <c r="E1155" s="3">
        <v>599</v>
      </c>
      <c r="F1155" s="3">
        <v>30510</v>
      </c>
      <c r="G1155" s="3" t="s">
        <v>41</v>
      </c>
      <c r="H1155" s="3">
        <v>0</v>
      </c>
      <c r="I1155" s="3">
        <v>0</v>
      </c>
      <c r="J1155" s="5">
        <v>9000</v>
      </c>
      <c r="K1155" s="3">
        <v>0</v>
      </c>
      <c r="L1155" s="3">
        <v>0</v>
      </c>
      <c r="M1155" s="3">
        <v>0</v>
      </c>
      <c r="N1155" s="5">
        <v>4500</v>
      </c>
      <c r="O1155" s="3">
        <v>0</v>
      </c>
      <c r="P1155" s="5">
        <v>5000</v>
      </c>
      <c r="Q1155" s="3">
        <v>0</v>
      </c>
      <c r="R1155" s="5">
        <v>18000</v>
      </c>
      <c r="S1155" s="5">
        <v>2500</v>
      </c>
      <c r="T1155" s="3">
        <v>100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5">
        <v>2000</v>
      </c>
      <c r="AA1155" s="5">
        <v>16000</v>
      </c>
      <c r="AB1155" s="6">
        <v>1047300</v>
      </c>
      <c r="AC1155" s="2" t="str">
        <f>VLOOKUP(E1155,'[1]Detailed Transfer Report (12)'!$K:$Y,13,FALSE)</f>
        <v>Muhammad Munir Khan</v>
      </c>
      <c r="AD1155" s="2" t="str">
        <f>VLOOKUP(E1155,'[1]Detailed Transfer Report (12)'!$K:$Y,14,FALSE)</f>
        <v>Sardar Yasir Ilyas</v>
      </c>
      <c r="AE1155" s="16">
        <f>VLOOKUP(E1155,'[1]Detailed Transfer Report (12)'!$K:$Y,15,FALSE)</f>
        <v>44912</v>
      </c>
    </row>
    <row r="1156" spans="1:31" x14ac:dyDescent="0.25">
      <c r="A1156" s="9">
        <v>639</v>
      </c>
      <c r="B1156" s="4">
        <v>44903</v>
      </c>
      <c r="C1156" s="3" t="s">
        <v>1185</v>
      </c>
      <c r="D1156" s="3" t="s">
        <v>1541</v>
      </c>
      <c r="E1156" s="3">
        <v>604</v>
      </c>
      <c r="F1156" s="3">
        <v>29390</v>
      </c>
      <c r="G1156" s="3" t="s">
        <v>41</v>
      </c>
      <c r="H1156" s="3">
        <v>0</v>
      </c>
      <c r="I1156" s="3">
        <v>0</v>
      </c>
      <c r="J1156" s="5">
        <v>28000</v>
      </c>
      <c r="K1156" s="3">
        <v>0</v>
      </c>
      <c r="L1156" s="3">
        <v>0</v>
      </c>
      <c r="M1156" s="3">
        <v>0</v>
      </c>
      <c r="N1156" s="5">
        <v>14000</v>
      </c>
      <c r="O1156" s="3">
        <v>0</v>
      </c>
      <c r="P1156" s="5">
        <v>15000</v>
      </c>
      <c r="Q1156" s="3">
        <v>0</v>
      </c>
      <c r="R1156" s="5">
        <v>56000</v>
      </c>
      <c r="S1156" s="5">
        <v>7000</v>
      </c>
      <c r="T1156" s="3">
        <v>100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5">
        <v>2000</v>
      </c>
      <c r="AA1156" s="5">
        <v>16000</v>
      </c>
      <c r="AB1156" s="6">
        <v>1185400</v>
      </c>
      <c r="AC1156" s="2" t="str">
        <f>VLOOKUP(E1156,'[1]Detailed Transfer Report (12)'!$K:$Y,13,FALSE)</f>
        <v>Rehana Beghum</v>
      </c>
      <c r="AD1156" s="2" t="str">
        <f>VLOOKUP(E1156,'[1]Detailed Transfer Report (12)'!$K:$Y,14,FALSE)</f>
        <v>Sardar Yasir Ilyas</v>
      </c>
      <c r="AE1156" s="16">
        <f>VLOOKUP(E1156,'[1]Detailed Transfer Report (12)'!$K:$Y,15,FALSE)</f>
        <v>44901</v>
      </c>
    </row>
    <row r="1157" spans="1:31" x14ac:dyDescent="0.25">
      <c r="A1157" s="9">
        <v>639</v>
      </c>
      <c r="B1157" s="4">
        <v>45012</v>
      </c>
      <c r="C1157" s="3" t="s">
        <v>1548</v>
      </c>
      <c r="D1157" s="3" t="s">
        <v>1543</v>
      </c>
      <c r="E1157" s="3">
        <v>657</v>
      </c>
      <c r="F1157" s="3">
        <v>10662</v>
      </c>
      <c r="G1157" s="3" t="s">
        <v>41</v>
      </c>
      <c r="H1157" s="3">
        <v>0</v>
      </c>
      <c r="I1157" s="3">
        <v>0</v>
      </c>
      <c r="J1157" s="5">
        <v>276000</v>
      </c>
      <c r="K1157" s="3">
        <v>0</v>
      </c>
      <c r="L1157" s="3">
        <v>0</v>
      </c>
      <c r="M1157" s="3">
        <v>0</v>
      </c>
      <c r="N1157" s="5">
        <v>23000</v>
      </c>
      <c r="O1157" s="3">
        <v>0</v>
      </c>
      <c r="P1157" s="5">
        <v>24000</v>
      </c>
      <c r="Q1157" s="3">
        <v>0</v>
      </c>
      <c r="R1157" s="5">
        <v>92000</v>
      </c>
      <c r="S1157" s="5">
        <v>12000</v>
      </c>
      <c r="T1157" s="3">
        <v>100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5">
        <v>2000</v>
      </c>
      <c r="AA1157" s="5">
        <v>16000</v>
      </c>
      <c r="AB1157" s="6">
        <v>1630500</v>
      </c>
      <c r="AC1157" s="2" t="str">
        <f>VLOOKUP(E1157,'[1]Detailed Transfer Report (12)'!$K:$Y,13,FALSE)</f>
        <v>Nargis Bibi</v>
      </c>
      <c r="AD1157" s="2" t="str">
        <f>VLOOKUP(E1157,'[1]Detailed Transfer Report (12)'!$K:$Y,14,FALSE)</f>
        <v>Sardar Tanveer Ilyas</v>
      </c>
      <c r="AE1157" s="16">
        <f>VLOOKUP(E1157,'[1]Detailed Transfer Report (12)'!$K:$Y,15,FALSE)</f>
        <v>45026</v>
      </c>
    </row>
    <row r="1158" spans="1:31" x14ac:dyDescent="0.25">
      <c r="A1158" s="10">
        <v>639</v>
      </c>
      <c r="B1158" s="4">
        <v>44970</v>
      </c>
      <c r="C1158" s="3" t="s">
        <v>1067</v>
      </c>
      <c r="D1158" s="3" t="s">
        <v>1549</v>
      </c>
      <c r="E1158" s="3">
        <v>685</v>
      </c>
      <c r="F1158" s="3">
        <v>4616</v>
      </c>
      <c r="G1158" s="3" t="s">
        <v>41</v>
      </c>
      <c r="H1158" s="3">
        <v>0</v>
      </c>
      <c r="I1158" s="3">
        <v>0</v>
      </c>
      <c r="J1158" s="5">
        <v>9000</v>
      </c>
      <c r="K1158" s="3">
        <v>0</v>
      </c>
      <c r="L1158" s="3">
        <v>0</v>
      </c>
      <c r="M1158" s="3">
        <v>0</v>
      </c>
      <c r="N1158" s="5">
        <v>4500</v>
      </c>
      <c r="O1158" s="3">
        <v>0</v>
      </c>
      <c r="P1158" s="5">
        <v>5000</v>
      </c>
      <c r="Q1158" s="3">
        <v>0</v>
      </c>
      <c r="R1158" s="5">
        <v>18000</v>
      </c>
      <c r="S1158" s="5">
        <v>2500</v>
      </c>
      <c r="T1158" s="3">
        <v>100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5">
        <v>2000</v>
      </c>
      <c r="AA1158" s="5">
        <v>16000</v>
      </c>
      <c r="AB1158" s="6">
        <v>1687600</v>
      </c>
      <c r="AC1158" s="2" t="str">
        <f>VLOOKUP(E1158,'[1]Detailed Transfer Report (12)'!$K:$Y,13,FALSE)</f>
        <v>Abida Bibi</v>
      </c>
      <c r="AD1158" s="2" t="str">
        <f>VLOOKUP(E1158,'[1]Detailed Transfer Report (12)'!$K:$Y,14,FALSE)</f>
        <v>Sardar Rashid Ilyas Khan</v>
      </c>
      <c r="AE1158" s="16">
        <f>VLOOKUP(E1158,'[1]Detailed Transfer Report (12)'!$K:$Y,15,FALSE)</f>
        <v>44971</v>
      </c>
    </row>
    <row r="1159" spans="1:31" x14ac:dyDescent="0.25">
      <c r="A1159" s="3">
        <v>640</v>
      </c>
      <c r="B1159" s="4">
        <v>44852</v>
      </c>
      <c r="C1159" s="3" t="s">
        <v>153</v>
      </c>
      <c r="D1159" s="3" t="s">
        <v>1550</v>
      </c>
      <c r="E1159" s="3">
        <v>4471</v>
      </c>
      <c r="F1159" s="3">
        <v>26079</v>
      </c>
      <c r="G1159" s="3" t="s">
        <v>30</v>
      </c>
      <c r="H1159" s="3">
        <v>0</v>
      </c>
      <c r="I1159" s="3">
        <v>0</v>
      </c>
      <c r="J1159" s="5">
        <v>8000</v>
      </c>
      <c r="K1159" s="3">
        <v>0</v>
      </c>
      <c r="L1159" s="3">
        <v>0</v>
      </c>
      <c r="M1159" s="3">
        <v>0</v>
      </c>
      <c r="N1159" s="5">
        <v>4000</v>
      </c>
      <c r="O1159" s="3">
        <v>0</v>
      </c>
      <c r="P1159" s="5">
        <v>8500</v>
      </c>
      <c r="Q1159" s="3">
        <v>0</v>
      </c>
      <c r="R1159" s="5">
        <v>16000</v>
      </c>
      <c r="S1159" s="3">
        <v>0</v>
      </c>
      <c r="T1159" s="3">
        <v>100</v>
      </c>
      <c r="U1159" s="3">
        <v>0</v>
      </c>
      <c r="V1159" s="5">
        <v>50000</v>
      </c>
      <c r="W1159" s="3">
        <v>0</v>
      </c>
      <c r="X1159" s="3">
        <v>0</v>
      </c>
      <c r="Y1159" s="3">
        <v>0</v>
      </c>
      <c r="Z1159" s="5">
        <v>2000</v>
      </c>
      <c r="AA1159" s="5">
        <v>16000</v>
      </c>
      <c r="AB1159" s="6">
        <v>104600</v>
      </c>
      <c r="AC1159" s="2" t="str">
        <f>VLOOKUP(E1159,'[1]Detailed Transfer Report (12)'!$K:$Y,13,FALSE)</f>
        <v>Irshad Beghum</v>
      </c>
      <c r="AD1159" s="2" t="str">
        <f>VLOOKUP(E1159,'[1]Detailed Transfer Report (12)'!$K:$Y,14,FALSE)</f>
        <v>Sardar Yasir Ilyas</v>
      </c>
      <c r="AE1159" s="16">
        <f>VLOOKUP(E1159,'[1]Detailed Transfer Report (12)'!$K:$Y,15,FALSE)</f>
        <v>44865</v>
      </c>
    </row>
    <row r="1160" spans="1:31" x14ac:dyDescent="0.25">
      <c r="A1160" s="3">
        <v>641</v>
      </c>
      <c r="B1160" s="4">
        <v>44859</v>
      </c>
      <c r="C1160" s="3" t="s">
        <v>44</v>
      </c>
      <c r="D1160" s="3" t="s">
        <v>1537</v>
      </c>
      <c r="E1160" s="3">
        <v>5361</v>
      </c>
      <c r="F1160" s="3">
        <v>23574</v>
      </c>
      <c r="G1160" s="3" t="s">
        <v>756</v>
      </c>
      <c r="H1160" s="3">
        <v>0</v>
      </c>
      <c r="I1160" s="3">
        <v>0</v>
      </c>
      <c r="J1160" s="5">
        <v>34000</v>
      </c>
      <c r="K1160" s="3">
        <v>0</v>
      </c>
      <c r="L1160" s="3">
        <v>0</v>
      </c>
      <c r="M1160" s="3">
        <v>0</v>
      </c>
      <c r="N1160" s="5">
        <v>17000</v>
      </c>
      <c r="O1160" s="3">
        <v>0</v>
      </c>
      <c r="P1160" s="5">
        <v>18000</v>
      </c>
      <c r="Q1160" s="3">
        <v>0</v>
      </c>
      <c r="R1160" s="5">
        <v>68000</v>
      </c>
      <c r="S1160" s="3">
        <v>0</v>
      </c>
      <c r="T1160" s="3">
        <v>100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5">
        <v>2000</v>
      </c>
      <c r="AA1160" s="5">
        <v>16000</v>
      </c>
      <c r="AB1160" s="6">
        <v>155100</v>
      </c>
      <c r="AD1160" s="2" t="str">
        <f>VLOOKUP(E1160,'[1]Detailed Transfer Report (12)'!$K:$Y,14,FALSE)</f>
        <v>Sardar M Sagheer Khan</v>
      </c>
      <c r="AE1160" s="16"/>
    </row>
    <row r="1161" spans="1:31" x14ac:dyDescent="0.25">
      <c r="A1161" s="3">
        <v>642</v>
      </c>
      <c r="B1161" s="4">
        <v>44880</v>
      </c>
      <c r="C1161" s="3" t="s">
        <v>1159</v>
      </c>
      <c r="D1161" s="3" t="s">
        <v>1541</v>
      </c>
      <c r="E1161" s="3">
        <v>651</v>
      </c>
      <c r="F1161" s="3">
        <v>29334</v>
      </c>
      <c r="G1161" s="3" t="s">
        <v>41</v>
      </c>
      <c r="H1161" s="3">
        <v>0</v>
      </c>
      <c r="I1161" s="3">
        <v>0</v>
      </c>
      <c r="J1161" s="5">
        <v>450000</v>
      </c>
      <c r="K1161" s="3">
        <v>0</v>
      </c>
      <c r="L1161" s="3">
        <v>0</v>
      </c>
      <c r="M1161" s="3">
        <v>0</v>
      </c>
      <c r="N1161" s="5">
        <v>225000</v>
      </c>
      <c r="O1161" s="5">
        <v>180000</v>
      </c>
      <c r="P1161" s="5">
        <v>226000</v>
      </c>
      <c r="Q1161" s="3">
        <v>0</v>
      </c>
      <c r="R1161" s="5">
        <v>900000</v>
      </c>
      <c r="S1161" s="3">
        <v>0</v>
      </c>
      <c r="T1161" s="3">
        <v>100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5">
        <v>2000</v>
      </c>
      <c r="AA1161" s="5">
        <v>225000</v>
      </c>
      <c r="AB1161" s="6">
        <v>2208100</v>
      </c>
      <c r="AC1161" s="2" t="str">
        <f>VLOOKUP(E1161,'[1]Detailed Transfer Report (12)'!$K:$Y,13,FALSE)</f>
        <v>Munir Khan</v>
      </c>
      <c r="AD1161" s="2" t="str">
        <f>VLOOKUP(E1161,'[1]Detailed Transfer Report (12)'!$K:$Y,14,FALSE)</f>
        <v>Sardar Yasir Ilyas</v>
      </c>
      <c r="AE1161" s="16">
        <f>VLOOKUP(E1161,'[1]Detailed Transfer Report (12)'!$K:$Y,15,FALSE)</f>
        <v>44901</v>
      </c>
    </row>
    <row r="1162" spans="1:31" x14ac:dyDescent="0.25">
      <c r="A1162" s="7">
        <v>643</v>
      </c>
      <c r="B1162" s="4">
        <v>44903</v>
      </c>
      <c r="C1162" s="3" t="s">
        <v>44</v>
      </c>
      <c r="D1162" s="3" t="s">
        <v>1551</v>
      </c>
      <c r="E1162" s="3">
        <v>4690</v>
      </c>
      <c r="F1162" s="3">
        <v>29175</v>
      </c>
      <c r="G1162" s="3" t="s">
        <v>30</v>
      </c>
      <c r="H1162" s="3">
        <v>0</v>
      </c>
      <c r="I1162" s="3">
        <v>0</v>
      </c>
      <c r="J1162" s="5">
        <v>30000</v>
      </c>
      <c r="K1162" s="3">
        <v>0</v>
      </c>
      <c r="L1162" s="3">
        <v>0</v>
      </c>
      <c r="M1162" s="3">
        <v>0</v>
      </c>
      <c r="N1162" s="5">
        <v>15000</v>
      </c>
      <c r="O1162" s="3">
        <v>0</v>
      </c>
      <c r="P1162" s="5">
        <v>16000</v>
      </c>
      <c r="Q1162" s="3">
        <v>0</v>
      </c>
      <c r="R1162" s="5">
        <v>60000</v>
      </c>
      <c r="S1162" s="3">
        <v>0</v>
      </c>
      <c r="T1162" s="3">
        <v>100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5">
        <v>2000</v>
      </c>
      <c r="AA1162" s="5">
        <v>16000</v>
      </c>
      <c r="AB1162" s="6">
        <v>139100</v>
      </c>
      <c r="AC1162" s="2" t="str">
        <f>VLOOKUP(E1162,'[1]Detailed Transfer Report (12)'!$K:$Y,13,FALSE)</f>
        <v>Waseem Akhtar</v>
      </c>
      <c r="AD1162" s="2" t="str">
        <f>VLOOKUP(E1162,'[1]Detailed Transfer Report (12)'!$K:$Y,14,FALSE)</f>
        <v>Sardar Yasir Ilyas</v>
      </c>
      <c r="AE1162" s="16">
        <f>VLOOKUP(E1162,'[1]Detailed Transfer Report (12)'!$K:$Y,15,FALSE)</f>
        <v>44898</v>
      </c>
    </row>
    <row r="1163" spans="1:31" x14ac:dyDescent="0.25">
      <c r="A1163" s="9">
        <v>643</v>
      </c>
      <c r="B1163" s="4">
        <v>44903</v>
      </c>
      <c r="C1163" s="3" t="s">
        <v>1552</v>
      </c>
      <c r="D1163" s="3" t="s">
        <v>1551</v>
      </c>
      <c r="E1163" s="3">
        <v>4702</v>
      </c>
      <c r="F1163" s="3">
        <v>29101</v>
      </c>
      <c r="G1163" s="3" t="s">
        <v>30</v>
      </c>
      <c r="H1163" s="3">
        <v>0</v>
      </c>
      <c r="I1163" s="3">
        <v>0</v>
      </c>
      <c r="J1163" s="5">
        <v>450000</v>
      </c>
      <c r="K1163" s="3">
        <v>0</v>
      </c>
      <c r="L1163" s="3">
        <v>0</v>
      </c>
      <c r="M1163" s="3">
        <v>0</v>
      </c>
      <c r="N1163" s="5">
        <v>225000</v>
      </c>
      <c r="O1163" s="3">
        <v>0</v>
      </c>
      <c r="P1163" s="5">
        <v>226000</v>
      </c>
      <c r="Q1163" s="3">
        <v>0</v>
      </c>
      <c r="R1163" s="5">
        <v>900000</v>
      </c>
      <c r="S1163" s="3">
        <v>0</v>
      </c>
      <c r="T1163" s="3">
        <v>100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5">
        <v>2000</v>
      </c>
      <c r="AA1163" s="5">
        <v>225000</v>
      </c>
      <c r="AB1163" s="6">
        <v>2167200</v>
      </c>
      <c r="AC1163" s="2" t="str">
        <f>VLOOKUP(E1163,'[1]Detailed Transfer Report (12)'!$K:$Y,13,FALSE)</f>
        <v>Muhammad Sajid</v>
      </c>
      <c r="AD1163" s="2" t="str">
        <f>VLOOKUP(E1163,'[1]Detailed Transfer Report (12)'!$K:$Y,14,FALSE)</f>
        <v>Sardar Yasir Ilyas</v>
      </c>
      <c r="AE1163" s="16">
        <f>VLOOKUP(E1163,'[1]Detailed Transfer Report (12)'!$K:$Y,15,FALSE)</f>
        <v>44898</v>
      </c>
    </row>
    <row r="1164" spans="1:31" x14ac:dyDescent="0.25">
      <c r="A1164" s="10">
        <v>643</v>
      </c>
      <c r="B1164" s="4">
        <v>44903</v>
      </c>
      <c r="C1164" s="3" t="s">
        <v>1553</v>
      </c>
      <c r="D1164" s="3" t="s">
        <v>1551</v>
      </c>
      <c r="E1164" s="3">
        <v>4586</v>
      </c>
      <c r="F1164" s="3">
        <v>29100</v>
      </c>
      <c r="G1164" s="3" t="s">
        <v>30</v>
      </c>
      <c r="H1164" s="3">
        <v>0</v>
      </c>
      <c r="I1164" s="3">
        <v>0</v>
      </c>
      <c r="J1164" s="5">
        <v>130000</v>
      </c>
      <c r="K1164" s="3">
        <v>0</v>
      </c>
      <c r="L1164" s="3">
        <v>0</v>
      </c>
      <c r="M1164" s="3">
        <v>0</v>
      </c>
      <c r="N1164" s="5">
        <v>65000</v>
      </c>
      <c r="O1164" s="3">
        <v>0</v>
      </c>
      <c r="P1164" s="5">
        <v>66000</v>
      </c>
      <c r="Q1164" s="3">
        <v>0</v>
      </c>
      <c r="R1164" s="5">
        <v>260000</v>
      </c>
      <c r="S1164" s="3">
        <v>0</v>
      </c>
      <c r="T1164" s="3">
        <v>100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5">
        <v>2000</v>
      </c>
      <c r="AA1164" s="5">
        <v>65000</v>
      </c>
      <c r="AB1164" s="6">
        <v>2755300</v>
      </c>
      <c r="AC1164" s="2" t="str">
        <f>VLOOKUP(E1164,'[1]Detailed Transfer Report (12)'!$K:$Y,13,FALSE)</f>
        <v>Nazim Ellahi</v>
      </c>
      <c r="AD1164" s="2" t="str">
        <f>VLOOKUP(E1164,'[1]Detailed Transfer Report (12)'!$K:$Y,14,FALSE)</f>
        <v>Sardar Yasir Ilyas</v>
      </c>
      <c r="AE1164" s="16">
        <f>VLOOKUP(E1164,'[1]Detailed Transfer Report (12)'!$K:$Y,15,FALSE)</f>
        <v>44898</v>
      </c>
    </row>
    <row r="1165" spans="1:31" x14ac:dyDescent="0.25">
      <c r="A1165" s="3">
        <v>644</v>
      </c>
      <c r="B1165" s="4">
        <v>44903</v>
      </c>
      <c r="C1165" s="3" t="s">
        <v>344</v>
      </c>
      <c r="D1165" s="3" t="s">
        <v>1554</v>
      </c>
      <c r="E1165" s="3">
        <v>3948</v>
      </c>
      <c r="F1165" s="3">
        <v>28186</v>
      </c>
      <c r="G1165" s="3" t="s">
        <v>1179</v>
      </c>
      <c r="H1165" s="3">
        <v>0</v>
      </c>
      <c r="I1165" s="3">
        <v>0</v>
      </c>
      <c r="J1165" s="5">
        <v>62000</v>
      </c>
      <c r="K1165" s="3">
        <v>0</v>
      </c>
      <c r="L1165" s="3">
        <v>0</v>
      </c>
      <c r="M1165" s="3">
        <v>0</v>
      </c>
      <c r="N1165" s="5">
        <v>31000</v>
      </c>
      <c r="O1165" s="3">
        <v>0</v>
      </c>
      <c r="P1165" s="5">
        <v>32000</v>
      </c>
      <c r="Q1165" s="3">
        <v>0</v>
      </c>
      <c r="R1165" s="5">
        <v>124000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5">
        <v>1000</v>
      </c>
      <c r="Y1165" s="3">
        <v>0</v>
      </c>
      <c r="Z1165" s="5">
        <v>2000</v>
      </c>
      <c r="AA1165" s="5">
        <v>16000</v>
      </c>
      <c r="AB1165" s="6">
        <v>268000</v>
      </c>
      <c r="AC1165" s="2" t="str">
        <f>VLOOKUP(E1165,'[1]Detailed Transfer Report (12)'!$K:$Y,13,FALSE)</f>
        <v>Muhammad Riasat</v>
      </c>
      <c r="AD1165" s="2" t="str">
        <f>VLOOKUP(E1165,'[1]Detailed Transfer Report (12)'!$K:$Y,14,FALSE)</f>
        <v>Sardar Yasir Ilyas</v>
      </c>
      <c r="AE1165" s="16">
        <f>VLOOKUP(E1165,'[1]Detailed Transfer Report (12)'!$K:$Y,15,FALSE)</f>
        <v>44888</v>
      </c>
    </row>
    <row r="1166" spans="1:31" x14ac:dyDescent="0.25">
      <c r="A1166" s="3">
        <v>645</v>
      </c>
      <c r="B1166" s="4">
        <v>44923</v>
      </c>
      <c r="C1166" s="3" t="s">
        <v>308</v>
      </c>
      <c r="D1166" s="3" t="s">
        <v>1555</v>
      </c>
      <c r="E1166" s="3">
        <v>5441</v>
      </c>
      <c r="F1166" s="3">
        <v>28907</v>
      </c>
      <c r="G1166" s="3" t="s">
        <v>756</v>
      </c>
      <c r="H1166" s="3">
        <v>0</v>
      </c>
      <c r="I1166" s="3">
        <v>0</v>
      </c>
      <c r="J1166" s="5">
        <v>14000</v>
      </c>
      <c r="K1166" s="3">
        <v>0</v>
      </c>
      <c r="L1166" s="3">
        <v>0</v>
      </c>
      <c r="M1166" s="3">
        <v>0</v>
      </c>
      <c r="N1166" s="5">
        <v>7000</v>
      </c>
      <c r="O1166" s="3">
        <v>0</v>
      </c>
      <c r="P1166" s="5">
        <v>8000</v>
      </c>
      <c r="Q1166" s="3">
        <v>0</v>
      </c>
      <c r="R1166" s="5">
        <v>28000</v>
      </c>
      <c r="S1166" s="5">
        <v>3500</v>
      </c>
      <c r="T1166" s="3">
        <v>100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5">
        <v>2000</v>
      </c>
      <c r="AA1166" s="5">
        <v>16000</v>
      </c>
      <c r="AB1166" s="6">
        <v>78600</v>
      </c>
      <c r="AC1166" s="2" t="str">
        <f>VLOOKUP(E1166,'[1]Detailed Transfer Report (12)'!$K:$Y,13,FALSE)</f>
        <v>Zahid Shah</v>
      </c>
      <c r="AD1166" s="2" t="str">
        <f>VLOOKUP(E1166,'[1]Detailed Transfer Report (12)'!$K:$Y,14,FALSE)</f>
        <v>Sardar Yasir Ilyas</v>
      </c>
      <c r="AE1166" s="16">
        <f>VLOOKUP(E1166,'[1]Detailed Transfer Report (12)'!$K:$Y,15,FALSE)</f>
        <v>44896</v>
      </c>
    </row>
    <row r="1167" spans="1:31" x14ac:dyDescent="0.25">
      <c r="A1167" s="7">
        <v>646</v>
      </c>
      <c r="B1167" s="4">
        <v>44923</v>
      </c>
      <c r="C1167" s="3" t="s">
        <v>153</v>
      </c>
      <c r="D1167" s="3" t="s">
        <v>1555</v>
      </c>
      <c r="E1167" s="3">
        <v>5411</v>
      </c>
      <c r="F1167" s="3">
        <v>28908</v>
      </c>
      <c r="G1167" s="3" t="s">
        <v>756</v>
      </c>
      <c r="H1167" s="3">
        <v>0</v>
      </c>
      <c r="I1167" s="3">
        <v>0</v>
      </c>
      <c r="J1167" s="5">
        <v>10000</v>
      </c>
      <c r="K1167" s="3">
        <v>0</v>
      </c>
      <c r="L1167" s="3">
        <v>0</v>
      </c>
      <c r="M1167" s="3">
        <v>0</v>
      </c>
      <c r="N1167" s="5">
        <v>5000</v>
      </c>
      <c r="O1167" s="3">
        <v>0</v>
      </c>
      <c r="P1167" s="5">
        <v>5500</v>
      </c>
      <c r="Q1167" s="3">
        <v>0</v>
      </c>
      <c r="R1167" s="5">
        <v>20000</v>
      </c>
      <c r="S1167" s="3">
        <v>0</v>
      </c>
      <c r="T1167" s="3">
        <v>100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5">
        <v>2000</v>
      </c>
      <c r="AA1167" s="5">
        <v>16000</v>
      </c>
      <c r="AB1167" s="6">
        <v>58600</v>
      </c>
      <c r="AC1167" s="2" t="str">
        <f>VLOOKUP(E1167,'[1]Detailed Transfer Report (12)'!$K:$Y,13,FALSE)</f>
        <v>Asad Ullah</v>
      </c>
      <c r="AD1167" s="2" t="str">
        <f>VLOOKUP(E1167,'[1]Detailed Transfer Report (12)'!$K:$Y,14,FALSE)</f>
        <v>Sardar Yasir Ilyas</v>
      </c>
      <c r="AE1167" s="16">
        <f>VLOOKUP(E1167,'[1]Detailed Transfer Report (12)'!$K:$Y,15,FALSE)</f>
        <v>44896</v>
      </c>
    </row>
    <row r="1168" spans="1:31" x14ac:dyDescent="0.25">
      <c r="A1168" s="9">
        <v>646</v>
      </c>
      <c r="B1168" s="4">
        <v>44896</v>
      </c>
      <c r="C1168" s="3" t="s">
        <v>153</v>
      </c>
      <c r="D1168" s="3" t="s">
        <v>1554</v>
      </c>
      <c r="E1168" s="3">
        <v>5442</v>
      </c>
      <c r="F1168" s="3">
        <v>29017</v>
      </c>
      <c r="G1168" s="3" t="s">
        <v>756</v>
      </c>
      <c r="H1168" s="3">
        <v>0</v>
      </c>
      <c r="I1168" s="3">
        <v>0</v>
      </c>
      <c r="J1168" s="5">
        <v>10000</v>
      </c>
      <c r="K1168" s="3">
        <v>0</v>
      </c>
      <c r="L1168" s="3">
        <v>0</v>
      </c>
      <c r="M1168" s="3">
        <v>0</v>
      </c>
      <c r="N1168" s="5">
        <v>5000</v>
      </c>
      <c r="O1168" s="3">
        <v>0</v>
      </c>
      <c r="P1168" s="5">
        <v>5500</v>
      </c>
      <c r="Q1168" s="3">
        <v>0</v>
      </c>
      <c r="R1168" s="5">
        <v>20000</v>
      </c>
      <c r="S1168" s="5">
        <v>2500</v>
      </c>
      <c r="T1168" s="3">
        <v>100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5">
        <v>2000</v>
      </c>
      <c r="AA1168" s="5">
        <v>16000</v>
      </c>
      <c r="AB1168" s="6">
        <v>119700</v>
      </c>
      <c r="AC1168" s="2" t="str">
        <f>VLOOKUP(E1168,'[1]Detailed Transfer Report (12)'!$K:$Y,13,FALSE)</f>
        <v>Abdul Sattar</v>
      </c>
      <c r="AD1168" s="2" t="str">
        <f>VLOOKUP(E1168,'[1]Detailed Transfer Report (12)'!$K:$Y,14,FALSE)</f>
        <v>Sardar Yasir Ilyas</v>
      </c>
      <c r="AE1168" s="16">
        <f>VLOOKUP(E1168,'[1]Detailed Transfer Report (12)'!$K:$Y,15,FALSE)</f>
        <v>44897</v>
      </c>
    </row>
    <row r="1169" spans="1:31" x14ac:dyDescent="0.25">
      <c r="A1169" s="10">
        <v>646</v>
      </c>
      <c r="B1169" s="4">
        <v>44901</v>
      </c>
      <c r="C1169" s="3" t="s">
        <v>137</v>
      </c>
      <c r="D1169" s="3" t="s">
        <v>1554</v>
      </c>
      <c r="E1169" s="3">
        <v>5444</v>
      </c>
      <c r="F1169" s="3">
        <v>31644</v>
      </c>
      <c r="G1169" s="3" t="s">
        <v>756</v>
      </c>
      <c r="H1169" s="3">
        <v>0</v>
      </c>
      <c r="I1169" s="3">
        <v>0</v>
      </c>
      <c r="J1169" s="5">
        <v>20000</v>
      </c>
      <c r="K1169" s="3">
        <v>0</v>
      </c>
      <c r="L1169" s="3">
        <v>0</v>
      </c>
      <c r="M1169" s="3">
        <v>0</v>
      </c>
      <c r="N1169" s="5">
        <v>10000</v>
      </c>
      <c r="O1169" s="3">
        <v>0</v>
      </c>
      <c r="P1169" s="5">
        <v>11000</v>
      </c>
      <c r="Q1169" s="3">
        <v>0</v>
      </c>
      <c r="R1169" s="5">
        <v>40000</v>
      </c>
      <c r="S1169" s="5">
        <v>5000</v>
      </c>
      <c r="T1169" s="3">
        <v>100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5">
        <v>2000</v>
      </c>
      <c r="AA1169" s="5">
        <v>16000</v>
      </c>
      <c r="AB1169" s="6">
        <v>223800</v>
      </c>
      <c r="AC1169" s="2" t="str">
        <f>VLOOKUP(E1169,'[1]Detailed Transfer Report (12)'!$K:$Y,13,FALSE)</f>
        <v>M yousaf</v>
      </c>
      <c r="AD1169" s="2" t="str">
        <f>VLOOKUP(E1169,'[1]Detailed Transfer Report (12)'!$K:$Y,14,FALSE)</f>
        <v>Sardar Yasir Ilyas</v>
      </c>
      <c r="AE1169" s="16">
        <f>VLOOKUP(E1169,'[1]Detailed Transfer Report (12)'!$K:$Y,15,FALSE)</f>
        <v>44923</v>
      </c>
    </row>
    <row r="1170" spans="1:31" x14ac:dyDescent="0.25">
      <c r="A1170" s="7">
        <v>647</v>
      </c>
      <c r="B1170" s="4">
        <v>44923</v>
      </c>
      <c r="C1170" s="3" t="s">
        <v>1206</v>
      </c>
      <c r="D1170" s="3" t="s">
        <v>1555</v>
      </c>
      <c r="E1170" s="3">
        <v>5443</v>
      </c>
      <c r="F1170" s="3">
        <v>29571</v>
      </c>
      <c r="G1170" s="3" t="s">
        <v>756</v>
      </c>
      <c r="H1170" s="3">
        <v>0</v>
      </c>
      <c r="I1170" s="3">
        <v>0</v>
      </c>
      <c r="J1170" s="5">
        <v>30000</v>
      </c>
      <c r="K1170" s="3">
        <v>0</v>
      </c>
      <c r="L1170" s="3">
        <v>0</v>
      </c>
      <c r="M1170" s="3">
        <v>0</v>
      </c>
      <c r="N1170" s="5">
        <v>15000</v>
      </c>
      <c r="O1170" s="3">
        <v>0</v>
      </c>
      <c r="P1170" s="5">
        <v>16000</v>
      </c>
      <c r="Q1170" s="3">
        <v>0</v>
      </c>
      <c r="R1170" s="5">
        <v>60000</v>
      </c>
      <c r="S1170" s="3">
        <v>0</v>
      </c>
      <c r="T1170" s="3">
        <v>100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5">
        <v>2000</v>
      </c>
      <c r="AA1170" s="5">
        <v>16000</v>
      </c>
      <c r="AB1170" s="6">
        <v>139100</v>
      </c>
      <c r="AC1170" s="2" t="str">
        <f>VLOOKUP(E1170,'[1]Detailed Transfer Report (12)'!$K:$Y,13,FALSE)</f>
        <v>Ajmal Mehmood</v>
      </c>
      <c r="AD1170" s="2" t="str">
        <f>VLOOKUP(E1170,'[1]Detailed Transfer Report (12)'!$K:$Y,14,FALSE)</f>
        <v>Sardar Yasir Ilyas</v>
      </c>
      <c r="AE1170" s="16">
        <f>VLOOKUP(E1170,'[1]Detailed Transfer Report (12)'!$K:$Y,15,FALSE)</f>
        <v>44903</v>
      </c>
    </row>
    <row r="1171" spans="1:31" x14ac:dyDescent="0.25">
      <c r="A1171" s="9">
        <v>647</v>
      </c>
      <c r="B1171" s="4">
        <v>44966</v>
      </c>
      <c r="C1171" s="3" t="s">
        <v>44</v>
      </c>
      <c r="D1171" s="3" t="s">
        <v>1556</v>
      </c>
      <c r="E1171" s="3">
        <v>5493</v>
      </c>
      <c r="F1171" s="3">
        <v>4374</v>
      </c>
      <c r="G1171" s="3" t="s">
        <v>756</v>
      </c>
      <c r="H1171" s="3">
        <v>0</v>
      </c>
      <c r="I1171" s="3">
        <v>0</v>
      </c>
      <c r="J1171" s="5">
        <v>40000</v>
      </c>
      <c r="K1171" s="3">
        <v>0</v>
      </c>
      <c r="L1171" s="3">
        <v>0</v>
      </c>
      <c r="M1171" s="3">
        <v>0</v>
      </c>
      <c r="N1171" s="5">
        <v>20000</v>
      </c>
      <c r="O1171" s="3">
        <v>0</v>
      </c>
      <c r="P1171" s="5">
        <v>21000</v>
      </c>
      <c r="Q1171" s="3">
        <v>0</v>
      </c>
      <c r="R1171" s="5">
        <v>80000</v>
      </c>
      <c r="S1171" s="5">
        <v>7000</v>
      </c>
      <c r="T1171" s="3">
        <v>100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5">
        <v>2000</v>
      </c>
      <c r="AA1171" s="5">
        <v>16000</v>
      </c>
      <c r="AB1171" s="6">
        <v>325200</v>
      </c>
      <c r="AC1171" s="2" t="str">
        <f>VLOOKUP(E1171,'[1]Detailed Transfer Report (12)'!$K:$Y,13,FALSE)</f>
        <v>Muhammad Shahid</v>
      </c>
      <c r="AD1171" s="2" t="str">
        <f>VLOOKUP(E1171,'[1]Detailed Transfer Report (12)'!$K:$Y,14,FALSE)</f>
        <v>Sardar Rashid Ilyas Khan</v>
      </c>
      <c r="AE1171" s="16">
        <f>VLOOKUP(E1171,'[1]Detailed Transfer Report (12)'!$K:$Y,15,FALSE)</f>
        <v>44968</v>
      </c>
    </row>
    <row r="1172" spans="1:31" x14ac:dyDescent="0.25">
      <c r="A1172" s="9">
        <v>647</v>
      </c>
      <c r="B1172" s="4">
        <v>44935</v>
      </c>
      <c r="C1172" s="3" t="s">
        <v>44</v>
      </c>
      <c r="D1172" s="3" t="s">
        <v>1557</v>
      </c>
      <c r="E1172" s="3"/>
      <c r="F1172" s="3">
        <v>29898</v>
      </c>
      <c r="G1172" s="3" t="s">
        <v>756</v>
      </c>
      <c r="H1172" s="3">
        <v>0</v>
      </c>
      <c r="I1172" s="3">
        <v>0</v>
      </c>
      <c r="J1172" s="5">
        <v>40000</v>
      </c>
      <c r="K1172" s="3">
        <v>0</v>
      </c>
      <c r="L1172" s="3">
        <v>0</v>
      </c>
      <c r="M1172" s="3">
        <v>0</v>
      </c>
      <c r="N1172" s="5">
        <v>20000</v>
      </c>
      <c r="O1172" s="3">
        <v>0</v>
      </c>
      <c r="P1172" s="5">
        <v>21000</v>
      </c>
      <c r="Q1172" s="3">
        <v>0</v>
      </c>
      <c r="R1172" s="5">
        <v>80000</v>
      </c>
      <c r="S1172" s="5">
        <v>7000</v>
      </c>
      <c r="T1172" s="3">
        <v>100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5">
        <v>2000</v>
      </c>
      <c r="AA1172" s="5">
        <v>16000</v>
      </c>
      <c r="AB1172" s="6">
        <v>511300</v>
      </c>
      <c r="AC1172" s="2" t="str">
        <f>VLOOKUP(F1172,'[1]Detailed Transfer Report (12)'!$L:$Y,12,FALSE)</f>
        <v>Muhammad Saleem</v>
      </c>
      <c r="AD1172" s="2" t="str">
        <f>VLOOKUP(F1172,'[1]Detailed Transfer Report (12)'!$L:$Y,13,FALSE)</f>
        <v>Sardar Yasir Ilyas</v>
      </c>
      <c r="AE1172" s="16"/>
    </row>
    <row r="1173" spans="1:31" x14ac:dyDescent="0.25">
      <c r="A1173" s="9">
        <v>647</v>
      </c>
      <c r="B1173" s="4">
        <v>44979</v>
      </c>
      <c r="C1173" s="3" t="s">
        <v>311</v>
      </c>
      <c r="D1173" s="3" t="s">
        <v>1544</v>
      </c>
      <c r="E1173" s="3">
        <v>5729</v>
      </c>
      <c r="F1173" s="3">
        <v>6429</v>
      </c>
      <c r="G1173" s="3" t="s">
        <v>756</v>
      </c>
      <c r="H1173" s="3">
        <v>0</v>
      </c>
      <c r="I1173" s="3">
        <v>0</v>
      </c>
      <c r="J1173" s="5">
        <v>35000</v>
      </c>
      <c r="K1173" s="3">
        <v>0</v>
      </c>
      <c r="L1173" s="3">
        <v>0</v>
      </c>
      <c r="M1173" s="3">
        <v>0</v>
      </c>
      <c r="N1173" s="5">
        <v>5000</v>
      </c>
      <c r="O1173" s="3">
        <v>0</v>
      </c>
      <c r="P1173" s="5">
        <v>5500</v>
      </c>
      <c r="Q1173" s="3">
        <v>0</v>
      </c>
      <c r="R1173" s="5">
        <v>20000</v>
      </c>
      <c r="S1173" s="5">
        <v>2500</v>
      </c>
      <c r="T1173" s="3">
        <v>100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5">
        <v>2000</v>
      </c>
      <c r="AA1173" s="5">
        <v>16000</v>
      </c>
      <c r="AB1173" s="6">
        <v>597400</v>
      </c>
      <c r="AC1173" s="2" t="str">
        <f>VLOOKUP(E1173,'[1]Detailed Transfer Report (12)'!$K:$Y,13,FALSE)</f>
        <v>Amna Bibi</v>
      </c>
      <c r="AD1173" s="2" t="str">
        <f>VLOOKUP(E1173,'[1]Detailed Transfer Report (12)'!$K:$Y,14,FALSE)</f>
        <v>Sardar Rashid Ilyas Khan</v>
      </c>
      <c r="AE1173" s="16">
        <f>VLOOKUP(E1173,'[1]Detailed Transfer Report (12)'!$K:$Y,15,FALSE)</f>
        <v>44986</v>
      </c>
    </row>
    <row r="1174" spans="1:31" x14ac:dyDescent="0.25">
      <c r="A1174" s="9">
        <v>647</v>
      </c>
      <c r="B1174" s="4">
        <v>44966</v>
      </c>
      <c r="C1174" s="3" t="s">
        <v>581</v>
      </c>
      <c r="D1174" s="3" t="s">
        <v>1556</v>
      </c>
      <c r="E1174" s="3">
        <v>5494</v>
      </c>
      <c r="F1174" s="3">
        <v>4576</v>
      </c>
      <c r="G1174" s="3" t="s">
        <v>756</v>
      </c>
      <c r="H1174" s="3">
        <v>0</v>
      </c>
      <c r="I1174" s="3">
        <v>0</v>
      </c>
      <c r="J1174" s="5">
        <v>20000</v>
      </c>
      <c r="K1174" s="3">
        <v>0</v>
      </c>
      <c r="L1174" s="3">
        <v>0</v>
      </c>
      <c r="M1174" s="3">
        <v>0</v>
      </c>
      <c r="N1174" s="5">
        <v>10000</v>
      </c>
      <c r="O1174" s="3">
        <v>0</v>
      </c>
      <c r="P1174" s="5">
        <v>11000</v>
      </c>
      <c r="Q1174" s="3">
        <v>0</v>
      </c>
      <c r="R1174" s="5">
        <v>40000</v>
      </c>
      <c r="S1174" s="5">
        <v>6000</v>
      </c>
      <c r="T1174" s="3">
        <v>100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5">
        <v>2000</v>
      </c>
      <c r="AA1174" s="5">
        <v>16000</v>
      </c>
      <c r="AB1174" s="6">
        <v>702500</v>
      </c>
      <c r="AC1174" s="2" t="str">
        <f>VLOOKUP(E1174,'[1]Detailed Transfer Report (12)'!$K:$Y,13,FALSE)</f>
        <v>Jahanzaib</v>
      </c>
      <c r="AD1174" s="2" t="str">
        <f>VLOOKUP(E1174,'[1]Detailed Transfer Report (12)'!$K:$Y,14,FALSE)</f>
        <v>Sardar Rashid Ilyas Khan</v>
      </c>
      <c r="AE1174" s="16">
        <f>VLOOKUP(E1174,'[1]Detailed Transfer Report (12)'!$K:$Y,15,FALSE)</f>
        <v>44971</v>
      </c>
    </row>
    <row r="1175" spans="1:31" x14ac:dyDescent="0.25">
      <c r="A1175" s="9">
        <v>647</v>
      </c>
      <c r="B1175" s="4">
        <v>44914</v>
      </c>
      <c r="C1175" s="3" t="s">
        <v>153</v>
      </c>
      <c r="D1175" s="3" t="s">
        <v>822</v>
      </c>
      <c r="E1175" s="3">
        <v>5490</v>
      </c>
      <c r="F1175" s="3">
        <v>26471</v>
      </c>
      <c r="G1175" s="3" t="s">
        <v>756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6">
        <v>702500</v>
      </c>
      <c r="AC1175" s="2" t="str">
        <f>VLOOKUP(E1175,'[1]Detailed Transfer Report (12)'!$K:$Y,13,FALSE)</f>
        <v>Muhammad Yasir</v>
      </c>
      <c r="AD1175" s="2" t="str">
        <f>VLOOKUP(E1175,'[1]Detailed Transfer Report (12)'!$K:$Y,14,FALSE)</f>
        <v>Sardar Yasir Ilyas</v>
      </c>
      <c r="AE1175" s="16">
        <f>VLOOKUP(E1175,'[1]Detailed Transfer Report (12)'!$K:$Y,15,FALSE)</f>
        <v>44868</v>
      </c>
    </row>
    <row r="1176" spans="1:31" x14ac:dyDescent="0.25">
      <c r="A1176" s="9">
        <v>647</v>
      </c>
      <c r="B1176" s="4">
        <v>44935</v>
      </c>
      <c r="C1176" s="3" t="s">
        <v>1074</v>
      </c>
      <c r="D1176" s="3" t="s">
        <v>1557</v>
      </c>
      <c r="E1176" s="3">
        <v>5440</v>
      </c>
      <c r="F1176" s="3">
        <v>31763</v>
      </c>
      <c r="G1176" s="3" t="s">
        <v>756</v>
      </c>
      <c r="H1176" s="3">
        <v>0</v>
      </c>
      <c r="I1176" s="3">
        <v>0</v>
      </c>
      <c r="J1176" s="5">
        <v>11000</v>
      </c>
      <c r="K1176" s="3">
        <v>0</v>
      </c>
      <c r="L1176" s="3">
        <v>0</v>
      </c>
      <c r="M1176" s="3">
        <v>0</v>
      </c>
      <c r="N1176" s="5">
        <v>5500</v>
      </c>
      <c r="O1176" s="3">
        <v>0</v>
      </c>
      <c r="P1176" s="5">
        <v>6500</v>
      </c>
      <c r="Q1176" s="3">
        <v>0</v>
      </c>
      <c r="R1176" s="5">
        <v>22000</v>
      </c>
      <c r="S1176" s="5">
        <v>3000</v>
      </c>
      <c r="T1176" s="3">
        <v>100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5">
        <v>2000</v>
      </c>
      <c r="AA1176" s="5">
        <v>16000</v>
      </c>
      <c r="AB1176" s="6">
        <v>768600</v>
      </c>
      <c r="AC1176" s="2" t="str">
        <f>VLOOKUP(E1176,'[1]Detailed Transfer Report (12)'!$K:$Y,13,FALSE)</f>
        <v>Imran Pervaiz</v>
      </c>
      <c r="AD1176" s="2" t="str">
        <f>VLOOKUP(E1176,'[1]Detailed Transfer Report (12)'!$K:$Y,14,FALSE)</f>
        <v>Sardar Yasir Ilyas</v>
      </c>
      <c r="AE1176" s="16">
        <f>VLOOKUP(E1176,'[1]Detailed Transfer Report (12)'!$K:$Y,15,FALSE)</f>
        <v>44924</v>
      </c>
    </row>
    <row r="1177" spans="1:31" x14ac:dyDescent="0.25">
      <c r="A1177" s="9">
        <v>647</v>
      </c>
      <c r="B1177" s="4">
        <v>44949</v>
      </c>
      <c r="C1177" s="3" t="s">
        <v>153</v>
      </c>
      <c r="D1177" s="3" t="s">
        <v>1545</v>
      </c>
      <c r="E1177" s="3"/>
      <c r="F1177" s="3">
        <v>1890</v>
      </c>
      <c r="G1177" s="3" t="s">
        <v>756</v>
      </c>
      <c r="H1177" s="3">
        <v>0</v>
      </c>
      <c r="I1177" s="3">
        <v>0</v>
      </c>
      <c r="J1177" s="5">
        <v>35000</v>
      </c>
      <c r="K1177" s="3">
        <v>0</v>
      </c>
      <c r="L1177" s="3">
        <v>0</v>
      </c>
      <c r="M1177" s="3">
        <v>0</v>
      </c>
      <c r="N1177" s="5">
        <v>5000</v>
      </c>
      <c r="O1177" s="3">
        <v>0</v>
      </c>
      <c r="P1177" s="5">
        <v>5500</v>
      </c>
      <c r="Q1177" s="3">
        <v>0</v>
      </c>
      <c r="R1177" s="5">
        <v>20000</v>
      </c>
      <c r="S1177" s="5">
        <v>3500</v>
      </c>
      <c r="T1177" s="3">
        <v>100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5">
        <v>2000</v>
      </c>
      <c r="AA1177" s="5">
        <v>16000</v>
      </c>
      <c r="AB1177" s="6">
        <v>855700</v>
      </c>
      <c r="AC1177" s="2" t="str">
        <f>VLOOKUP(F1177,'[1]Detailed Transfer Report (12)'!$L:$Y,12,FALSE)</f>
        <v>Bilal Ahmed</v>
      </c>
      <c r="AD1177" s="2" t="str">
        <f>VLOOKUP(F1177,'[1]Detailed Transfer Report (12)'!$L:$Y,13,FALSE)</f>
        <v>Sardar Rashid Ilyas Khan</v>
      </c>
      <c r="AE1177" s="16"/>
    </row>
    <row r="1178" spans="1:31" x14ac:dyDescent="0.25">
      <c r="A1178" s="10">
        <v>647</v>
      </c>
      <c r="B1178" s="4">
        <v>44935</v>
      </c>
      <c r="C1178" s="3" t="s">
        <v>721</v>
      </c>
      <c r="D1178" s="3" t="s">
        <v>1557</v>
      </c>
      <c r="E1178" s="3">
        <v>5492</v>
      </c>
      <c r="F1178" s="3">
        <v>31762</v>
      </c>
      <c r="G1178" s="3" t="s">
        <v>756</v>
      </c>
      <c r="H1178" s="3">
        <v>0</v>
      </c>
      <c r="I1178" s="3">
        <v>0</v>
      </c>
      <c r="J1178" s="5">
        <v>7000</v>
      </c>
      <c r="K1178" s="3">
        <v>0</v>
      </c>
      <c r="L1178" s="3">
        <v>0</v>
      </c>
      <c r="M1178" s="3">
        <v>0</v>
      </c>
      <c r="N1178" s="5">
        <v>3500</v>
      </c>
      <c r="O1178" s="3">
        <v>0</v>
      </c>
      <c r="P1178" s="5">
        <v>4000</v>
      </c>
      <c r="Q1178" s="3">
        <v>0</v>
      </c>
      <c r="R1178" s="5">
        <v>14000</v>
      </c>
      <c r="S1178" s="5">
        <v>2000</v>
      </c>
      <c r="T1178" s="3">
        <v>100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5">
        <v>2000</v>
      </c>
      <c r="AA1178" s="5">
        <v>16000</v>
      </c>
      <c r="AB1178" s="6">
        <v>904300</v>
      </c>
      <c r="AC1178" s="2" t="str">
        <f>VLOOKUP(E1178,'[1]Detailed Transfer Report (12)'!$K:$Y,13,FALSE)</f>
        <v>Nisar Ahmed</v>
      </c>
      <c r="AD1178" s="2" t="str">
        <f>VLOOKUP(E1178,'[1]Detailed Transfer Report (12)'!$K:$Y,14,FALSE)</f>
        <v>Sardar Yasir Ilyas</v>
      </c>
      <c r="AE1178" s="16">
        <f>VLOOKUP(E1178,'[1]Detailed Transfer Report (12)'!$K:$Y,15,FALSE)</f>
        <v>44924</v>
      </c>
    </row>
    <row r="1179" spans="1:31" x14ac:dyDescent="0.25">
      <c r="A1179" s="7">
        <v>648</v>
      </c>
      <c r="B1179" s="4">
        <v>44923</v>
      </c>
      <c r="C1179" s="3" t="s">
        <v>137</v>
      </c>
      <c r="D1179" s="3" t="s">
        <v>1558</v>
      </c>
      <c r="E1179" s="3">
        <v>3909</v>
      </c>
      <c r="F1179" s="3">
        <v>30179</v>
      </c>
      <c r="G1179" s="3" t="s">
        <v>1179</v>
      </c>
      <c r="H1179" s="3">
        <v>0</v>
      </c>
      <c r="I1179" s="3">
        <v>0</v>
      </c>
      <c r="J1179" s="5">
        <v>30000</v>
      </c>
      <c r="K1179" s="3">
        <v>0</v>
      </c>
      <c r="L1179" s="3">
        <v>0</v>
      </c>
      <c r="M1179" s="3">
        <v>0</v>
      </c>
      <c r="N1179" s="5">
        <v>15000</v>
      </c>
      <c r="O1179" s="3">
        <v>0</v>
      </c>
      <c r="P1179" s="5">
        <v>16000</v>
      </c>
      <c r="Q1179" s="3">
        <v>0</v>
      </c>
      <c r="R1179" s="5">
        <v>60000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5">
        <v>1000</v>
      </c>
      <c r="Y1179" s="3">
        <v>0</v>
      </c>
      <c r="Z1179" s="5">
        <v>2000</v>
      </c>
      <c r="AA1179" s="5">
        <v>16000</v>
      </c>
      <c r="AB1179" s="6">
        <v>140000</v>
      </c>
      <c r="AC1179" s="2" t="str">
        <f>VLOOKUP(E1179,'[1]Detailed Transfer Report (12)'!$K:$Y,13,FALSE)</f>
        <v>Nasreen Beghum</v>
      </c>
      <c r="AD1179" s="2" t="str">
        <f>VLOOKUP(E1179,'[1]Detailed Transfer Report (12)'!$K:$Y,14,FALSE)</f>
        <v>Sardar Yasir Ilyas</v>
      </c>
      <c r="AE1179" s="16">
        <f>VLOOKUP(E1179,'[1]Detailed Transfer Report (12)'!$K:$Y,15,FALSE)</f>
        <v>44909</v>
      </c>
    </row>
    <row r="1180" spans="1:31" x14ac:dyDescent="0.25">
      <c r="A1180" s="9">
        <v>648</v>
      </c>
      <c r="B1180" s="4">
        <v>44935</v>
      </c>
      <c r="C1180" s="3" t="s">
        <v>1407</v>
      </c>
      <c r="D1180" s="3" t="s">
        <v>1559</v>
      </c>
      <c r="E1180" s="3">
        <v>3926</v>
      </c>
      <c r="F1180" s="3">
        <v>31414</v>
      </c>
      <c r="G1180" s="3" t="s">
        <v>1179</v>
      </c>
      <c r="H1180" s="3">
        <v>0</v>
      </c>
      <c r="I1180" s="3">
        <v>0</v>
      </c>
      <c r="J1180" s="5">
        <v>36000</v>
      </c>
      <c r="K1180" s="3">
        <v>0</v>
      </c>
      <c r="L1180" s="3">
        <v>0</v>
      </c>
      <c r="M1180" s="3">
        <v>0</v>
      </c>
      <c r="N1180" s="5">
        <v>18000</v>
      </c>
      <c r="O1180" s="3">
        <v>0</v>
      </c>
      <c r="P1180" s="5">
        <v>19000</v>
      </c>
      <c r="Q1180" s="3">
        <v>0</v>
      </c>
      <c r="R1180" s="5">
        <v>72000</v>
      </c>
      <c r="S1180" s="5">
        <v>5000</v>
      </c>
      <c r="T1180" s="3">
        <v>0</v>
      </c>
      <c r="U1180" s="3">
        <v>0</v>
      </c>
      <c r="V1180" s="3">
        <v>0</v>
      </c>
      <c r="W1180" s="3">
        <v>0</v>
      </c>
      <c r="X1180" s="5">
        <v>1000</v>
      </c>
      <c r="Y1180" s="3">
        <v>0</v>
      </c>
      <c r="Z1180" s="5">
        <v>2000</v>
      </c>
      <c r="AA1180" s="5">
        <v>16000</v>
      </c>
      <c r="AB1180" s="6">
        <v>309000</v>
      </c>
      <c r="AC1180" s="2" t="str">
        <f>VLOOKUP(E1180,'[1]Detailed Transfer Report (12)'!$K:$Y,13,FALSE)</f>
        <v>Raja Shahid Mehmood</v>
      </c>
      <c r="AD1180" s="2" t="str">
        <f>VLOOKUP(E1180,'[1]Detailed Transfer Report (12)'!$K:$Y,14,FALSE)</f>
        <v>Sardar Yasir Ilyas</v>
      </c>
      <c r="AE1180" s="16">
        <f>VLOOKUP(E1180,'[1]Detailed Transfer Report (12)'!$K:$Y,15,FALSE)</f>
        <v>44921</v>
      </c>
    </row>
    <row r="1181" spans="1:31" x14ac:dyDescent="0.25">
      <c r="A1181" s="9">
        <v>648</v>
      </c>
      <c r="B1181" s="4">
        <v>44935</v>
      </c>
      <c r="C1181" s="3" t="s">
        <v>137</v>
      </c>
      <c r="D1181" s="3" t="s">
        <v>1559</v>
      </c>
      <c r="E1181" s="3">
        <v>3927</v>
      </c>
      <c r="F1181" s="3">
        <v>31413</v>
      </c>
      <c r="G1181" s="3" t="s">
        <v>1179</v>
      </c>
      <c r="H1181" s="3">
        <v>0</v>
      </c>
      <c r="I1181" s="3">
        <v>0</v>
      </c>
      <c r="J1181" s="5">
        <v>26000</v>
      </c>
      <c r="K1181" s="3">
        <v>0</v>
      </c>
      <c r="L1181" s="3">
        <v>0</v>
      </c>
      <c r="M1181" s="3">
        <v>0</v>
      </c>
      <c r="N1181" s="5">
        <v>13000</v>
      </c>
      <c r="O1181" s="3">
        <v>0</v>
      </c>
      <c r="P1181" s="5">
        <v>14000</v>
      </c>
      <c r="Q1181" s="3">
        <v>0</v>
      </c>
      <c r="R1181" s="5">
        <v>52000</v>
      </c>
      <c r="S1181" s="5">
        <v>5000</v>
      </c>
      <c r="T1181" s="3">
        <v>0</v>
      </c>
      <c r="U1181" s="3">
        <v>0</v>
      </c>
      <c r="V1181" s="3">
        <v>0</v>
      </c>
      <c r="W1181" s="3">
        <v>0</v>
      </c>
      <c r="X1181" s="5">
        <v>1000</v>
      </c>
      <c r="Y1181" s="3">
        <v>0</v>
      </c>
      <c r="Z1181" s="5">
        <v>2000</v>
      </c>
      <c r="AA1181" s="5">
        <v>16000</v>
      </c>
      <c r="AB1181" s="6">
        <v>438000</v>
      </c>
      <c r="AC1181" s="2" t="str">
        <f>VLOOKUP(E1181,'[1]Detailed Transfer Report (12)'!$K:$Y,13,FALSE)</f>
        <v>Safina Bibi</v>
      </c>
      <c r="AD1181" s="2" t="str">
        <f>VLOOKUP(E1181,'[1]Detailed Transfer Report (12)'!$K:$Y,14,FALSE)</f>
        <v>Sardar Yasir Ilyas</v>
      </c>
      <c r="AE1181" s="16">
        <f>VLOOKUP(E1181,'[1]Detailed Transfer Report (12)'!$K:$Y,15,FALSE)</f>
        <v>44921</v>
      </c>
    </row>
    <row r="1182" spans="1:31" x14ac:dyDescent="0.25">
      <c r="A1182" s="9">
        <v>648</v>
      </c>
      <c r="B1182" s="4">
        <v>44903</v>
      </c>
      <c r="C1182" s="3" t="s">
        <v>153</v>
      </c>
      <c r="D1182" s="3" t="s">
        <v>1558</v>
      </c>
      <c r="E1182" s="3">
        <v>3924</v>
      </c>
      <c r="F1182" s="3">
        <v>30180</v>
      </c>
      <c r="G1182" s="3" t="s">
        <v>1179</v>
      </c>
      <c r="H1182" s="3">
        <v>0</v>
      </c>
      <c r="I1182" s="3">
        <v>0</v>
      </c>
      <c r="J1182" s="5">
        <v>14000</v>
      </c>
      <c r="K1182" s="3">
        <v>0</v>
      </c>
      <c r="L1182" s="3">
        <v>0</v>
      </c>
      <c r="M1182" s="3">
        <v>0</v>
      </c>
      <c r="N1182" s="5">
        <v>7000</v>
      </c>
      <c r="O1182" s="3">
        <v>0</v>
      </c>
      <c r="P1182" s="5">
        <v>8000</v>
      </c>
      <c r="Q1182" s="3">
        <v>0</v>
      </c>
      <c r="R1182" s="5">
        <v>28000</v>
      </c>
      <c r="S1182" s="5">
        <v>2500</v>
      </c>
      <c r="T1182" s="3">
        <v>0</v>
      </c>
      <c r="U1182" s="3">
        <v>0</v>
      </c>
      <c r="V1182" s="3">
        <v>0</v>
      </c>
      <c r="W1182" s="3">
        <v>0</v>
      </c>
      <c r="X1182" s="5">
        <v>1000</v>
      </c>
      <c r="Y1182" s="3">
        <v>0</v>
      </c>
      <c r="Z1182" s="5">
        <v>2000</v>
      </c>
      <c r="AA1182" s="5">
        <v>16000</v>
      </c>
      <c r="AB1182" s="6">
        <v>516500</v>
      </c>
      <c r="AC1182" s="2" t="str">
        <f>VLOOKUP(E1182,'[1]Detailed Transfer Report (12)'!$K:$Y,13,FALSE)</f>
        <v>Raja Nasir Kiyani</v>
      </c>
      <c r="AD1182" s="2" t="str">
        <f>VLOOKUP(E1182,'[1]Detailed Transfer Report (12)'!$K:$Y,14,FALSE)</f>
        <v>Sardar Yasir Ilyas</v>
      </c>
      <c r="AE1182" s="16">
        <f>VLOOKUP(E1182,'[1]Detailed Transfer Report (12)'!$K:$Y,15,FALSE)</f>
        <v>44909</v>
      </c>
    </row>
    <row r="1183" spans="1:31" x14ac:dyDescent="0.25">
      <c r="A1183" s="9">
        <v>648</v>
      </c>
      <c r="B1183" s="4">
        <v>45140</v>
      </c>
      <c r="C1183" s="3" t="s">
        <v>1560</v>
      </c>
      <c r="D1183" s="3" t="s">
        <v>1542</v>
      </c>
      <c r="E1183" s="3"/>
      <c r="F1183" s="3">
        <v>20777</v>
      </c>
      <c r="G1183" s="3" t="s">
        <v>1179</v>
      </c>
      <c r="H1183" s="3">
        <v>0</v>
      </c>
      <c r="I1183" s="3">
        <v>0</v>
      </c>
      <c r="J1183" s="5">
        <v>594000</v>
      </c>
      <c r="K1183" s="3">
        <v>0</v>
      </c>
      <c r="L1183" s="3">
        <v>0</v>
      </c>
      <c r="M1183" s="3">
        <v>0</v>
      </c>
      <c r="N1183" s="5">
        <v>198000</v>
      </c>
      <c r="O1183" s="3">
        <v>0</v>
      </c>
      <c r="P1183" s="5">
        <v>199000</v>
      </c>
      <c r="Q1183" s="3">
        <v>0</v>
      </c>
      <c r="R1183" s="5">
        <v>594000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5">
        <v>1300</v>
      </c>
      <c r="Y1183" s="3">
        <v>0</v>
      </c>
      <c r="Z1183" s="5">
        <v>2000</v>
      </c>
      <c r="AA1183" s="5">
        <v>198000</v>
      </c>
      <c r="AB1183" s="6">
        <v>2302800</v>
      </c>
      <c r="AC1183" s="2" t="str">
        <f>VLOOKUP(F1183,'[1]Detailed Transfer Report (12)'!$L:$Y,12,FALSE)</f>
        <v>Asiya Bibi</v>
      </c>
      <c r="AD1183" s="2" t="str">
        <f>VLOOKUP(F1183,'[1]Detailed Transfer Report (12)'!$L:$Y,13,FALSE)</f>
        <v>Sardar Tanveer Ilyas</v>
      </c>
      <c r="AE1183" s="16"/>
    </row>
    <row r="1184" spans="1:31" x14ac:dyDescent="0.25">
      <c r="A1184" s="9">
        <v>648</v>
      </c>
      <c r="B1184" s="4">
        <v>44985</v>
      </c>
      <c r="C1184" s="3" t="s">
        <v>44</v>
      </c>
      <c r="D1184" s="3" t="s">
        <v>1544</v>
      </c>
      <c r="E1184" s="3">
        <v>4065</v>
      </c>
      <c r="F1184" s="3">
        <v>7729</v>
      </c>
      <c r="G1184" s="3" t="s">
        <v>1179</v>
      </c>
      <c r="H1184" s="3">
        <v>0</v>
      </c>
      <c r="I1184" s="3">
        <v>0</v>
      </c>
      <c r="J1184" s="5">
        <v>175000</v>
      </c>
      <c r="K1184" s="3">
        <v>0</v>
      </c>
      <c r="L1184" s="3">
        <v>0</v>
      </c>
      <c r="M1184" s="3">
        <v>0</v>
      </c>
      <c r="N1184" s="5">
        <v>25000</v>
      </c>
      <c r="O1184" s="3">
        <v>0</v>
      </c>
      <c r="P1184" s="5">
        <v>26000</v>
      </c>
      <c r="Q1184" s="3">
        <v>0</v>
      </c>
      <c r="R1184" s="5">
        <v>100000</v>
      </c>
      <c r="S1184" s="5">
        <v>5000</v>
      </c>
      <c r="T1184" s="5">
        <v>1000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5">
        <v>2000</v>
      </c>
      <c r="AA1184" s="5">
        <v>16000</v>
      </c>
      <c r="AB1184" s="6">
        <v>2652800</v>
      </c>
      <c r="AC1184" s="2" t="str">
        <f>VLOOKUP(E1184,'[1]Detailed Transfer Report (12)'!$K:$Y,13,FALSE)</f>
        <v>Muhammad Yaqoob</v>
      </c>
      <c r="AD1184" s="2" t="str">
        <f>VLOOKUP(E1184,'[1]Detailed Transfer Report (12)'!$K:$Y,14,FALSE)</f>
        <v>Sardar Rashid Ilyas Khan</v>
      </c>
      <c r="AE1184" s="16">
        <f>VLOOKUP(E1184,'[1]Detailed Transfer Report (12)'!$K:$Y,15,FALSE)</f>
        <v>44998</v>
      </c>
    </row>
    <row r="1185" spans="1:31" x14ac:dyDescent="0.25">
      <c r="A1185" s="9">
        <v>648</v>
      </c>
      <c r="B1185" s="4">
        <v>45111</v>
      </c>
      <c r="C1185" s="3" t="s">
        <v>141</v>
      </c>
      <c r="D1185" s="3" t="s">
        <v>1542</v>
      </c>
      <c r="E1185" s="3"/>
      <c r="F1185" s="3">
        <v>20778</v>
      </c>
      <c r="G1185" s="3" t="s">
        <v>1179</v>
      </c>
      <c r="H1185" s="3">
        <v>0</v>
      </c>
      <c r="I1185" s="3">
        <v>0</v>
      </c>
      <c r="J1185" s="5">
        <v>246000</v>
      </c>
      <c r="K1185" s="3">
        <v>0</v>
      </c>
      <c r="L1185" s="3">
        <v>0</v>
      </c>
      <c r="M1185" s="3">
        <v>0</v>
      </c>
      <c r="N1185" s="5">
        <v>82000</v>
      </c>
      <c r="O1185" s="3">
        <v>0</v>
      </c>
      <c r="P1185" s="5">
        <v>83000</v>
      </c>
      <c r="Q1185" s="3">
        <v>0</v>
      </c>
      <c r="R1185" s="5">
        <v>246000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5">
        <v>1300</v>
      </c>
      <c r="Y1185" s="3">
        <v>0</v>
      </c>
      <c r="Z1185" s="5">
        <v>2000</v>
      </c>
      <c r="AA1185" s="5">
        <v>82000</v>
      </c>
      <c r="AB1185" s="6">
        <v>3395100</v>
      </c>
      <c r="AC1185" s="2" t="str">
        <f>VLOOKUP(F1185,'[1]Detailed Transfer Report (12)'!$L:$Y,12,FALSE)</f>
        <v>Asiya Bibi</v>
      </c>
      <c r="AD1185" s="2" t="str">
        <f>VLOOKUP(F1185,'[1]Detailed Transfer Report (12)'!$L:$Y,13,FALSE)</f>
        <v>Sardar Tanveer Ilyas</v>
      </c>
      <c r="AE1185" s="16">
        <f>VLOOKUP(F1185,'[1]Detailed Transfer Report (12)'!$L:$Y,14,FALSE)</f>
        <v>45872</v>
      </c>
    </row>
    <row r="1186" spans="1:31" x14ac:dyDescent="0.25">
      <c r="A1186" s="9">
        <v>648</v>
      </c>
      <c r="B1186" s="4">
        <v>44935</v>
      </c>
      <c r="C1186" s="3" t="s">
        <v>424</v>
      </c>
      <c r="D1186" s="3" t="s">
        <v>1559</v>
      </c>
      <c r="E1186" s="3">
        <v>3937</v>
      </c>
      <c r="F1186" s="3">
        <v>31412</v>
      </c>
      <c r="G1186" s="3" t="s">
        <v>1179</v>
      </c>
      <c r="H1186" s="3">
        <v>0</v>
      </c>
      <c r="I1186" s="3">
        <v>0</v>
      </c>
      <c r="J1186" s="5">
        <v>60000</v>
      </c>
      <c r="K1186" s="3">
        <v>0</v>
      </c>
      <c r="L1186" s="3">
        <v>0</v>
      </c>
      <c r="M1186" s="3">
        <v>0</v>
      </c>
      <c r="N1186" s="5">
        <v>30000</v>
      </c>
      <c r="O1186" s="3">
        <v>0</v>
      </c>
      <c r="P1186" s="5">
        <v>31000</v>
      </c>
      <c r="Q1186" s="3">
        <v>0</v>
      </c>
      <c r="R1186" s="5">
        <v>120000</v>
      </c>
      <c r="S1186" s="5">
        <v>5000</v>
      </c>
      <c r="T1186" s="3">
        <v>0</v>
      </c>
      <c r="U1186" s="3">
        <v>0</v>
      </c>
      <c r="V1186" s="3">
        <v>0</v>
      </c>
      <c r="W1186" s="3">
        <v>0</v>
      </c>
      <c r="X1186" s="5">
        <v>1000</v>
      </c>
      <c r="Y1186" s="3">
        <v>0</v>
      </c>
      <c r="Z1186" s="5">
        <v>2000</v>
      </c>
      <c r="AA1186" s="5">
        <v>16000</v>
      </c>
      <c r="AB1186" s="6">
        <v>3660100</v>
      </c>
      <c r="AC1186" s="2" t="str">
        <f>VLOOKUP(E1186,'[1]Detailed Transfer Report (12)'!$K:$Y,13,FALSE)</f>
        <v>Noreen Bibi</v>
      </c>
      <c r="AD1186" s="2" t="str">
        <f>VLOOKUP(E1186,'[1]Detailed Transfer Report (12)'!$K:$Y,14,FALSE)</f>
        <v>Sardar Yasir Ilyas</v>
      </c>
      <c r="AE1186" s="16">
        <f>VLOOKUP(E1186,'[1]Detailed Transfer Report (12)'!$K:$Y,15,FALSE)</f>
        <v>44618</v>
      </c>
    </row>
    <row r="1187" spans="1:31" x14ac:dyDescent="0.25">
      <c r="A1187" s="9">
        <v>648</v>
      </c>
      <c r="B1187" s="4">
        <v>44897</v>
      </c>
      <c r="C1187" s="3" t="s">
        <v>108</v>
      </c>
      <c r="D1187" s="3" t="s">
        <v>1522</v>
      </c>
      <c r="E1187" s="3">
        <v>3954</v>
      </c>
      <c r="F1187" s="3">
        <v>29576</v>
      </c>
      <c r="G1187" s="3" t="s">
        <v>1179</v>
      </c>
      <c r="H1187" s="3">
        <v>0</v>
      </c>
      <c r="I1187" s="3">
        <v>0</v>
      </c>
      <c r="J1187" s="5">
        <v>100000</v>
      </c>
      <c r="K1187" s="3">
        <v>0</v>
      </c>
      <c r="L1187" s="3">
        <v>0</v>
      </c>
      <c r="M1187" s="3">
        <v>0</v>
      </c>
      <c r="N1187" s="5">
        <v>50000</v>
      </c>
      <c r="O1187" s="3">
        <v>0</v>
      </c>
      <c r="P1187" s="5">
        <v>51000</v>
      </c>
      <c r="Q1187" s="3">
        <v>0</v>
      </c>
      <c r="R1187" s="3">
        <v>0</v>
      </c>
      <c r="S1187" s="3">
        <v>0</v>
      </c>
      <c r="T1187" s="5">
        <v>1000</v>
      </c>
      <c r="U1187" s="3">
        <v>0</v>
      </c>
      <c r="V1187" s="3">
        <v>0</v>
      </c>
      <c r="W1187" s="3">
        <v>0</v>
      </c>
      <c r="X1187" s="5">
        <v>200000</v>
      </c>
      <c r="Y1187" s="3">
        <v>0</v>
      </c>
      <c r="Z1187" s="5">
        <v>2000</v>
      </c>
      <c r="AA1187" s="5">
        <v>50000</v>
      </c>
      <c r="AB1187" s="6">
        <v>4114100</v>
      </c>
      <c r="AC1187" s="2" t="str">
        <f>VLOOKUP(E1187,'[1]Detailed Transfer Report (12)'!$K:$Y,13,FALSE)</f>
        <v>Muhammad Naseer</v>
      </c>
      <c r="AD1187" s="2" t="str">
        <f>VLOOKUP(E1187,'[1]Detailed Transfer Report (12)'!$K:$Y,14,FALSE)</f>
        <v>Sardar Yasir Ilyas</v>
      </c>
      <c r="AE1187" s="16">
        <f>VLOOKUP(E1187,'[1]Detailed Transfer Report (12)'!$K:$Y,15,FALSE)</f>
        <v>44903</v>
      </c>
    </row>
    <row r="1188" spans="1:31" x14ac:dyDescent="0.25">
      <c r="A1188" s="10">
        <v>648</v>
      </c>
      <c r="B1188" s="4">
        <v>44923</v>
      </c>
      <c r="C1188" s="3" t="s">
        <v>1561</v>
      </c>
      <c r="D1188" s="3" t="s">
        <v>1558</v>
      </c>
      <c r="E1188" s="3">
        <v>3989</v>
      </c>
      <c r="F1188" s="3">
        <v>30071</v>
      </c>
      <c r="G1188" s="3" t="s">
        <v>1179</v>
      </c>
      <c r="H1188" s="3">
        <v>0</v>
      </c>
      <c r="I1188" s="3">
        <v>0</v>
      </c>
      <c r="J1188" s="5">
        <v>230000</v>
      </c>
      <c r="K1188" s="3">
        <v>0</v>
      </c>
      <c r="L1188" s="3">
        <v>0</v>
      </c>
      <c r="M1188" s="3">
        <v>0</v>
      </c>
      <c r="N1188" s="5">
        <v>115000</v>
      </c>
      <c r="O1188" s="3">
        <v>0</v>
      </c>
      <c r="P1188" s="5">
        <v>116000</v>
      </c>
      <c r="Q1188" s="3">
        <v>0</v>
      </c>
      <c r="R1188" s="5">
        <v>460000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5">
        <v>1000</v>
      </c>
      <c r="Y1188" s="3">
        <v>0</v>
      </c>
      <c r="Z1188" s="5">
        <v>2000</v>
      </c>
      <c r="AA1188" s="5">
        <v>115000</v>
      </c>
      <c r="AB1188" s="6">
        <v>5153100</v>
      </c>
      <c r="AC1188" s="2" t="str">
        <f>VLOOKUP(E1188,'[1]Detailed Transfer Report (12)'!$K:$Y,13,FALSE)</f>
        <v>Usama</v>
      </c>
      <c r="AD1188" s="2" t="str">
        <f>VLOOKUP(E1188,'[1]Detailed Transfer Report (12)'!$K:$Y,14,FALSE)</f>
        <v>Sardar Yasir Ilyas</v>
      </c>
      <c r="AE1188" s="16">
        <f>VLOOKUP(E1188,'[1]Detailed Transfer Report (12)'!$K:$Y,15,FALSE)</f>
        <v>44908</v>
      </c>
    </row>
    <row r="1189" spans="1:31" x14ac:dyDescent="0.25">
      <c r="A1189" s="3">
        <v>649</v>
      </c>
      <c r="B1189" s="4">
        <v>44938</v>
      </c>
      <c r="C1189" s="3" t="s">
        <v>931</v>
      </c>
      <c r="D1189" s="3" t="s">
        <v>1547</v>
      </c>
      <c r="E1189" s="3">
        <v>4475</v>
      </c>
      <c r="F1189" s="3">
        <v>31430</v>
      </c>
      <c r="G1189" s="3" t="s">
        <v>30</v>
      </c>
      <c r="H1189" s="3">
        <v>0</v>
      </c>
      <c r="I1189" s="3">
        <v>0</v>
      </c>
      <c r="J1189" s="5">
        <v>10000</v>
      </c>
      <c r="K1189" s="3">
        <v>0</v>
      </c>
      <c r="L1189" s="3">
        <v>0</v>
      </c>
      <c r="M1189" s="3">
        <v>0</v>
      </c>
      <c r="N1189" s="5">
        <v>5000</v>
      </c>
      <c r="O1189" s="3">
        <v>0</v>
      </c>
      <c r="P1189" s="5">
        <v>5500</v>
      </c>
      <c r="Q1189" s="3">
        <v>0</v>
      </c>
      <c r="R1189" s="5">
        <v>20000</v>
      </c>
      <c r="S1189" s="5">
        <v>7000</v>
      </c>
      <c r="T1189" s="3">
        <v>100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5">
        <v>2000</v>
      </c>
      <c r="AA1189" s="5">
        <v>16000</v>
      </c>
      <c r="AB1189" s="6">
        <v>65600</v>
      </c>
      <c r="AC1189" s="2" t="str">
        <f>VLOOKUP(E1189,'[1]Detailed Transfer Report (12)'!$K:$Y,13,FALSE)</f>
        <v>Rehmat Khan</v>
      </c>
      <c r="AD1189" s="2" t="str">
        <f>VLOOKUP(E1189,'[1]Detailed Transfer Report (12)'!$K:$Y,14,FALSE)</f>
        <v>Sardar Yasir Ilyas</v>
      </c>
      <c r="AE1189" s="16">
        <f>VLOOKUP(E1189,'[1]Detailed Transfer Report (12)'!$K:$Y,15,FALSE)</f>
        <v>44921</v>
      </c>
    </row>
    <row r="1190" spans="1:31" x14ac:dyDescent="0.25">
      <c r="A1190" s="7">
        <v>650</v>
      </c>
      <c r="B1190" s="4">
        <v>45070</v>
      </c>
      <c r="C1190" s="3" t="s">
        <v>205</v>
      </c>
      <c r="D1190" s="3" t="s">
        <v>1562</v>
      </c>
      <c r="E1190" s="3">
        <v>4093</v>
      </c>
      <c r="F1190" s="3">
        <v>13568</v>
      </c>
      <c r="G1190" s="3" t="s">
        <v>1179</v>
      </c>
      <c r="H1190" s="3">
        <v>0</v>
      </c>
      <c r="I1190" s="3">
        <v>0</v>
      </c>
      <c r="J1190" s="5">
        <v>56000</v>
      </c>
      <c r="K1190" s="3">
        <v>0</v>
      </c>
      <c r="L1190" s="3">
        <v>0</v>
      </c>
      <c r="M1190" s="3">
        <v>0</v>
      </c>
      <c r="N1190" s="5">
        <v>8000</v>
      </c>
      <c r="O1190" s="3">
        <v>0</v>
      </c>
      <c r="P1190" s="5">
        <v>9000</v>
      </c>
      <c r="Q1190" s="3">
        <v>0</v>
      </c>
      <c r="R1190" s="5">
        <v>32000</v>
      </c>
      <c r="S1190" s="5">
        <v>3000</v>
      </c>
      <c r="T1190" s="5">
        <v>1100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5">
        <v>2000</v>
      </c>
      <c r="AA1190" s="5">
        <v>16000</v>
      </c>
      <c r="AB1190" s="6">
        <v>127100</v>
      </c>
      <c r="AC1190" s="2" t="str">
        <f>VLOOKUP(E1190,'[1]Detailed Transfer Report (12)'!$K:$Y,13,FALSE)</f>
        <v>Zubair Mehmood</v>
      </c>
      <c r="AD1190" s="2" t="str">
        <f>VLOOKUP(E1190,'[1]Detailed Transfer Report (12)'!$K:$Y,14,FALSE)</f>
        <v>Sardar Tanveer Ilyas</v>
      </c>
      <c r="AE1190" s="16">
        <f>VLOOKUP(E1190,'[1]Detailed Transfer Report (12)'!$K:$Y,15,FALSE)</f>
        <v>45066</v>
      </c>
    </row>
    <row r="1191" spans="1:31" x14ac:dyDescent="0.25">
      <c r="A1191" s="9">
        <v>650</v>
      </c>
      <c r="B1191" s="4">
        <v>44978</v>
      </c>
      <c r="C1191" s="3" t="s">
        <v>110</v>
      </c>
      <c r="D1191" s="3" t="s">
        <v>1549</v>
      </c>
      <c r="E1191" s="3">
        <v>4094</v>
      </c>
      <c r="F1191" s="3">
        <v>5455</v>
      </c>
      <c r="G1191" s="3" t="s">
        <v>1179</v>
      </c>
      <c r="H1191" s="3">
        <v>0</v>
      </c>
      <c r="I1191" s="3">
        <v>0</v>
      </c>
      <c r="J1191" s="5">
        <v>55000</v>
      </c>
      <c r="K1191" s="3">
        <v>0</v>
      </c>
      <c r="L1191" s="3">
        <v>0</v>
      </c>
      <c r="M1191" s="3">
        <v>0</v>
      </c>
      <c r="N1191" s="5">
        <v>27500</v>
      </c>
      <c r="O1191" s="3">
        <v>0</v>
      </c>
      <c r="P1191" s="5">
        <v>28500</v>
      </c>
      <c r="Q1191" s="3">
        <v>0</v>
      </c>
      <c r="R1191" s="5">
        <v>110000</v>
      </c>
      <c r="S1191" s="5">
        <v>8000</v>
      </c>
      <c r="T1191" s="3">
        <v>0</v>
      </c>
      <c r="U1191" s="3">
        <v>0</v>
      </c>
      <c r="V1191" s="3">
        <v>0</v>
      </c>
      <c r="W1191" s="3">
        <v>0</v>
      </c>
      <c r="X1191" s="5">
        <v>1000</v>
      </c>
      <c r="Y1191" s="3">
        <v>0</v>
      </c>
      <c r="Z1191" s="5">
        <v>2000</v>
      </c>
      <c r="AA1191" s="5">
        <v>16000</v>
      </c>
      <c r="AB1191" s="6">
        <v>375100</v>
      </c>
      <c r="AC1191" s="2" t="str">
        <f>VLOOKUP(E1191,'[1]Detailed Transfer Report (12)'!$K:$Y,13,FALSE)</f>
        <v>Khurram Shahzad</v>
      </c>
      <c r="AD1191" s="2" t="str">
        <f>VLOOKUP(E1191,'[1]Detailed Transfer Report (12)'!$K:$Y,14,FALSE)</f>
        <v>Sardar Rashid Ilyas Khan</v>
      </c>
      <c r="AE1191" s="16">
        <f>VLOOKUP(E1191,'[1]Detailed Transfer Report (12)'!$K:$Y,15,FALSE)</f>
        <v>44978</v>
      </c>
    </row>
    <row r="1192" spans="1:31" x14ac:dyDescent="0.25">
      <c r="A1192" s="9">
        <v>650</v>
      </c>
      <c r="B1192" s="4">
        <v>44935</v>
      </c>
      <c r="C1192" s="3" t="s">
        <v>308</v>
      </c>
      <c r="D1192" s="3" t="s">
        <v>1563</v>
      </c>
      <c r="E1192" s="3">
        <v>3939</v>
      </c>
      <c r="F1192" s="3">
        <v>31471</v>
      </c>
      <c r="G1192" s="3" t="s">
        <v>1179</v>
      </c>
      <c r="H1192" s="3">
        <v>0</v>
      </c>
      <c r="I1192" s="3">
        <v>0</v>
      </c>
      <c r="J1192" s="5">
        <v>20000</v>
      </c>
      <c r="K1192" s="3">
        <v>0</v>
      </c>
      <c r="L1192" s="3">
        <v>0</v>
      </c>
      <c r="M1192" s="3">
        <v>0</v>
      </c>
      <c r="N1192" s="5">
        <v>10000</v>
      </c>
      <c r="O1192" s="3">
        <v>0</v>
      </c>
      <c r="P1192" s="5">
        <v>11000</v>
      </c>
      <c r="Q1192" s="3">
        <v>0</v>
      </c>
      <c r="R1192" s="5">
        <v>40000</v>
      </c>
      <c r="S1192" s="5">
        <v>3500</v>
      </c>
      <c r="T1192" s="3">
        <v>0</v>
      </c>
      <c r="U1192" s="3">
        <v>0</v>
      </c>
      <c r="V1192" s="3">
        <v>0</v>
      </c>
      <c r="W1192" s="3">
        <v>0</v>
      </c>
      <c r="X1192" s="5">
        <v>1000</v>
      </c>
      <c r="Y1192" s="3">
        <v>0</v>
      </c>
      <c r="Z1192" s="5">
        <v>2000</v>
      </c>
      <c r="AA1192" s="5">
        <v>16000</v>
      </c>
      <c r="AB1192" s="6">
        <v>478600</v>
      </c>
      <c r="AC1192" s="2" t="str">
        <f>VLOOKUP(E1192,'[1]Detailed Transfer Report (12)'!$K:$Y,13,FALSE)</f>
        <v>Maryam Siddique</v>
      </c>
      <c r="AD1192" s="2" t="str">
        <f>VLOOKUP(E1192,'[1]Detailed Transfer Report (12)'!$K:$Y,14,FALSE)</f>
        <v>Sardar Yasir Ilyas</v>
      </c>
      <c r="AE1192" s="16">
        <f>VLOOKUP(E1192,'[1]Detailed Transfer Report (12)'!$K:$Y,15,FALSE)</f>
        <v>44921</v>
      </c>
    </row>
    <row r="1193" spans="1:31" x14ac:dyDescent="0.25">
      <c r="A1193" s="9">
        <v>650</v>
      </c>
      <c r="B1193" s="4">
        <v>44938</v>
      </c>
      <c r="C1193" s="3" t="s">
        <v>536</v>
      </c>
      <c r="D1193" s="3" t="s">
        <v>1547</v>
      </c>
      <c r="E1193" s="3">
        <v>3906</v>
      </c>
      <c r="F1193" s="3">
        <v>31389</v>
      </c>
      <c r="G1193" s="3" t="s">
        <v>1179</v>
      </c>
      <c r="H1193" s="3">
        <v>0</v>
      </c>
      <c r="I1193" s="3">
        <v>0</v>
      </c>
      <c r="J1193" s="5">
        <v>8000</v>
      </c>
      <c r="K1193" s="3">
        <v>0</v>
      </c>
      <c r="L1193" s="3">
        <v>0</v>
      </c>
      <c r="M1193" s="3">
        <v>0</v>
      </c>
      <c r="N1193" s="5">
        <v>4000</v>
      </c>
      <c r="O1193" s="3">
        <v>0</v>
      </c>
      <c r="P1193" s="5">
        <v>4500</v>
      </c>
      <c r="Q1193" s="3">
        <v>0</v>
      </c>
      <c r="R1193" s="5">
        <v>16000</v>
      </c>
      <c r="S1193" s="5">
        <v>1500</v>
      </c>
      <c r="T1193" s="3">
        <v>0</v>
      </c>
      <c r="U1193" s="3">
        <v>0</v>
      </c>
      <c r="V1193" s="3">
        <v>0</v>
      </c>
      <c r="W1193" s="3">
        <v>0</v>
      </c>
      <c r="X1193" s="5">
        <v>1000</v>
      </c>
      <c r="Y1193" s="3">
        <v>0</v>
      </c>
      <c r="Z1193" s="5">
        <v>2000</v>
      </c>
      <c r="AA1193" s="5">
        <v>16000</v>
      </c>
      <c r="AB1193" s="6">
        <v>531600</v>
      </c>
      <c r="AC1193" s="2" t="str">
        <f>VLOOKUP(E1193,'[1]Detailed Transfer Report (12)'!$K:$Y,13,FALSE)</f>
        <v>Muhammad Qasim</v>
      </c>
      <c r="AD1193" s="2" t="str">
        <f>VLOOKUP(E1193,'[1]Detailed Transfer Report (12)'!$K:$Y,14,FALSE)</f>
        <v>Sardar Yasir Ilyas</v>
      </c>
      <c r="AE1193" s="16">
        <f>VLOOKUP(E1193,'[1]Detailed Transfer Report (12)'!$K:$Y,15,FALSE)</f>
        <v>44919</v>
      </c>
    </row>
    <row r="1194" spans="1:31" x14ac:dyDescent="0.25">
      <c r="A1194" s="9">
        <v>650</v>
      </c>
      <c r="B1194" s="4">
        <v>44935</v>
      </c>
      <c r="C1194" s="3" t="s">
        <v>536</v>
      </c>
      <c r="D1194" s="3" t="s">
        <v>1564</v>
      </c>
      <c r="E1194" s="3">
        <v>3907</v>
      </c>
      <c r="F1194" s="3">
        <v>31472</v>
      </c>
      <c r="G1194" s="3" t="s">
        <v>1179</v>
      </c>
      <c r="H1194" s="3">
        <v>0</v>
      </c>
      <c r="I1194" s="3">
        <v>0</v>
      </c>
      <c r="J1194" s="5">
        <v>8000</v>
      </c>
      <c r="K1194" s="3">
        <v>0</v>
      </c>
      <c r="L1194" s="3">
        <v>0</v>
      </c>
      <c r="M1194" s="3">
        <v>0</v>
      </c>
      <c r="N1194" s="5">
        <v>4000</v>
      </c>
      <c r="O1194" s="3">
        <v>0</v>
      </c>
      <c r="P1194" s="5">
        <v>4500</v>
      </c>
      <c r="Q1194" s="3">
        <v>0</v>
      </c>
      <c r="R1194" s="5">
        <v>16000</v>
      </c>
      <c r="S1194" s="5">
        <v>2000</v>
      </c>
      <c r="T1194" s="3">
        <v>0</v>
      </c>
      <c r="U1194" s="3">
        <v>0</v>
      </c>
      <c r="V1194" s="3">
        <v>0</v>
      </c>
      <c r="W1194" s="3">
        <v>0</v>
      </c>
      <c r="X1194" s="5">
        <v>1000</v>
      </c>
      <c r="Y1194" s="3">
        <v>0</v>
      </c>
      <c r="Z1194" s="5">
        <v>2000</v>
      </c>
      <c r="AA1194" s="5">
        <v>16000</v>
      </c>
      <c r="AB1194" s="6">
        <v>585100</v>
      </c>
      <c r="AC1194" s="2" t="str">
        <f>VLOOKUP(E1194,'[1]Detailed Transfer Report (12)'!$K:$Y,13,FALSE)</f>
        <v>Samina Ashraf</v>
      </c>
      <c r="AD1194" s="2" t="str">
        <f>VLOOKUP(E1194,'[1]Detailed Transfer Report (12)'!$K:$Y,14,FALSE)</f>
        <v>Sardar Yasir Ilyas</v>
      </c>
      <c r="AE1194" s="16">
        <f>VLOOKUP(E1194,'[1]Detailed Transfer Report (12)'!$K:$Y,15,FALSE)</f>
        <v>44921</v>
      </c>
    </row>
    <row r="1195" spans="1:31" x14ac:dyDescent="0.25">
      <c r="A1195" s="9">
        <v>650</v>
      </c>
      <c r="B1195" s="4">
        <v>44935</v>
      </c>
      <c r="C1195" s="3" t="s">
        <v>114</v>
      </c>
      <c r="D1195" s="3" t="s">
        <v>1564</v>
      </c>
      <c r="E1195" s="3">
        <v>3908</v>
      </c>
      <c r="F1195" s="3">
        <v>31387</v>
      </c>
      <c r="G1195" s="3" t="s">
        <v>1179</v>
      </c>
      <c r="H1195" s="3">
        <v>0</v>
      </c>
      <c r="I1195" s="3">
        <v>0</v>
      </c>
      <c r="J1195" s="5">
        <v>11000</v>
      </c>
      <c r="K1195" s="3">
        <v>0</v>
      </c>
      <c r="L1195" s="3">
        <v>0</v>
      </c>
      <c r="M1195" s="3">
        <v>0</v>
      </c>
      <c r="N1195" s="5">
        <v>5500</v>
      </c>
      <c r="O1195" s="3">
        <v>0</v>
      </c>
      <c r="P1195" s="5">
        <v>6500</v>
      </c>
      <c r="Q1195" s="3">
        <v>0</v>
      </c>
      <c r="R1195" s="5">
        <v>22000</v>
      </c>
      <c r="S1195" s="5">
        <v>2000</v>
      </c>
      <c r="T1195" s="3">
        <v>0</v>
      </c>
      <c r="U1195" s="3">
        <v>0</v>
      </c>
      <c r="V1195" s="3">
        <v>0</v>
      </c>
      <c r="W1195" s="3">
        <v>0</v>
      </c>
      <c r="X1195" s="5">
        <v>1000</v>
      </c>
      <c r="Y1195" s="3">
        <v>0</v>
      </c>
      <c r="Z1195" s="5">
        <v>2000</v>
      </c>
      <c r="AA1195" s="5">
        <v>16000</v>
      </c>
      <c r="AB1195" s="6">
        <v>651100</v>
      </c>
      <c r="AC1195" s="2" t="str">
        <f>VLOOKUP(E1195,'[1]Detailed Transfer Report (12)'!$K:$Y,13,FALSE)</f>
        <v>Noman Qadir</v>
      </c>
      <c r="AD1195" s="2" t="str">
        <f>VLOOKUP(E1195,'[1]Detailed Transfer Report (12)'!$K:$Y,14,FALSE)</f>
        <v>Sardar Yasir Ilyas</v>
      </c>
      <c r="AE1195" s="16">
        <f>VLOOKUP(E1195,'[1]Detailed Transfer Report (12)'!$K:$Y,15,FALSE)</f>
        <v>44919</v>
      </c>
    </row>
    <row r="1196" spans="1:31" x14ac:dyDescent="0.25">
      <c r="A1196" s="9">
        <v>650</v>
      </c>
      <c r="B1196" s="4">
        <v>44935</v>
      </c>
      <c r="C1196" s="3" t="s">
        <v>536</v>
      </c>
      <c r="D1196" s="3" t="s">
        <v>1563</v>
      </c>
      <c r="E1196" s="3">
        <v>3925</v>
      </c>
      <c r="F1196" s="3">
        <v>31390</v>
      </c>
      <c r="G1196" s="3" t="s">
        <v>1179</v>
      </c>
      <c r="H1196" s="3">
        <v>0</v>
      </c>
      <c r="I1196" s="3">
        <v>0</v>
      </c>
      <c r="J1196" s="5">
        <v>8000</v>
      </c>
      <c r="K1196" s="3">
        <v>0</v>
      </c>
      <c r="L1196" s="3">
        <v>0</v>
      </c>
      <c r="M1196" s="3">
        <v>0</v>
      </c>
      <c r="N1196" s="5">
        <v>4000</v>
      </c>
      <c r="O1196" s="3">
        <v>0</v>
      </c>
      <c r="P1196" s="5">
        <v>4500</v>
      </c>
      <c r="Q1196" s="3">
        <v>0</v>
      </c>
      <c r="R1196" s="5">
        <v>16000</v>
      </c>
      <c r="S1196" s="5">
        <v>1500</v>
      </c>
      <c r="T1196" s="3">
        <v>0</v>
      </c>
      <c r="U1196" s="3">
        <v>0</v>
      </c>
      <c r="V1196" s="3">
        <v>0</v>
      </c>
      <c r="W1196" s="3">
        <v>0</v>
      </c>
      <c r="X1196" s="5">
        <v>1000</v>
      </c>
      <c r="Y1196" s="3">
        <v>0</v>
      </c>
      <c r="Z1196" s="5">
        <v>2000</v>
      </c>
      <c r="AA1196" s="5">
        <v>16000</v>
      </c>
      <c r="AB1196" s="6">
        <v>704100</v>
      </c>
      <c r="AC1196" s="2" t="str">
        <f>VLOOKUP(E1196,'[1]Detailed Transfer Report (12)'!$K:$Y,13,FALSE)</f>
        <v>Muhammad Adnan Ashraf</v>
      </c>
      <c r="AD1196" s="2" t="str">
        <f>VLOOKUP(E1196,'[1]Detailed Transfer Report (12)'!$K:$Y,14,FALSE)</f>
        <v>Sardar Yasir Ilyas</v>
      </c>
      <c r="AE1196" s="16">
        <f>VLOOKUP(E1196,'[1]Detailed Transfer Report (12)'!$K:$Y,15,FALSE)</f>
        <v>44919</v>
      </c>
    </row>
    <row r="1197" spans="1:31" x14ac:dyDescent="0.25">
      <c r="A1197" s="9">
        <v>650</v>
      </c>
      <c r="B1197" s="4">
        <v>44935</v>
      </c>
      <c r="C1197" s="3" t="s">
        <v>137</v>
      </c>
      <c r="D1197" s="3" t="s">
        <v>1564</v>
      </c>
      <c r="E1197" s="3">
        <v>3984</v>
      </c>
      <c r="F1197" s="3">
        <v>31388</v>
      </c>
      <c r="G1197" s="3" t="s">
        <v>1179</v>
      </c>
      <c r="H1197" s="3">
        <v>0</v>
      </c>
      <c r="I1197" s="3">
        <v>0</v>
      </c>
      <c r="J1197" s="5">
        <v>26000</v>
      </c>
      <c r="K1197" s="3">
        <v>0</v>
      </c>
      <c r="L1197" s="3">
        <v>0</v>
      </c>
      <c r="M1197" s="3">
        <v>0</v>
      </c>
      <c r="N1197" s="5">
        <v>13000</v>
      </c>
      <c r="O1197" s="3">
        <v>0</v>
      </c>
      <c r="P1197" s="5">
        <v>14000</v>
      </c>
      <c r="Q1197" s="3">
        <v>0</v>
      </c>
      <c r="R1197" s="5">
        <v>52000</v>
      </c>
      <c r="S1197" s="5">
        <v>5000</v>
      </c>
      <c r="T1197" s="3">
        <v>0</v>
      </c>
      <c r="U1197" s="3">
        <v>0</v>
      </c>
      <c r="V1197" s="3">
        <v>0</v>
      </c>
      <c r="W1197" s="3">
        <v>0</v>
      </c>
      <c r="X1197" s="5">
        <v>1000</v>
      </c>
      <c r="Y1197" s="3">
        <v>0</v>
      </c>
      <c r="Z1197" s="5">
        <v>2000</v>
      </c>
      <c r="AA1197" s="5">
        <v>16000</v>
      </c>
      <c r="AB1197" s="6">
        <v>833100</v>
      </c>
      <c r="AC1197" s="2" t="str">
        <f>VLOOKUP(E1197,'[1]Detailed Transfer Report (12)'!$K:$Y,13,FALSE)</f>
        <v>Shoukat Mubarik</v>
      </c>
      <c r="AD1197" s="2" t="str">
        <f>VLOOKUP(E1197,'[1]Detailed Transfer Report (12)'!$K:$Y,14,FALSE)</f>
        <v>Sardar Yasir Ilyas</v>
      </c>
      <c r="AE1197" s="16">
        <f>VLOOKUP(E1197,'[1]Detailed Transfer Report (12)'!$K:$Y,15,FALSE)</f>
        <v>44919</v>
      </c>
    </row>
    <row r="1198" spans="1:31" x14ac:dyDescent="0.25">
      <c r="A1198" s="9">
        <v>650</v>
      </c>
      <c r="B1198" s="4">
        <v>44935</v>
      </c>
      <c r="C1198" s="3" t="s">
        <v>44</v>
      </c>
      <c r="D1198" s="3" t="s">
        <v>1563</v>
      </c>
      <c r="E1198" s="3">
        <v>3938</v>
      </c>
      <c r="F1198" s="3">
        <v>31391</v>
      </c>
      <c r="G1198" s="3" t="s">
        <v>1179</v>
      </c>
      <c r="H1198" s="3">
        <v>0</v>
      </c>
      <c r="I1198" s="3">
        <v>0</v>
      </c>
      <c r="J1198" s="5">
        <v>50000</v>
      </c>
      <c r="K1198" s="3">
        <v>0</v>
      </c>
      <c r="L1198" s="3">
        <v>0</v>
      </c>
      <c r="M1198" s="3">
        <v>0</v>
      </c>
      <c r="N1198" s="5">
        <v>25000</v>
      </c>
      <c r="O1198" s="3">
        <v>0</v>
      </c>
      <c r="P1198" s="5">
        <v>26000</v>
      </c>
      <c r="Q1198" s="3">
        <v>0</v>
      </c>
      <c r="R1198" s="5">
        <v>100000</v>
      </c>
      <c r="S1198" s="5">
        <v>5000</v>
      </c>
      <c r="T1198" s="3">
        <v>0</v>
      </c>
      <c r="U1198" s="3">
        <v>0</v>
      </c>
      <c r="V1198" s="3">
        <v>0</v>
      </c>
      <c r="W1198" s="3">
        <v>0</v>
      </c>
      <c r="X1198" s="5">
        <v>1000</v>
      </c>
      <c r="Y1198" s="3">
        <v>0</v>
      </c>
      <c r="Z1198" s="5">
        <v>2000</v>
      </c>
      <c r="AA1198" s="5">
        <v>16000</v>
      </c>
      <c r="AB1198" s="6">
        <v>1058100</v>
      </c>
      <c r="AC1198" s="2" t="str">
        <f>VLOOKUP(E1198,'[1]Detailed Transfer Report (12)'!$K:$Y,13,FALSE)</f>
        <v>Muhammad Azhar</v>
      </c>
      <c r="AD1198" s="2" t="str">
        <f>VLOOKUP(E1198,'[1]Detailed Transfer Report (12)'!$K:$Y,14,FALSE)</f>
        <v>Sardar Yasir Ilyas</v>
      </c>
      <c r="AE1198" s="16">
        <f>VLOOKUP(E1198,'[1]Detailed Transfer Report (12)'!$K:$Y,15,FALSE)</f>
        <v>44919</v>
      </c>
    </row>
    <row r="1199" spans="1:31" x14ac:dyDescent="0.25">
      <c r="A1199" s="10">
        <v>650</v>
      </c>
      <c r="B1199" s="4">
        <v>44972</v>
      </c>
      <c r="C1199" s="3" t="s">
        <v>44</v>
      </c>
      <c r="D1199" s="3" t="s">
        <v>1545</v>
      </c>
      <c r="E1199" s="3">
        <v>3943</v>
      </c>
      <c r="F1199" s="3">
        <v>2011</v>
      </c>
      <c r="G1199" s="3" t="s">
        <v>1179</v>
      </c>
      <c r="H1199" s="3">
        <v>0</v>
      </c>
      <c r="I1199" s="3">
        <v>0</v>
      </c>
      <c r="J1199" s="5">
        <v>50000</v>
      </c>
      <c r="K1199" s="3">
        <v>0</v>
      </c>
      <c r="L1199" s="3">
        <v>0</v>
      </c>
      <c r="M1199" s="3">
        <v>0</v>
      </c>
      <c r="N1199" s="5">
        <v>25000</v>
      </c>
      <c r="O1199" s="3">
        <v>0</v>
      </c>
      <c r="P1199" s="5">
        <v>26000</v>
      </c>
      <c r="Q1199" s="3">
        <v>0</v>
      </c>
      <c r="R1199" s="5">
        <v>100000</v>
      </c>
      <c r="S1199" s="5">
        <v>7000</v>
      </c>
      <c r="T1199" s="5">
        <v>1000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5">
        <v>2000</v>
      </c>
      <c r="AA1199" s="5">
        <v>16000</v>
      </c>
      <c r="AB1199" s="6">
        <v>1285100</v>
      </c>
      <c r="AC1199" s="2" t="str">
        <f>VLOOKUP(E1199,'[1]Detailed Transfer Report (12)'!$K:$Y,13,FALSE)</f>
        <v>Aurangzaib</v>
      </c>
      <c r="AD1199" s="2" t="str">
        <f>VLOOKUP(E1199,'[1]Detailed Transfer Report (12)'!$K:$Y,14,FALSE)</f>
        <v>Sardar Yasir Ilyas</v>
      </c>
      <c r="AE1199" s="16">
        <f>VLOOKUP(E1199,'[1]Detailed Transfer Report (12)'!$K:$Y,15,FALSE)</f>
        <v>44947</v>
      </c>
    </row>
    <row r="1200" spans="1:31" x14ac:dyDescent="0.25">
      <c r="A1200" s="7">
        <v>651</v>
      </c>
      <c r="B1200" s="4">
        <v>45097</v>
      </c>
      <c r="C1200" s="3" t="s">
        <v>427</v>
      </c>
      <c r="D1200" s="3" t="s">
        <v>822</v>
      </c>
      <c r="E1200" s="3"/>
      <c r="F1200" s="3">
        <v>17597</v>
      </c>
      <c r="G1200" s="3" t="s">
        <v>756</v>
      </c>
      <c r="H1200" s="3">
        <v>0</v>
      </c>
      <c r="I1200" s="3">
        <v>0</v>
      </c>
      <c r="J1200" s="5">
        <v>40000</v>
      </c>
      <c r="K1200" s="3">
        <v>0</v>
      </c>
      <c r="L1200" s="3">
        <v>0</v>
      </c>
      <c r="M1200" s="3">
        <v>0</v>
      </c>
      <c r="N1200" s="5">
        <v>20000</v>
      </c>
      <c r="O1200" s="3">
        <v>0</v>
      </c>
      <c r="P1200" s="5">
        <v>21000</v>
      </c>
      <c r="Q1200" s="3">
        <v>0</v>
      </c>
      <c r="R1200" s="5">
        <v>80000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5">
        <v>1100</v>
      </c>
      <c r="Y1200" s="3">
        <v>0</v>
      </c>
      <c r="Z1200" s="5">
        <v>2000</v>
      </c>
      <c r="AA1200" s="5">
        <v>16000</v>
      </c>
      <c r="AB1200" s="6">
        <v>180100</v>
      </c>
      <c r="AC1200" s="2" t="str">
        <f>VLOOKUP(F1200,'[1]Detailed Transfer Report (12)'!$L:$Y,12,FALSE)</f>
        <v>Muhammad Saleem</v>
      </c>
      <c r="AD1200" s="2" t="str">
        <f>VLOOKUP(F1200,'[1]Detailed Transfer Report (12)'!$L:$Y,13,FALSE)</f>
        <v>Sardar Tanveer Ilyas</v>
      </c>
      <c r="AE1200" s="16"/>
    </row>
    <row r="1201" spans="1:31" x14ac:dyDescent="0.25">
      <c r="A1201" s="9">
        <v>651</v>
      </c>
      <c r="B1201" s="4">
        <v>45014</v>
      </c>
      <c r="C1201" s="3" t="s">
        <v>68</v>
      </c>
      <c r="D1201" s="3" t="s">
        <v>1565</v>
      </c>
      <c r="E1201" s="3">
        <v>5741</v>
      </c>
      <c r="F1201" s="3">
        <v>10265</v>
      </c>
      <c r="G1201" s="3" t="s">
        <v>756</v>
      </c>
      <c r="H1201" s="3">
        <v>0</v>
      </c>
      <c r="I1201" s="3">
        <v>0</v>
      </c>
      <c r="J1201" s="5">
        <v>175000</v>
      </c>
      <c r="K1201" s="3">
        <v>0</v>
      </c>
      <c r="L1201" s="3">
        <v>0</v>
      </c>
      <c r="M1201" s="3">
        <v>0</v>
      </c>
      <c r="N1201" s="5">
        <v>25000</v>
      </c>
      <c r="O1201" s="3">
        <v>0</v>
      </c>
      <c r="P1201" s="5">
        <v>26000</v>
      </c>
      <c r="Q1201" s="3">
        <v>0</v>
      </c>
      <c r="R1201" s="5">
        <v>100000</v>
      </c>
      <c r="S1201" s="5">
        <v>12000</v>
      </c>
      <c r="T1201" s="3">
        <v>100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5">
        <v>2000</v>
      </c>
      <c r="AA1201" s="5">
        <v>16000</v>
      </c>
      <c r="AB1201" s="6">
        <v>536200</v>
      </c>
      <c r="AC1201" s="2" t="str">
        <f>VLOOKUP(E1201,'[1]Detailed Transfer Report (12)'!$K:$Y,13,FALSE)</f>
        <v>Saqib Mehmood</v>
      </c>
      <c r="AD1201" s="2" t="str">
        <f>VLOOKUP(E1201,'[1]Detailed Transfer Report (12)'!$K:$Y,14,FALSE)</f>
        <v>Sardar Tanveer Ilyas</v>
      </c>
      <c r="AE1201" s="16">
        <f>VLOOKUP(E1201,'[1]Detailed Transfer Report (12)'!$K:$Y,15,FALSE)</f>
        <v>45021</v>
      </c>
    </row>
    <row r="1202" spans="1:31" x14ac:dyDescent="0.25">
      <c r="A1202" s="9">
        <v>651</v>
      </c>
      <c r="B1202" s="4">
        <v>45014</v>
      </c>
      <c r="C1202" s="3" t="s">
        <v>495</v>
      </c>
      <c r="D1202" s="3" t="s">
        <v>1565</v>
      </c>
      <c r="E1202" s="3">
        <v>5742</v>
      </c>
      <c r="F1202" s="3">
        <v>10267</v>
      </c>
      <c r="G1202" s="3" t="s">
        <v>756</v>
      </c>
      <c r="H1202" s="3">
        <v>0</v>
      </c>
      <c r="I1202" s="3">
        <v>0</v>
      </c>
      <c r="J1202" s="5">
        <v>77000</v>
      </c>
      <c r="K1202" s="3">
        <v>0</v>
      </c>
      <c r="L1202" s="3">
        <v>0</v>
      </c>
      <c r="M1202" s="3">
        <v>0</v>
      </c>
      <c r="N1202" s="5">
        <v>11000</v>
      </c>
      <c r="O1202" s="3">
        <v>0</v>
      </c>
      <c r="P1202" s="5">
        <v>12000</v>
      </c>
      <c r="Q1202" s="3">
        <v>0</v>
      </c>
      <c r="R1202" s="5">
        <v>44000</v>
      </c>
      <c r="S1202" s="5">
        <v>6500</v>
      </c>
      <c r="T1202" s="3">
        <v>100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5">
        <v>2000</v>
      </c>
      <c r="AA1202" s="5">
        <v>16000</v>
      </c>
      <c r="AB1202" s="6">
        <v>704800</v>
      </c>
      <c r="AC1202" s="2" t="str">
        <f>VLOOKUP(E1202,'[1]Detailed Transfer Report (12)'!$K:$Y,13,FALSE)</f>
        <v>Sajid Mehmood</v>
      </c>
      <c r="AD1202" s="2" t="str">
        <f>VLOOKUP(E1202,'[1]Detailed Transfer Report (12)'!$K:$Y,14,FALSE)</f>
        <v>Sardar Tanveer Ilyas</v>
      </c>
      <c r="AE1202" s="16">
        <f>VLOOKUP(E1202,'[1]Detailed Transfer Report (12)'!$K:$Y,15,FALSE)</f>
        <v>45021</v>
      </c>
    </row>
    <row r="1203" spans="1:31" x14ac:dyDescent="0.25">
      <c r="A1203" s="9">
        <v>651</v>
      </c>
      <c r="B1203" s="4">
        <v>45014</v>
      </c>
      <c r="C1203" s="3" t="s">
        <v>68</v>
      </c>
      <c r="D1203" s="3" t="s">
        <v>1566</v>
      </c>
      <c r="E1203" s="3">
        <v>5896</v>
      </c>
      <c r="F1203" s="3">
        <v>10266</v>
      </c>
      <c r="G1203" s="3" t="s">
        <v>756</v>
      </c>
      <c r="H1203" s="3">
        <v>0</v>
      </c>
      <c r="I1203" s="3">
        <v>0</v>
      </c>
      <c r="J1203" s="5">
        <v>175000</v>
      </c>
      <c r="K1203" s="3">
        <v>0</v>
      </c>
      <c r="L1203" s="3">
        <v>0</v>
      </c>
      <c r="M1203" s="3">
        <v>0</v>
      </c>
      <c r="N1203" s="5">
        <v>25000</v>
      </c>
      <c r="O1203" s="3">
        <v>0</v>
      </c>
      <c r="P1203" s="5">
        <v>26000</v>
      </c>
      <c r="Q1203" s="3">
        <v>0</v>
      </c>
      <c r="R1203" s="5">
        <v>100000</v>
      </c>
      <c r="S1203" s="5">
        <v>12000</v>
      </c>
      <c r="T1203" s="3">
        <v>100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5">
        <v>2000</v>
      </c>
      <c r="AA1203" s="5">
        <v>16000</v>
      </c>
      <c r="AB1203" s="6">
        <v>1060900</v>
      </c>
      <c r="AC1203" s="2" t="str">
        <f>VLOOKUP(E1203,'[1]Detailed Transfer Report (12)'!$K:$Y,13,FALSE)</f>
        <v>Rameez raja</v>
      </c>
      <c r="AD1203" s="2" t="str">
        <f>VLOOKUP(E1203,'[1]Detailed Transfer Report (12)'!$K:$Y,14,FALSE)</f>
        <v>Sardar Tanveer Ilyas</v>
      </c>
      <c r="AE1203" s="16">
        <f>VLOOKUP(E1203,'[1]Detailed Transfer Report (12)'!$K:$Y,15,FALSE)</f>
        <v>45021</v>
      </c>
    </row>
    <row r="1204" spans="1:31" x14ac:dyDescent="0.25">
      <c r="A1204" s="9">
        <v>651</v>
      </c>
      <c r="B1204" s="4">
        <v>45097</v>
      </c>
      <c r="C1204" s="3" t="s">
        <v>810</v>
      </c>
      <c r="D1204" s="3" t="s">
        <v>1567</v>
      </c>
      <c r="E1204" s="3"/>
      <c r="F1204" s="3">
        <v>17569</v>
      </c>
      <c r="G1204" s="3" t="s">
        <v>756</v>
      </c>
      <c r="H1204" s="3">
        <v>0</v>
      </c>
      <c r="I1204" s="3">
        <v>0</v>
      </c>
      <c r="J1204" s="5">
        <v>160000</v>
      </c>
      <c r="K1204" s="3">
        <v>0</v>
      </c>
      <c r="L1204" s="3">
        <v>0</v>
      </c>
      <c r="M1204" s="3">
        <v>0</v>
      </c>
      <c r="N1204" s="5">
        <v>80000</v>
      </c>
      <c r="O1204" s="3">
        <v>0</v>
      </c>
      <c r="P1204" s="5">
        <v>81000</v>
      </c>
      <c r="Q1204" s="3">
        <v>0</v>
      </c>
      <c r="R1204" s="5">
        <v>320000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5">
        <v>1100</v>
      </c>
      <c r="Y1204" s="3">
        <v>0</v>
      </c>
      <c r="Z1204" s="5">
        <v>2000</v>
      </c>
      <c r="AA1204" s="5">
        <v>80000</v>
      </c>
      <c r="AB1204" s="6">
        <v>1785000</v>
      </c>
      <c r="AC1204" s="2" t="str">
        <f>VLOOKUP(F1204,'[1]Detailed Transfer Report (12)'!$L:$Y,12,FALSE)</f>
        <v>Rashid Mehmood</v>
      </c>
      <c r="AD1204" s="2" t="str">
        <f>VLOOKUP(F1204,'[1]Detailed Transfer Report (12)'!$L:$Y,13,FALSE)</f>
        <v>Sardar Tanveer Ilyas</v>
      </c>
      <c r="AE1204" s="16"/>
    </row>
    <row r="1205" spans="1:31" x14ac:dyDescent="0.25">
      <c r="A1205" s="10">
        <v>651</v>
      </c>
      <c r="B1205" s="4">
        <v>44981</v>
      </c>
      <c r="C1205" s="3" t="s">
        <v>1134</v>
      </c>
      <c r="D1205" s="3" t="s">
        <v>1568</v>
      </c>
      <c r="E1205" s="3">
        <v>5895</v>
      </c>
      <c r="F1205" s="3">
        <v>7736</v>
      </c>
      <c r="G1205" s="3" t="s">
        <v>756</v>
      </c>
      <c r="H1205" s="3">
        <v>0</v>
      </c>
      <c r="I1205" s="3">
        <v>0</v>
      </c>
      <c r="J1205" s="5">
        <v>80000</v>
      </c>
      <c r="K1205" s="3">
        <v>0</v>
      </c>
      <c r="L1205" s="3">
        <v>0</v>
      </c>
      <c r="M1205" s="3">
        <v>0</v>
      </c>
      <c r="N1205" s="5">
        <v>40000</v>
      </c>
      <c r="O1205" s="3">
        <v>0</v>
      </c>
      <c r="P1205" s="5">
        <v>41000</v>
      </c>
      <c r="Q1205" s="3">
        <v>0</v>
      </c>
      <c r="R1205" s="5">
        <v>160000</v>
      </c>
      <c r="S1205" s="5">
        <v>17500</v>
      </c>
      <c r="T1205" s="3">
        <v>100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5">
        <v>2000</v>
      </c>
      <c r="AA1205" s="5">
        <v>40000</v>
      </c>
      <c r="AB1205" s="6">
        <v>2165600</v>
      </c>
      <c r="AC1205" s="2" t="str">
        <f>VLOOKUP(E1205,'[1]Detailed Transfer Report (12)'!$K:$Y,13,FALSE)</f>
        <v>Sajid Mehmood</v>
      </c>
      <c r="AD1205" s="2" t="str">
        <f>VLOOKUP(E1205,'[1]Detailed Transfer Report (12)'!$K:$Y,14,FALSE)</f>
        <v>Sardar Rashid Ilyas Khan</v>
      </c>
      <c r="AE1205" s="16">
        <f>VLOOKUP(E1205,'[1]Detailed Transfer Report (12)'!$K:$Y,15,FALSE)</f>
        <v>44998</v>
      </c>
    </row>
    <row r="1206" spans="1:31" x14ac:dyDescent="0.25">
      <c r="A1206" s="7">
        <v>652</v>
      </c>
      <c r="B1206" s="4">
        <v>44957</v>
      </c>
      <c r="C1206" s="3" t="s">
        <v>1569</v>
      </c>
      <c r="D1206" s="3" t="s">
        <v>1570</v>
      </c>
      <c r="E1206" s="3">
        <v>687</v>
      </c>
      <c r="F1206" s="3">
        <v>5360</v>
      </c>
      <c r="G1206" s="3" t="s">
        <v>41</v>
      </c>
      <c r="H1206" s="3">
        <v>0</v>
      </c>
      <c r="I1206" s="3">
        <v>0</v>
      </c>
      <c r="J1206" s="5">
        <v>320000</v>
      </c>
      <c r="K1206" s="3">
        <v>0</v>
      </c>
      <c r="L1206" s="3">
        <v>0</v>
      </c>
      <c r="M1206" s="3">
        <v>0</v>
      </c>
      <c r="N1206" s="5">
        <v>160000</v>
      </c>
      <c r="O1206" s="3">
        <v>0</v>
      </c>
      <c r="P1206" s="5">
        <v>161000</v>
      </c>
      <c r="Q1206" s="3">
        <v>0</v>
      </c>
      <c r="R1206" s="5">
        <v>320000</v>
      </c>
      <c r="S1206" s="5">
        <v>77000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5">
        <v>2000</v>
      </c>
      <c r="AA1206" s="5">
        <v>160000</v>
      </c>
      <c r="AB1206" s="6">
        <v>1200000</v>
      </c>
      <c r="AC1206" s="2" t="str">
        <f>VLOOKUP(E1206,'[1]Detailed Transfer Report (12)'!$K:$Y,13,FALSE)</f>
        <v>Shahid Mehmood</v>
      </c>
      <c r="AD1206" s="2" t="str">
        <f>VLOOKUP(E1206,'[1]Detailed Transfer Report (12)'!$K:$Y,14,FALSE)</f>
        <v>Sardar Rashid Ilyas Khan</v>
      </c>
      <c r="AE1206" s="16">
        <f>VLOOKUP(E1206,'[1]Detailed Transfer Report (12)'!$K:$Y,15,FALSE)</f>
        <v>44977</v>
      </c>
    </row>
    <row r="1207" spans="1:31" x14ac:dyDescent="0.25">
      <c r="A1207" s="9">
        <v>652</v>
      </c>
      <c r="B1207" s="4">
        <v>44958</v>
      </c>
      <c r="C1207" s="3" t="s">
        <v>1571</v>
      </c>
      <c r="D1207" s="3" t="s">
        <v>1570</v>
      </c>
      <c r="E1207" s="3">
        <v>652</v>
      </c>
      <c r="F1207" s="3">
        <v>4033</v>
      </c>
      <c r="G1207" s="3" t="s">
        <v>41</v>
      </c>
      <c r="H1207" s="3">
        <v>0</v>
      </c>
      <c r="I1207" s="3">
        <v>0</v>
      </c>
      <c r="J1207" s="5">
        <v>220000</v>
      </c>
      <c r="K1207" s="3">
        <v>0</v>
      </c>
      <c r="L1207" s="3">
        <v>0</v>
      </c>
      <c r="M1207" s="3">
        <v>0</v>
      </c>
      <c r="N1207" s="5">
        <v>110000</v>
      </c>
      <c r="O1207" s="3">
        <v>0</v>
      </c>
      <c r="P1207" s="5">
        <v>111000</v>
      </c>
      <c r="Q1207" s="3">
        <v>0</v>
      </c>
      <c r="R1207" s="5">
        <v>220000</v>
      </c>
      <c r="S1207" s="5">
        <v>50000</v>
      </c>
      <c r="T1207" s="3">
        <v>100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5">
        <v>2000</v>
      </c>
      <c r="AA1207" s="5">
        <v>110000</v>
      </c>
      <c r="AB1207" s="6">
        <v>2023100</v>
      </c>
      <c r="AC1207" s="2" t="str">
        <f>VLOOKUP(E1207,'[1]Detailed Transfer Report (12)'!$K:$Y,13,FALSE)</f>
        <v>Shahzada Khan</v>
      </c>
      <c r="AD1207" s="2" t="str">
        <f>VLOOKUP(E1207,'[1]Detailed Transfer Report (12)'!$K:$Y,14,FALSE)</f>
        <v>Sardar Rashid Ilyas Khan</v>
      </c>
      <c r="AE1207" s="16">
        <f>VLOOKUP(E1207,'[1]Detailed Transfer Report (12)'!$K:$Y,15,FALSE)</f>
        <v>44966</v>
      </c>
    </row>
    <row r="1208" spans="1:31" x14ac:dyDescent="0.25">
      <c r="A1208" s="10">
        <v>652</v>
      </c>
      <c r="B1208" s="4">
        <v>44919</v>
      </c>
      <c r="C1208" s="3" t="s">
        <v>1572</v>
      </c>
      <c r="D1208" s="3" t="s">
        <v>1573</v>
      </c>
      <c r="E1208" s="3"/>
      <c r="F1208" s="3">
        <v>20854</v>
      </c>
      <c r="G1208" s="3" t="s">
        <v>41</v>
      </c>
      <c r="H1208" s="3">
        <v>0</v>
      </c>
      <c r="I1208" s="3">
        <v>0</v>
      </c>
      <c r="J1208" s="5">
        <v>45000</v>
      </c>
      <c r="K1208" s="3">
        <v>0</v>
      </c>
      <c r="L1208" s="3">
        <v>0</v>
      </c>
      <c r="M1208" s="3">
        <v>0</v>
      </c>
      <c r="N1208" s="5">
        <v>15000</v>
      </c>
      <c r="O1208" s="3">
        <v>0</v>
      </c>
      <c r="P1208" s="5">
        <v>16000</v>
      </c>
      <c r="Q1208" s="3">
        <v>0</v>
      </c>
      <c r="R1208" s="5">
        <v>45000</v>
      </c>
      <c r="S1208" s="3">
        <v>0</v>
      </c>
      <c r="T1208" s="5">
        <v>8000</v>
      </c>
      <c r="U1208" s="3">
        <v>0</v>
      </c>
      <c r="V1208" s="5">
        <v>8100</v>
      </c>
      <c r="W1208" s="3">
        <v>0</v>
      </c>
      <c r="X1208" s="5">
        <v>1300</v>
      </c>
      <c r="Y1208" s="3">
        <v>0</v>
      </c>
      <c r="Z1208" s="5">
        <v>2000</v>
      </c>
      <c r="AA1208" s="5">
        <v>16000</v>
      </c>
      <c r="AB1208" s="6">
        <v>2179500</v>
      </c>
      <c r="AC1208" s="2" t="str">
        <f>VLOOKUP(F1208,'[1]Detailed Transfer Report (12)'!$L:$Y,12,FALSE)</f>
        <v>Shahzada Khan</v>
      </c>
      <c r="AD1208" s="2" t="str">
        <f>VLOOKUP(F1208,'[1]Detailed Transfer Report (12)'!$L:$Y,13,FALSE)</f>
        <v>Sardar Tanveer Ilyas</v>
      </c>
      <c r="AE1208" s="16"/>
    </row>
    <row r="1209" spans="1:31" x14ac:dyDescent="0.25">
      <c r="A1209" s="7">
        <v>653</v>
      </c>
      <c r="B1209" s="4">
        <v>44966</v>
      </c>
      <c r="C1209" s="3" t="s">
        <v>1574</v>
      </c>
      <c r="D1209" s="3" t="s">
        <v>1545</v>
      </c>
      <c r="E1209" s="3">
        <v>3944</v>
      </c>
      <c r="F1209" s="3">
        <v>2977</v>
      </c>
      <c r="G1209" s="3" t="s">
        <v>1179</v>
      </c>
      <c r="H1209" s="3">
        <v>0</v>
      </c>
      <c r="I1209" s="3">
        <v>0</v>
      </c>
      <c r="J1209" s="5">
        <v>5000</v>
      </c>
      <c r="K1209" s="3">
        <v>0</v>
      </c>
      <c r="L1209" s="3">
        <v>0</v>
      </c>
      <c r="M1209" s="3">
        <v>0</v>
      </c>
      <c r="N1209" s="5">
        <v>2500</v>
      </c>
      <c r="O1209" s="3">
        <v>0</v>
      </c>
      <c r="P1209" s="5">
        <v>3000</v>
      </c>
      <c r="Q1209" s="3">
        <v>0</v>
      </c>
      <c r="R1209" s="5">
        <v>10000</v>
      </c>
      <c r="S1209" s="5">
        <v>1000</v>
      </c>
      <c r="T1209" s="3">
        <v>0</v>
      </c>
      <c r="U1209" s="3">
        <v>0</v>
      </c>
      <c r="V1209" s="3">
        <v>0</v>
      </c>
      <c r="W1209" s="3">
        <v>0</v>
      </c>
      <c r="X1209" s="5">
        <v>1000</v>
      </c>
      <c r="Y1209" s="3">
        <v>0</v>
      </c>
      <c r="Z1209" s="5">
        <v>2000</v>
      </c>
      <c r="AA1209" s="5">
        <v>16000</v>
      </c>
      <c r="AB1209" s="6">
        <v>40500</v>
      </c>
      <c r="AC1209" s="2" t="str">
        <f>VLOOKUP(E1209,'[1]Detailed Transfer Report (12)'!$K:$Y,13,FALSE)</f>
        <v>Tahira Jabeen</v>
      </c>
      <c r="AD1209" s="2" t="str">
        <f>VLOOKUP(E1209,'[1]Detailed Transfer Report (12)'!$K:$Y,14,FALSE)</f>
        <v>Sardar Rashid Ilyas Khan</v>
      </c>
      <c r="AE1209" s="16">
        <f>VLOOKUP(E1209,'[1]Detailed Transfer Report (12)'!$K:$Y,15,FALSE)</f>
        <v>44957</v>
      </c>
    </row>
    <row r="1210" spans="1:31" x14ac:dyDescent="0.25">
      <c r="A1210" s="9">
        <v>653</v>
      </c>
      <c r="B1210" s="4">
        <v>44966</v>
      </c>
      <c r="C1210" s="3" t="s">
        <v>76</v>
      </c>
      <c r="D1210" s="3" t="s">
        <v>1549</v>
      </c>
      <c r="E1210" s="3"/>
      <c r="F1210" s="3">
        <v>1108</v>
      </c>
      <c r="G1210" s="3" t="s">
        <v>1179</v>
      </c>
      <c r="H1210" s="3">
        <v>0</v>
      </c>
      <c r="I1210" s="3">
        <v>0</v>
      </c>
      <c r="J1210" s="5">
        <v>22000</v>
      </c>
      <c r="K1210" s="3">
        <v>0</v>
      </c>
      <c r="L1210" s="3">
        <v>0</v>
      </c>
      <c r="M1210" s="3">
        <v>0</v>
      </c>
      <c r="N1210" s="5">
        <v>11000</v>
      </c>
      <c r="O1210" s="3">
        <v>0</v>
      </c>
      <c r="P1210" s="5">
        <v>12000</v>
      </c>
      <c r="Q1210" s="3">
        <v>0</v>
      </c>
      <c r="R1210" s="5">
        <v>44000</v>
      </c>
      <c r="S1210" s="5">
        <v>4000</v>
      </c>
      <c r="T1210" s="3">
        <v>0</v>
      </c>
      <c r="U1210" s="3">
        <v>0</v>
      </c>
      <c r="V1210" s="3">
        <v>0</v>
      </c>
      <c r="W1210" s="3">
        <v>0</v>
      </c>
      <c r="X1210" s="5">
        <v>1000</v>
      </c>
      <c r="Y1210" s="3">
        <v>0</v>
      </c>
      <c r="Z1210" s="5">
        <v>2000</v>
      </c>
      <c r="AA1210" s="5">
        <v>16000</v>
      </c>
      <c r="AB1210" s="6">
        <v>152500</v>
      </c>
      <c r="AC1210" s="2" t="str">
        <f>VLOOKUP(F1210,'[1]Detailed Transfer Report (12)'!$L:$Y,12,FALSE)</f>
        <v>Zahida Naeem</v>
      </c>
      <c r="AD1210" s="2" t="str">
        <f>VLOOKUP(F1210,'[1]Detailed Transfer Report (12)'!$L:$Y,13,FALSE)</f>
        <v>Sardar Yasir Ilyas</v>
      </c>
      <c r="AE1210" s="16">
        <f>VLOOKUP(F1210,'[1]Detailed Transfer Report (12)'!$L:$Y,14,FALSE)</f>
        <v>44938</v>
      </c>
    </row>
    <row r="1211" spans="1:31" x14ac:dyDescent="0.25">
      <c r="A1211" s="9">
        <v>653</v>
      </c>
      <c r="B1211" s="4">
        <v>44971</v>
      </c>
      <c r="C1211" s="3" t="s">
        <v>143</v>
      </c>
      <c r="D1211" s="3" t="s">
        <v>1575</v>
      </c>
      <c r="E1211" s="3">
        <v>4019</v>
      </c>
      <c r="F1211" s="3">
        <v>6204</v>
      </c>
      <c r="G1211" s="3" t="s">
        <v>1179</v>
      </c>
      <c r="H1211" s="3">
        <v>0</v>
      </c>
      <c r="I1211" s="3">
        <v>0</v>
      </c>
      <c r="J1211" s="5">
        <v>54000</v>
      </c>
      <c r="K1211" s="3">
        <v>0</v>
      </c>
      <c r="L1211" s="3">
        <v>0</v>
      </c>
      <c r="M1211" s="3">
        <v>0</v>
      </c>
      <c r="N1211" s="5">
        <v>27000</v>
      </c>
      <c r="O1211" s="3">
        <v>0</v>
      </c>
      <c r="P1211" s="5">
        <v>28000</v>
      </c>
      <c r="Q1211" s="3">
        <v>0</v>
      </c>
      <c r="R1211" s="5">
        <v>108000</v>
      </c>
      <c r="S1211" s="3">
        <v>0</v>
      </c>
      <c r="T1211" s="5">
        <v>8000</v>
      </c>
      <c r="U1211" s="3">
        <v>0</v>
      </c>
      <c r="V1211" s="5">
        <v>9450</v>
      </c>
      <c r="W1211" s="3">
        <v>0</v>
      </c>
      <c r="X1211" s="5">
        <v>1000</v>
      </c>
      <c r="Y1211" s="3">
        <v>0</v>
      </c>
      <c r="Z1211" s="5">
        <v>2000</v>
      </c>
      <c r="AA1211" s="5">
        <v>16000</v>
      </c>
      <c r="AB1211" s="6">
        <v>405950</v>
      </c>
      <c r="AC1211" s="2" t="str">
        <f>VLOOKUP(E1211,'[1]Detailed Transfer Report (12)'!$K:$Y,13,FALSE)</f>
        <v>Raja Nusrat Zaman</v>
      </c>
      <c r="AD1211" s="2" t="str">
        <f>VLOOKUP(E1211,'[1]Detailed Transfer Report (12)'!$K:$Y,14,FALSE)</f>
        <v>Sardar Rashid Ilyas Khan</v>
      </c>
      <c r="AE1211" s="16">
        <f>VLOOKUP(E1211,'[1]Detailed Transfer Report (12)'!$K:$Y,15,FALSE)</f>
        <v>44984</v>
      </c>
    </row>
    <row r="1212" spans="1:31" x14ac:dyDescent="0.25">
      <c r="A1212" s="10">
        <v>653</v>
      </c>
      <c r="B1212" s="4">
        <v>45012</v>
      </c>
      <c r="C1212" s="3" t="s">
        <v>1576</v>
      </c>
      <c r="D1212" s="3" t="s">
        <v>1543</v>
      </c>
      <c r="E1212" s="3">
        <v>4092</v>
      </c>
      <c r="F1212" s="3">
        <v>7785</v>
      </c>
      <c r="G1212" s="3" t="s">
        <v>1179</v>
      </c>
      <c r="H1212" s="3">
        <v>0</v>
      </c>
      <c r="I1212" s="3">
        <v>0</v>
      </c>
      <c r="J1212" s="5">
        <v>70000</v>
      </c>
      <c r="K1212" s="3">
        <v>0</v>
      </c>
      <c r="L1212" s="3">
        <v>0</v>
      </c>
      <c r="M1212" s="3">
        <v>0</v>
      </c>
      <c r="N1212" s="5">
        <v>10000</v>
      </c>
      <c r="O1212" s="3">
        <v>0</v>
      </c>
      <c r="P1212" s="5">
        <v>11000</v>
      </c>
      <c r="Q1212" s="3">
        <v>0</v>
      </c>
      <c r="R1212" s="5">
        <v>40000</v>
      </c>
      <c r="S1212" s="5">
        <v>8000</v>
      </c>
      <c r="T1212" s="5">
        <v>1000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5">
        <v>2000</v>
      </c>
      <c r="AA1212" s="5">
        <v>16000</v>
      </c>
      <c r="AB1212" s="6">
        <v>563950</v>
      </c>
      <c r="AC1212" s="2" t="str">
        <f>VLOOKUP(E1212,'[1]Detailed Transfer Report (12)'!$K:$Y,13,FALSE)</f>
        <v>Farhat Jabeen</v>
      </c>
      <c r="AD1212" s="2" t="str">
        <f>VLOOKUP(E1212,'[1]Detailed Transfer Report (12)'!$K:$Y,14,FALSE)</f>
        <v>Sardar Rashid Ilyas Khan</v>
      </c>
      <c r="AE1212" s="16">
        <f>VLOOKUP(E1212,'[1]Detailed Transfer Report (12)'!$K:$Y,15,FALSE)</f>
        <v>44998</v>
      </c>
    </row>
    <row r="1213" spans="1:31" x14ac:dyDescent="0.25">
      <c r="A1213" s="3">
        <v>654</v>
      </c>
      <c r="B1213" s="4">
        <v>44966</v>
      </c>
      <c r="C1213" s="3" t="s">
        <v>1577</v>
      </c>
      <c r="D1213" s="3" t="s">
        <v>1556</v>
      </c>
      <c r="E1213" s="3">
        <v>644</v>
      </c>
      <c r="F1213" s="3">
        <v>4245</v>
      </c>
      <c r="G1213" s="3" t="s">
        <v>41</v>
      </c>
      <c r="H1213" s="3">
        <v>0</v>
      </c>
      <c r="I1213" s="3">
        <v>0</v>
      </c>
      <c r="J1213" s="5">
        <v>647000</v>
      </c>
      <c r="K1213" s="3">
        <v>0</v>
      </c>
      <c r="L1213" s="3">
        <v>0</v>
      </c>
      <c r="M1213" s="3">
        <v>0</v>
      </c>
      <c r="N1213" s="5">
        <v>323500</v>
      </c>
      <c r="O1213" s="3">
        <v>0</v>
      </c>
      <c r="P1213" s="5">
        <v>324500</v>
      </c>
      <c r="Q1213" s="3">
        <v>0</v>
      </c>
      <c r="R1213" s="5">
        <v>1294000</v>
      </c>
      <c r="S1213" s="5">
        <v>50500</v>
      </c>
      <c r="T1213" s="3">
        <v>100</v>
      </c>
      <c r="U1213" s="3">
        <v>0</v>
      </c>
      <c r="V1213" s="5">
        <v>100000</v>
      </c>
      <c r="W1213" s="3">
        <v>0</v>
      </c>
      <c r="X1213" s="3">
        <v>0</v>
      </c>
      <c r="Y1213" s="3">
        <v>0</v>
      </c>
      <c r="Z1213" s="5">
        <v>2000</v>
      </c>
      <c r="AA1213" s="5">
        <v>723500</v>
      </c>
      <c r="AB1213" s="6">
        <v>3465100</v>
      </c>
      <c r="AC1213" s="2" t="str">
        <f>VLOOKUP(E1213,'[1]Detailed Transfer Report (12)'!$K:$Y,13,FALSE)</f>
        <v>Aurangzeb</v>
      </c>
      <c r="AD1213" s="2" t="str">
        <f>VLOOKUP(E1213,'[1]Detailed Transfer Report (12)'!$K:$Y,14,FALSE)</f>
        <v>Sardar Rashid Ilyas Khan</v>
      </c>
      <c r="AE1213" s="16">
        <f>VLOOKUP(E1213,'[1]Detailed Transfer Report (12)'!$K:$Y,15,FALSE)</f>
        <v>44967</v>
      </c>
    </row>
    <row r="1214" spans="1:31" x14ac:dyDescent="0.25">
      <c r="A1214" s="7">
        <v>655</v>
      </c>
      <c r="B1214" s="4">
        <v>45079</v>
      </c>
      <c r="C1214" s="3" t="s">
        <v>581</v>
      </c>
      <c r="D1214" s="3" t="s">
        <v>1578</v>
      </c>
      <c r="E1214" s="3">
        <v>145</v>
      </c>
      <c r="F1214" s="3">
        <v>14897</v>
      </c>
      <c r="G1214" s="3" t="s">
        <v>1469</v>
      </c>
      <c r="H1214" s="3">
        <v>0</v>
      </c>
      <c r="I1214" s="3">
        <v>0</v>
      </c>
      <c r="J1214" s="5">
        <v>136500</v>
      </c>
      <c r="K1214" s="3">
        <v>0</v>
      </c>
      <c r="L1214" s="3">
        <v>0</v>
      </c>
      <c r="M1214" s="3">
        <v>0</v>
      </c>
      <c r="N1214" s="5">
        <v>19500</v>
      </c>
      <c r="O1214" s="3">
        <v>0</v>
      </c>
      <c r="P1214" s="5">
        <v>20500</v>
      </c>
      <c r="Q1214" s="3">
        <v>0</v>
      </c>
      <c r="R1214" s="5">
        <v>78000</v>
      </c>
      <c r="S1214" s="3">
        <v>0</v>
      </c>
      <c r="T1214" s="3">
        <v>100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5">
        <v>2000</v>
      </c>
      <c r="AA1214" s="5">
        <v>16000</v>
      </c>
      <c r="AB1214" s="6">
        <v>272600</v>
      </c>
      <c r="AC1214" s="2" t="str">
        <f>VLOOKUP(E1214,'[1]Detailed Transfer Report (12)'!$K:$Y,13,FALSE)</f>
        <v>Zubair Ahmed</v>
      </c>
      <c r="AD1214" s="2" t="str">
        <f>VLOOKUP(E1214,'[1]Detailed Transfer Report (12)'!$K:$Y,14,FALSE)</f>
        <v>Sardar Tanveer Ilyas</v>
      </c>
      <c r="AE1214" s="16">
        <f>VLOOKUP(E1214,'[1]Detailed Transfer Report (12)'!$K:$Y,15,FALSE)</f>
        <v>45076</v>
      </c>
    </row>
    <row r="1215" spans="1:31" x14ac:dyDescent="0.25">
      <c r="A1215" s="9">
        <v>655</v>
      </c>
      <c r="B1215" s="4">
        <v>45048</v>
      </c>
      <c r="C1215" s="3" t="s">
        <v>44</v>
      </c>
      <c r="D1215" s="3" t="s">
        <v>1546</v>
      </c>
      <c r="E1215" s="3">
        <v>144</v>
      </c>
      <c r="F1215" s="3">
        <v>12169</v>
      </c>
      <c r="G1215" s="3" t="s">
        <v>1469</v>
      </c>
      <c r="H1215" s="3">
        <v>0</v>
      </c>
      <c r="I1215" s="3">
        <v>0</v>
      </c>
      <c r="J1215" s="5">
        <v>224000</v>
      </c>
      <c r="K1215" s="3">
        <v>0</v>
      </c>
      <c r="L1215" s="3">
        <v>0</v>
      </c>
      <c r="M1215" s="3">
        <v>0</v>
      </c>
      <c r="N1215" s="5">
        <v>32000</v>
      </c>
      <c r="O1215" s="3">
        <v>0</v>
      </c>
      <c r="P1215" s="5">
        <v>33000</v>
      </c>
      <c r="Q1215" s="3">
        <v>0</v>
      </c>
      <c r="R1215" s="5">
        <v>128000</v>
      </c>
      <c r="S1215" s="3">
        <v>0</v>
      </c>
      <c r="T1215" s="3">
        <v>100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5">
        <v>2000</v>
      </c>
      <c r="AA1215" s="5">
        <v>16000</v>
      </c>
      <c r="AB1215" s="6">
        <v>707700</v>
      </c>
      <c r="AC1215" s="2" t="str">
        <f>VLOOKUP(E1215,'[1]Detailed Transfer Report (12)'!$K:$Y,13,FALSE)</f>
        <v>Zahida Parveen</v>
      </c>
      <c r="AD1215" s="2" t="str">
        <f>VLOOKUP(E1215,'[1]Detailed Transfer Report (12)'!$K:$Y,14,FALSE)</f>
        <v>Sardar Tanveer Ilyas</v>
      </c>
      <c r="AE1215" s="16">
        <f>VLOOKUP(E1215,'[1]Detailed Transfer Report (12)'!$K:$Y,15,FALSE)</f>
        <v>45052</v>
      </c>
    </row>
    <row r="1216" spans="1:31" x14ac:dyDescent="0.25">
      <c r="A1216" s="9">
        <v>655</v>
      </c>
      <c r="B1216" s="4">
        <v>44971</v>
      </c>
      <c r="C1216" s="3" t="s">
        <v>171</v>
      </c>
      <c r="D1216" s="3" t="s">
        <v>1568</v>
      </c>
      <c r="E1216" s="3">
        <v>124</v>
      </c>
      <c r="F1216" s="3">
        <v>5454</v>
      </c>
      <c r="G1216" s="3" t="s">
        <v>1469</v>
      </c>
      <c r="H1216" s="3">
        <v>0</v>
      </c>
      <c r="I1216" s="3">
        <v>0</v>
      </c>
      <c r="J1216" s="5">
        <v>450000</v>
      </c>
      <c r="K1216" s="3">
        <v>0</v>
      </c>
      <c r="L1216" s="3">
        <v>0</v>
      </c>
      <c r="M1216" s="3">
        <v>0</v>
      </c>
      <c r="N1216" s="5">
        <v>225000</v>
      </c>
      <c r="O1216" s="3">
        <v>0</v>
      </c>
      <c r="P1216" s="5">
        <v>226000</v>
      </c>
      <c r="Q1216" s="3">
        <v>0</v>
      </c>
      <c r="R1216" s="5">
        <v>900000</v>
      </c>
      <c r="S1216" s="5">
        <v>49000</v>
      </c>
      <c r="T1216" s="3">
        <v>100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5">
        <v>2000</v>
      </c>
      <c r="AA1216" s="5">
        <v>225000</v>
      </c>
      <c r="AB1216" s="6">
        <v>2784800</v>
      </c>
      <c r="AC1216" s="2" t="str">
        <f>VLOOKUP(E1216,'[1]Detailed Transfer Report (12)'!$K:$Y,13,FALSE)</f>
        <v>Malik Zubair Awan</v>
      </c>
      <c r="AD1216" s="2" t="str">
        <f>VLOOKUP(E1216,'[1]Detailed Transfer Report (12)'!$K:$Y,14,FALSE)</f>
        <v>Sardar Rashid Ilyas Khan</v>
      </c>
      <c r="AE1216" s="16">
        <f>VLOOKUP(E1216,'[1]Detailed Transfer Report (12)'!$K:$Y,15,FALSE)</f>
        <v>44978</v>
      </c>
    </row>
    <row r="1217" spans="1:31" x14ac:dyDescent="0.25">
      <c r="A1217" s="10">
        <v>655</v>
      </c>
      <c r="B1217" s="4">
        <v>45120</v>
      </c>
      <c r="C1217" s="3" t="s">
        <v>377</v>
      </c>
      <c r="D1217" s="3" t="s">
        <v>1579</v>
      </c>
      <c r="E1217" s="3">
        <v>122</v>
      </c>
      <c r="F1217" s="3">
        <v>18326</v>
      </c>
      <c r="G1217" s="3" t="s">
        <v>1469</v>
      </c>
      <c r="H1217" s="3">
        <v>0</v>
      </c>
      <c r="I1217" s="3">
        <v>0</v>
      </c>
      <c r="J1217" s="5">
        <v>26000</v>
      </c>
      <c r="K1217" s="3">
        <v>0</v>
      </c>
      <c r="L1217" s="3">
        <v>0</v>
      </c>
      <c r="M1217" s="3">
        <v>0</v>
      </c>
      <c r="N1217" s="5">
        <v>13000</v>
      </c>
      <c r="O1217" s="3">
        <v>0</v>
      </c>
      <c r="P1217" s="5">
        <v>14000</v>
      </c>
      <c r="Q1217" s="3">
        <v>0</v>
      </c>
      <c r="R1217" s="5">
        <v>52000</v>
      </c>
      <c r="S1217" s="3">
        <v>0</v>
      </c>
      <c r="T1217" s="5">
        <v>8000</v>
      </c>
      <c r="U1217" s="3">
        <v>0</v>
      </c>
      <c r="V1217" s="5">
        <v>3600</v>
      </c>
      <c r="W1217" s="3">
        <v>0</v>
      </c>
      <c r="X1217" s="3">
        <v>0</v>
      </c>
      <c r="Y1217" s="3">
        <v>0</v>
      </c>
      <c r="Z1217" s="5">
        <v>2100</v>
      </c>
      <c r="AA1217" s="5">
        <v>16000</v>
      </c>
      <c r="AB1217" s="6">
        <v>2919500</v>
      </c>
      <c r="AC1217" s="2" t="str">
        <f>VLOOKUP(E1217,'[1]Detailed Transfer Report (12)'!$K:$Y,13,FALSE)</f>
        <v>Zubair Ahmed</v>
      </c>
      <c r="AD1217" s="2" t="str">
        <f>VLOOKUP(E1217,'[1]Detailed Transfer Report (12)'!$K:$Y,14,FALSE)</f>
        <v>Sardar Tanveer Ilyas</v>
      </c>
      <c r="AE1217" s="16">
        <f>VLOOKUP(E1217,'[1]Detailed Transfer Report (12)'!$K:$Y,15,FALSE)</f>
        <v>45101</v>
      </c>
    </row>
    <row r="1218" spans="1:31" x14ac:dyDescent="0.25">
      <c r="A1218" s="7">
        <v>656</v>
      </c>
      <c r="B1218" s="4">
        <v>44987</v>
      </c>
      <c r="C1218" s="3" t="s">
        <v>1580</v>
      </c>
      <c r="D1218" s="3" t="s">
        <v>1581</v>
      </c>
      <c r="E1218" s="3"/>
      <c r="F1218" s="3">
        <v>7559</v>
      </c>
      <c r="G1218" s="3" t="s">
        <v>41</v>
      </c>
      <c r="H1218" s="3">
        <v>0</v>
      </c>
      <c r="I1218" s="3">
        <v>0</v>
      </c>
      <c r="J1218" s="5">
        <v>160000</v>
      </c>
      <c r="K1218" s="3">
        <v>0</v>
      </c>
      <c r="L1218" s="3">
        <v>0</v>
      </c>
      <c r="M1218" s="3">
        <v>0</v>
      </c>
      <c r="N1218" s="5">
        <v>80000</v>
      </c>
      <c r="O1218" s="3">
        <v>0</v>
      </c>
      <c r="P1218" s="5">
        <v>81000</v>
      </c>
      <c r="Q1218" s="3">
        <v>0</v>
      </c>
      <c r="R1218" s="5">
        <v>160000</v>
      </c>
      <c r="S1218" s="5">
        <v>35000</v>
      </c>
      <c r="T1218" s="3">
        <v>100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5">
        <v>2000</v>
      </c>
      <c r="AA1218" s="5">
        <v>80000</v>
      </c>
      <c r="AB1218" s="6">
        <v>598100</v>
      </c>
      <c r="AC1218" s="2" t="str">
        <f>VLOOKUP(F1218,'[1]Detailed Transfer Report (12)'!$L:$Y,12,FALSE)</f>
        <v>Mukhtar Beghum</v>
      </c>
      <c r="AD1218" s="2" t="str">
        <f>VLOOKUP(F1218,'[1]Detailed Transfer Report (12)'!$L:$Y,13,FALSE)</f>
        <v>Taj Residencia</v>
      </c>
      <c r="AE1218" s="16"/>
    </row>
    <row r="1219" spans="1:31" x14ac:dyDescent="0.25">
      <c r="A1219" s="10">
        <v>656</v>
      </c>
      <c r="B1219" s="4">
        <v>44987</v>
      </c>
      <c r="C1219" s="3" t="s">
        <v>1582</v>
      </c>
      <c r="D1219" s="3" t="s">
        <v>1581</v>
      </c>
      <c r="E1219" s="3"/>
      <c r="F1219" s="3">
        <v>7560</v>
      </c>
      <c r="G1219" s="3" t="s">
        <v>41</v>
      </c>
      <c r="H1219" s="3">
        <v>0</v>
      </c>
      <c r="I1219" s="3">
        <v>0</v>
      </c>
      <c r="J1219" s="5">
        <v>510000</v>
      </c>
      <c r="K1219" s="3">
        <v>0</v>
      </c>
      <c r="L1219" s="3">
        <v>0</v>
      </c>
      <c r="M1219" s="3">
        <v>0</v>
      </c>
      <c r="N1219" s="5">
        <v>255000</v>
      </c>
      <c r="O1219" s="3">
        <v>0</v>
      </c>
      <c r="P1219" s="5">
        <v>256000</v>
      </c>
      <c r="Q1219" s="3">
        <v>0</v>
      </c>
      <c r="R1219" s="5">
        <v>510000</v>
      </c>
      <c r="S1219" s="5">
        <v>119000</v>
      </c>
      <c r="T1219" s="3">
        <v>100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5">
        <v>2000</v>
      </c>
      <c r="AA1219" s="5">
        <v>255000</v>
      </c>
      <c r="AB1219" s="6">
        <v>2505200</v>
      </c>
      <c r="AC1219" s="2" t="str">
        <f>VLOOKUP(F1219,'[1]Detailed Transfer Report (12)'!$L:$Y,12,FALSE)</f>
        <v>Muhammad Iqbal</v>
      </c>
      <c r="AD1219" s="2" t="str">
        <f>VLOOKUP(F1219,'[1]Detailed Transfer Report (12)'!$L:$Y,13,FALSE)</f>
        <v>Taj Residencia</v>
      </c>
      <c r="AE1219" s="16"/>
    </row>
    <row r="1220" spans="1:31" x14ac:dyDescent="0.25">
      <c r="A1220" s="7">
        <v>657</v>
      </c>
      <c r="B1220" s="4">
        <v>45012</v>
      </c>
      <c r="C1220" s="3" t="s">
        <v>205</v>
      </c>
      <c r="D1220" s="3" t="s">
        <v>1583</v>
      </c>
      <c r="E1220" s="3">
        <v>5738</v>
      </c>
      <c r="F1220" s="3">
        <v>6723</v>
      </c>
      <c r="G1220" s="3" t="s">
        <v>756</v>
      </c>
      <c r="H1220" s="3">
        <v>0</v>
      </c>
      <c r="I1220" s="3">
        <v>0</v>
      </c>
      <c r="J1220" s="5">
        <v>35000</v>
      </c>
      <c r="K1220" s="3">
        <v>0</v>
      </c>
      <c r="L1220" s="3">
        <v>0</v>
      </c>
      <c r="M1220" s="3">
        <v>0</v>
      </c>
      <c r="N1220" s="5">
        <v>5000</v>
      </c>
      <c r="O1220" s="3">
        <v>0</v>
      </c>
      <c r="P1220" s="5">
        <v>5500</v>
      </c>
      <c r="Q1220" s="3">
        <v>0</v>
      </c>
      <c r="R1220" s="5">
        <v>20000</v>
      </c>
      <c r="S1220" s="5">
        <v>3000</v>
      </c>
      <c r="T1220" s="3">
        <v>100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5">
        <v>2000</v>
      </c>
      <c r="AA1220" s="5">
        <v>16000</v>
      </c>
      <c r="AB1220" s="6">
        <v>86600</v>
      </c>
      <c r="AC1220" s="2" t="str">
        <f>VLOOKUP(E1220,'[1]Detailed Transfer Report (12)'!$K:$Y,13,FALSE)</f>
        <v>Jaweda Jan</v>
      </c>
      <c r="AD1220" s="2" t="str">
        <f>VLOOKUP(E1220,'[1]Detailed Transfer Report (12)'!$K:$Y,14,FALSE)</f>
        <v>Sardar Rashid Ilyas Khan</v>
      </c>
      <c r="AE1220" s="16">
        <f>VLOOKUP(E1220,'[1]Detailed Transfer Report (12)'!$K:$Y,15,FALSE)</f>
        <v>44989</v>
      </c>
    </row>
    <row r="1221" spans="1:31" x14ac:dyDescent="0.25">
      <c r="A1221" s="9">
        <v>657</v>
      </c>
      <c r="B1221" s="4">
        <v>44987</v>
      </c>
      <c r="C1221" s="3" t="s">
        <v>46</v>
      </c>
      <c r="D1221" s="3" t="s">
        <v>1584</v>
      </c>
      <c r="E1221" s="3">
        <v>5744</v>
      </c>
      <c r="F1221" s="3">
        <v>6490</v>
      </c>
      <c r="G1221" s="3" t="s">
        <v>756</v>
      </c>
      <c r="H1221" s="5">
        <v>14000</v>
      </c>
      <c r="I1221" s="3">
        <v>0</v>
      </c>
      <c r="J1221" s="5">
        <v>66000</v>
      </c>
      <c r="K1221" s="3">
        <v>0</v>
      </c>
      <c r="L1221" s="3">
        <v>0</v>
      </c>
      <c r="M1221" s="3">
        <v>0</v>
      </c>
      <c r="N1221" s="5">
        <v>33000</v>
      </c>
      <c r="O1221" s="3">
        <v>0</v>
      </c>
      <c r="P1221" s="5">
        <v>34000</v>
      </c>
      <c r="Q1221" s="3">
        <v>0</v>
      </c>
      <c r="R1221" s="3">
        <v>0</v>
      </c>
      <c r="S1221" s="3">
        <v>0</v>
      </c>
      <c r="T1221" s="3">
        <v>100</v>
      </c>
      <c r="U1221" s="3">
        <v>0</v>
      </c>
      <c r="V1221" s="3">
        <v>0</v>
      </c>
      <c r="W1221" s="3">
        <v>0</v>
      </c>
      <c r="X1221" s="5">
        <v>132000</v>
      </c>
      <c r="Y1221" s="3">
        <v>0</v>
      </c>
      <c r="Z1221" s="5">
        <v>2000</v>
      </c>
      <c r="AA1221" s="5">
        <v>16000</v>
      </c>
      <c r="AB1221" s="6">
        <v>383700</v>
      </c>
      <c r="AC1221" s="2" t="str">
        <f>VLOOKUP(E1221,'[1]Detailed Transfer Report (12)'!$K:$Y,13,FALSE)</f>
        <v>Ansar Bibi</v>
      </c>
      <c r="AD1221" s="2" t="str">
        <f>VLOOKUP(E1221,'[1]Detailed Transfer Report (12)'!$K:$Y,14,FALSE)</f>
        <v>Sardar Rashid Ilyas Khan</v>
      </c>
      <c r="AE1221" s="16">
        <f>VLOOKUP(E1221,'[1]Detailed Transfer Report (12)'!$K:$Y,15,FALSE)</f>
        <v>44987</v>
      </c>
    </row>
    <row r="1222" spans="1:31" x14ac:dyDescent="0.25">
      <c r="A1222" s="9">
        <v>657</v>
      </c>
      <c r="B1222" s="4">
        <v>45043</v>
      </c>
      <c r="C1222" s="3" t="s">
        <v>153</v>
      </c>
      <c r="D1222" s="3" t="s">
        <v>1583</v>
      </c>
      <c r="E1222" s="3">
        <v>5726</v>
      </c>
      <c r="F1222" s="3">
        <v>6722</v>
      </c>
      <c r="G1222" s="3" t="s">
        <v>756</v>
      </c>
      <c r="H1222" s="3">
        <v>0</v>
      </c>
      <c r="I1222" s="3">
        <v>0</v>
      </c>
      <c r="J1222" s="5">
        <v>31500</v>
      </c>
      <c r="K1222" s="3">
        <v>0</v>
      </c>
      <c r="L1222" s="3">
        <v>0</v>
      </c>
      <c r="M1222" s="3">
        <v>0</v>
      </c>
      <c r="N1222" s="5">
        <v>4500</v>
      </c>
      <c r="O1222" s="3">
        <v>0</v>
      </c>
      <c r="P1222" s="5">
        <v>5000</v>
      </c>
      <c r="Q1222" s="3">
        <v>0</v>
      </c>
      <c r="R1222" s="5">
        <v>18000</v>
      </c>
      <c r="S1222" s="5">
        <v>2500</v>
      </c>
      <c r="T1222" s="3">
        <v>100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5">
        <v>2000</v>
      </c>
      <c r="AA1222" s="5">
        <v>16000</v>
      </c>
      <c r="AB1222" s="6">
        <v>463300</v>
      </c>
      <c r="AC1222" s="2" t="str">
        <f>VLOOKUP(E1222,'[1]Detailed Transfer Report (12)'!$K:$Y,13,FALSE)</f>
        <v>Muhammad Imtiaz</v>
      </c>
      <c r="AD1222" s="2" t="str">
        <f>VLOOKUP(E1222,'[1]Detailed Transfer Report (12)'!$K:$Y,14,FALSE)</f>
        <v>Sardar Rashid Ilyas Khan</v>
      </c>
      <c r="AE1222" s="16">
        <f>VLOOKUP(E1222,'[1]Detailed Transfer Report (12)'!$K:$Y,15,FALSE)</f>
        <v>44989</v>
      </c>
    </row>
    <row r="1223" spans="1:31" x14ac:dyDescent="0.25">
      <c r="A1223" s="9">
        <v>657</v>
      </c>
      <c r="B1223" s="4">
        <v>45043</v>
      </c>
      <c r="C1223" s="3" t="s">
        <v>495</v>
      </c>
      <c r="D1223" s="3" t="s">
        <v>1583</v>
      </c>
      <c r="E1223" s="3">
        <v>6059</v>
      </c>
      <c r="F1223" s="3">
        <v>6724</v>
      </c>
      <c r="G1223" s="3" t="s">
        <v>756</v>
      </c>
      <c r="H1223" s="3">
        <v>0</v>
      </c>
      <c r="I1223" s="3">
        <v>0</v>
      </c>
      <c r="J1223" s="5">
        <v>94500</v>
      </c>
      <c r="K1223" s="3">
        <v>0</v>
      </c>
      <c r="L1223" s="3">
        <v>0</v>
      </c>
      <c r="M1223" s="3">
        <v>0</v>
      </c>
      <c r="N1223" s="5">
        <v>13500</v>
      </c>
      <c r="O1223" s="3">
        <v>0</v>
      </c>
      <c r="P1223" s="5">
        <v>14500</v>
      </c>
      <c r="Q1223" s="3">
        <v>0</v>
      </c>
      <c r="R1223" s="5">
        <v>54000</v>
      </c>
      <c r="S1223" s="5">
        <v>7000</v>
      </c>
      <c r="T1223" s="3">
        <v>100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5">
        <v>2000</v>
      </c>
      <c r="AA1223" s="5">
        <v>16000</v>
      </c>
      <c r="AB1223" s="6">
        <v>664900</v>
      </c>
      <c r="AC1223" s="2" t="str">
        <f>VLOOKUP(E1223,'[1]Detailed Transfer Report (12)'!$K:$Y,13,FALSE)</f>
        <v>Hafiz Ejaz Hussain</v>
      </c>
      <c r="AD1223" s="2" t="str">
        <f>VLOOKUP(E1223,'[1]Detailed Transfer Report (12)'!$K:$Y,14,FALSE)</f>
        <v>Sardar Rashid Ilyas Khan</v>
      </c>
      <c r="AE1223" s="16">
        <f>VLOOKUP(E1223,'[1]Detailed Transfer Report (12)'!$K:$Y,15,FALSE)</f>
        <v>44986</v>
      </c>
    </row>
    <row r="1224" spans="1:31" x14ac:dyDescent="0.25">
      <c r="A1224" s="10">
        <v>657</v>
      </c>
      <c r="B1224" s="4">
        <v>45045</v>
      </c>
      <c r="C1224" s="3" t="s">
        <v>536</v>
      </c>
      <c r="D1224" s="3" t="s">
        <v>1585</v>
      </c>
      <c r="E1224" s="3">
        <v>5728</v>
      </c>
      <c r="F1224" s="3">
        <v>6725</v>
      </c>
      <c r="G1224" s="3" t="s">
        <v>756</v>
      </c>
      <c r="H1224" s="3">
        <v>0</v>
      </c>
      <c r="I1224" s="3">
        <v>0</v>
      </c>
      <c r="J1224" s="5">
        <v>12500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6">
        <v>677400</v>
      </c>
      <c r="AC1224" s="2" t="str">
        <f>VLOOKUP(E1224,'[1]Detailed Transfer Report (12)'!$K:$Y,13,FALSE)</f>
        <v>Tazeem Mushtaq</v>
      </c>
      <c r="AD1224" s="2" t="str">
        <f>VLOOKUP(E1224,'[1]Detailed Transfer Report (12)'!$K:$Y,14,FALSE)</f>
        <v>Sardar Rashid Ilyas Khan</v>
      </c>
      <c r="AE1224" s="16">
        <f>VLOOKUP(E1224,'[1]Detailed Transfer Report (12)'!$K:$Y,15,FALSE)</f>
        <v>44989</v>
      </c>
    </row>
    <row r="1225" spans="1:31" x14ac:dyDescent="0.25">
      <c r="A1225" s="7">
        <v>658</v>
      </c>
      <c r="B1225" s="4">
        <v>44985</v>
      </c>
      <c r="C1225" s="3" t="s">
        <v>1586</v>
      </c>
      <c r="D1225" s="3" t="s">
        <v>1587</v>
      </c>
      <c r="E1225" s="3">
        <v>5257</v>
      </c>
      <c r="F1225" s="3">
        <v>8863</v>
      </c>
      <c r="G1225" s="3" t="s">
        <v>30</v>
      </c>
      <c r="H1225" s="3">
        <v>0</v>
      </c>
      <c r="I1225" s="3">
        <v>0</v>
      </c>
      <c r="J1225" s="5">
        <v>245000</v>
      </c>
      <c r="K1225" s="3">
        <v>0</v>
      </c>
      <c r="L1225" s="3">
        <v>0</v>
      </c>
      <c r="M1225" s="3">
        <v>0</v>
      </c>
      <c r="N1225" s="5">
        <v>35000</v>
      </c>
      <c r="O1225" s="3">
        <v>0</v>
      </c>
      <c r="P1225" s="5">
        <v>36000</v>
      </c>
      <c r="Q1225" s="3">
        <v>0</v>
      </c>
      <c r="R1225" s="5">
        <v>140000</v>
      </c>
      <c r="S1225" s="5">
        <v>22250</v>
      </c>
      <c r="T1225" s="3">
        <v>100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5">
        <v>2000</v>
      </c>
      <c r="AA1225" s="5">
        <v>35000</v>
      </c>
      <c r="AB1225" s="6">
        <v>515350</v>
      </c>
      <c r="AC1225" s="2" t="str">
        <f>VLOOKUP(E1225,'[1]Detailed Transfer Report (12)'!$K:$Y,13,FALSE)</f>
        <v>Ghulam Mustafa</v>
      </c>
      <c r="AD1225" s="2" t="str">
        <f>VLOOKUP(E1225,'[1]Detailed Transfer Report (12)'!$K:$Y,14,FALSE)</f>
        <v>Sardar Rashid Ilyas Khan</v>
      </c>
      <c r="AE1225" s="16">
        <f>VLOOKUP(E1225,'[1]Detailed Transfer Report (12)'!$K:$Y,15,FALSE)</f>
        <v>45006</v>
      </c>
    </row>
    <row r="1226" spans="1:31" x14ac:dyDescent="0.25">
      <c r="A1226" s="9">
        <v>658</v>
      </c>
      <c r="B1226" s="4">
        <v>45035</v>
      </c>
      <c r="C1226" s="3" t="s">
        <v>153</v>
      </c>
      <c r="D1226" s="3" t="s">
        <v>1588</v>
      </c>
      <c r="E1226" s="3">
        <v>4950</v>
      </c>
      <c r="F1226" s="3">
        <v>9966</v>
      </c>
      <c r="G1226" s="3" t="s">
        <v>30</v>
      </c>
      <c r="H1226" s="3">
        <v>0</v>
      </c>
      <c r="I1226" s="3">
        <v>0</v>
      </c>
      <c r="J1226" s="5">
        <v>24500</v>
      </c>
      <c r="K1226" s="3">
        <v>0</v>
      </c>
      <c r="L1226" s="3">
        <v>0</v>
      </c>
      <c r="M1226" s="3">
        <v>0</v>
      </c>
      <c r="N1226" s="5">
        <v>3500</v>
      </c>
      <c r="O1226" s="3">
        <v>0</v>
      </c>
      <c r="P1226" s="5">
        <v>4000</v>
      </c>
      <c r="Q1226" s="3">
        <v>0</v>
      </c>
      <c r="R1226" s="5">
        <v>14000</v>
      </c>
      <c r="S1226" s="5">
        <v>2500</v>
      </c>
      <c r="T1226" s="3">
        <v>100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5">
        <v>2000</v>
      </c>
      <c r="AA1226" s="5">
        <v>16000</v>
      </c>
      <c r="AB1226" s="6">
        <v>581950</v>
      </c>
      <c r="AC1226" s="2" t="str">
        <f>VLOOKUP(E1226,'[1]Detailed Transfer Report (12)'!$K:$Y,13,FALSE)</f>
        <v>Muhammad Asif</v>
      </c>
      <c r="AD1226" s="2" t="str">
        <f>VLOOKUP(E1226,'[1]Detailed Transfer Report (12)'!$K:$Y,14,FALSE)</f>
        <v>Sardar Tanveer Ilyas</v>
      </c>
      <c r="AE1226" s="16">
        <f>VLOOKUP(E1226,'[1]Detailed Transfer Report (12)'!$K:$Y,15,FALSE)</f>
        <v>45274</v>
      </c>
    </row>
    <row r="1227" spans="1:31" x14ac:dyDescent="0.25">
      <c r="A1227" s="9">
        <v>658</v>
      </c>
      <c r="B1227" s="4">
        <v>44980</v>
      </c>
      <c r="C1227" s="3" t="s">
        <v>1589</v>
      </c>
      <c r="D1227" s="3" t="s">
        <v>1568</v>
      </c>
      <c r="E1227" s="3"/>
      <c r="F1227" s="3">
        <v>8861</v>
      </c>
      <c r="G1227" s="3" t="s">
        <v>30</v>
      </c>
      <c r="H1227" s="3">
        <v>0</v>
      </c>
      <c r="I1227" s="3">
        <v>0</v>
      </c>
      <c r="J1227" s="5">
        <v>124000</v>
      </c>
      <c r="K1227" s="3">
        <v>0</v>
      </c>
      <c r="L1227" s="3">
        <v>0</v>
      </c>
      <c r="M1227" s="3">
        <v>0</v>
      </c>
      <c r="N1227" s="5">
        <v>124000</v>
      </c>
      <c r="O1227" s="3">
        <v>0</v>
      </c>
      <c r="P1227" s="5">
        <v>125000</v>
      </c>
      <c r="Q1227" s="3">
        <v>0</v>
      </c>
      <c r="R1227" s="5">
        <v>372000</v>
      </c>
      <c r="S1227" s="5">
        <v>72000</v>
      </c>
      <c r="T1227" s="3">
        <v>100</v>
      </c>
      <c r="U1227" s="3">
        <v>0</v>
      </c>
      <c r="V1227" s="5">
        <v>534000</v>
      </c>
      <c r="W1227" s="3">
        <v>0</v>
      </c>
      <c r="X1227" s="3">
        <v>0</v>
      </c>
      <c r="Y1227" s="3">
        <v>0</v>
      </c>
      <c r="Z1227" s="5">
        <v>2000</v>
      </c>
      <c r="AA1227" s="5">
        <v>124000</v>
      </c>
      <c r="AB1227" s="6">
        <v>2059050</v>
      </c>
      <c r="AC1227" s="2" t="str">
        <f>VLOOKUP(F1227,'[1]Detailed Transfer Report (12)'!$L:$Y,12,FALSE)</f>
        <v>Ghulam Mustafa</v>
      </c>
      <c r="AD1227" s="2" t="str">
        <f>VLOOKUP(F1227,'[1]Detailed Transfer Report (12)'!$L:$Y,13,FALSE)</f>
        <v>Sardar Rashid Ilyas Khan</v>
      </c>
      <c r="AE1227" s="16">
        <f>VLOOKUP(F1227,'[1]Detailed Transfer Report (12)'!$L:$Y,14,FALSE)</f>
        <v>45006</v>
      </c>
    </row>
    <row r="1228" spans="1:31" x14ac:dyDescent="0.25">
      <c r="A1228" s="9">
        <v>658</v>
      </c>
      <c r="B1228" s="4">
        <v>44985</v>
      </c>
      <c r="C1228" s="3" t="s">
        <v>1590</v>
      </c>
      <c r="D1228" s="3" t="s">
        <v>1587</v>
      </c>
      <c r="E1228" s="3">
        <v>5266</v>
      </c>
      <c r="F1228" s="3">
        <v>8864</v>
      </c>
      <c r="G1228" s="3" t="s">
        <v>30</v>
      </c>
      <c r="H1228" s="3">
        <v>0</v>
      </c>
      <c r="I1228" s="3">
        <v>0</v>
      </c>
      <c r="J1228" s="5">
        <v>490000</v>
      </c>
      <c r="K1228" s="3">
        <v>0</v>
      </c>
      <c r="L1228" s="3">
        <v>0</v>
      </c>
      <c r="M1228" s="3">
        <v>0</v>
      </c>
      <c r="N1228" s="5">
        <v>70000</v>
      </c>
      <c r="O1228" s="3">
        <v>0</v>
      </c>
      <c r="P1228" s="5">
        <v>71000</v>
      </c>
      <c r="Q1228" s="3">
        <v>0</v>
      </c>
      <c r="R1228" s="5">
        <v>280000</v>
      </c>
      <c r="S1228" s="5">
        <v>45000</v>
      </c>
      <c r="T1228" s="3">
        <v>100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5">
        <v>2000</v>
      </c>
      <c r="AA1228" s="5">
        <v>70000</v>
      </c>
      <c r="AB1228" s="6">
        <v>3087150</v>
      </c>
      <c r="AC1228" s="2" t="str">
        <f>VLOOKUP(E1228,'[1]Detailed Transfer Report (12)'!$K:$Y,13,FALSE)</f>
        <v>Ghulam Mustafa</v>
      </c>
      <c r="AD1228" s="2" t="str">
        <f>VLOOKUP(E1228,'[1]Detailed Transfer Report (12)'!$K:$Y,14,FALSE)</f>
        <v>Sardar Rashid Ilyas Khan</v>
      </c>
      <c r="AE1228" s="16">
        <f>VLOOKUP(E1228,'[1]Detailed Transfer Report (12)'!$K:$Y,15,FALSE)</f>
        <v>45006</v>
      </c>
    </row>
    <row r="1229" spans="1:31" x14ac:dyDescent="0.25">
      <c r="A1229" s="10">
        <v>658</v>
      </c>
      <c r="B1229" s="4">
        <v>44985</v>
      </c>
      <c r="C1229" s="3" t="s">
        <v>1591</v>
      </c>
      <c r="D1229" s="3" t="s">
        <v>1587</v>
      </c>
      <c r="E1229" s="3">
        <v>695</v>
      </c>
      <c r="F1229" s="3">
        <v>8862</v>
      </c>
      <c r="G1229" s="3" t="s">
        <v>41</v>
      </c>
      <c r="H1229" s="3">
        <v>0</v>
      </c>
      <c r="I1229" s="3">
        <v>0</v>
      </c>
      <c r="J1229" s="5">
        <v>805000</v>
      </c>
      <c r="K1229" s="3">
        <v>0</v>
      </c>
      <c r="L1229" s="3">
        <v>0</v>
      </c>
      <c r="M1229" s="3">
        <v>0</v>
      </c>
      <c r="N1229" s="5">
        <v>115000</v>
      </c>
      <c r="O1229" s="3">
        <v>0</v>
      </c>
      <c r="P1229" s="5">
        <v>116000</v>
      </c>
      <c r="Q1229" s="3">
        <v>0</v>
      </c>
      <c r="R1229" s="5">
        <v>460000</v>
      </c>
      <c r="S1229" s="5">
        <v>56000</v>
      </c>
      <c r="T1229" s="3">
        <v>100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5">
        <v>2000</v>
      </c>
      <c r="AA1229" s="5">
        <v>115000</v>
      </c>
      <c r="AB1229" s="6">
        <v>4756250</v>
      </c>
      <c r="AC1229" s="2" t="str">
        <f>VLOOKUP(E1229,'[1]Detailed Transfer Report (12)'!$K:$Y,13,FALSE)</f>
        <v>Ghulam Mustafa</v>
      </c>
      <c r="AD1229" s="2" t="str">
        <f>VLOOKUP(E1229,'[1]Detailed Transfer Report (12)'!$K:$Y,14,FALSE)</f>
        <v>Sardar Rashid Ilyas Khan</v>
      </c>
      <c r="AE1229" s="16">
        <f>VLOOKUP(E1229,'[1]Detailed Transfer Report (12)'!$K:$Y,15,FALSE)</f>
        <v>45006</v>
      </c>
    </row>
    <row r="1230" spans="1:31" x14ac:dyDescent="0.25">
      <c r="A1230" s="7">
        <v>659</v>
      </c>
      <c r="B1230" s="4">
        <v>45012</v>
      </c>
      <c r="C1230" s="3" t="s">
        <v>721</v>
      </c>
      <c r="D1230" s="3" t="s">
        <v>1566</v>
      </c>
      <c r="E1230" s="3">
        <v>5259</v>
      </c>
      <c r="F1230" s="3">
        <v>10613</v>
      </c>
      <c r="G1230" s="3" t="s">
        <v>30</v>
      </c>
      <c r="H1230" s="3">
        <v>0</v>
      </c>
      <c r="I1230" s="3">
        <v>0</v>
      </c>
      <c r="J1230" s="5">
        <v>21000</v>
      </c>
      <c r="K1230" s="3">
        <v>0</v>
      </c>
      <c r="L1230" s="3">
        <v>0</v>
      </c>
      <c r="M1230" s="3">
        <v>0</v>
      </c>
      <c r="N1230" s="5">
        <v>3000</v>
      </c>
      <c r="O1230" s="3">
        <v>0</v>
      </c>
      <c r="P1230" s="5">
        <v>3500</v>
      </c>
      <c r="Q1230" s="3">
        <v>0</v>
      </c>
      <c r="R1230" s="5">
        <v>12000</v>
      </c>
      <c r="S1230" s="5">
        <v>2000</v>
      </c>
      <c r="T1230" s="3">
        <v>100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5">
        <v>2000</v>
      </c>
      <c r="AA1230" s="5">
        <v>16000</v>
      </c>
      <c r="AB1230" s="6">
        <v>59600</v>
      </c>
      <c r="AC1230" s="2" t="str">
        <f>VLOOKUP(E1230,'[1]Detailed Transfer Report (12)'!$K:$Y,13,FALSE)</f>
        <v>Muhammad Hanif</v>
      </c>
      <c r="AD1230" s="2" t="str">
        <f>VLOOKUP(E1230,'[1]Detailed Transfer Report (12)'!$K:$Y,14,FALSE)</f>
        <v>Sardar Tanveer Ilyas</v>
      </c>
      <c r="AE1230" s="16">
        <f>VLOOKUP(E1230,'[1]Detailed Transfer Report (12)'!$K:$Y,15,FALSE)</f>
        <v>45026</v>
      </c>
    </row>
    <row r="1231" spans="1:31" x14ac:dyDescent="0.25">
      <c r="A1231" s="9">
        <v>659</v>
      </c>
      <c r="B1231" s="4">
        <v>45012</v>
      </c>
      <c r="C1231" s="3" t="s">
        <v>659</v>
      </c>
      <c r="D1231" s="3" t="s">
        <v>1566</v>
      </c>
      <c r="E1231" s="3">
        <v>5258</v>
      </c>
      <c r="F1231" s="3">
        <v>10614</v>
      </c>
      <c r="G1231" s="3" t="s">
        <v>30</v>
      </c>
      <c r="H1231" s="3">
        <v>0</v>
      </c>
      <c r="I1231" s="3">
        <v>0</v>
      </c>
      <c r="J1231" s="5">
        <v>28000</v>
      </c>
      <c r="K1231" s="3">
        <v>0</v>
      </c>
      <c r="L1231" s="3">
        <v>0</v>
      </c>
      <c r="M1231" s="3">
        <v>0</v>
      </c>
      <c r="N1231" s="5">
        <v>14000</v>
      </c>
      <c r="O1231" s="3">
        <v>0</v>
      </c>
      <c r="P1231" s="5">
        <v>15000</v>
      </c>
      <c r="Q1231" s="3">
        <v>0</v>
      </c>
      <c r="R1231" s="5">
        <v>56000</v>
      </c>
      <c r="S1231" s="5">
        <v>9500</v>
      </c>
      <c r="T1231" s="3">
        <v>100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5">
        <v>2000</v>
      </c>
      <c r="AA1231" s="5">
        <v>16000</v>
      </c>
      <c r="AB1231" s="6">
        <v>200200</v>
      </c>
      <c r="AC1231" s="2" t="str">
        <f>VLOOKUP(E1231,'[1]Detailed Transfer Report (12)'!$K:$Y,13,FALSE)</f>
        <v>Muhammad Shakeel</v>
      </c>
      <c r="AD1231" s="2" t="str">
        <f>VLOOKUP(E1231,'[1]Detailed Transfer Report (12)'!$K:$Y,14,FALSE)</f>
        <v>Sardar Tanveer Ilyas</v>
      </c>
      <c r="AE1231" s="16">
        <f>VLOOKUP(E1231,'[1]Detailed Transfer Report (12)'!$K:$Y,15,FALSE)</f>
        <v>45026</v>
      </c>
    </row>
    <row r="1232" spans="1:31" x14ac:dyDescent="0.25">
      <c r="A1232" s="9">
        <v>659</v>
      </c>
      <c r="B1232" s="4">
        <v>45034</v>
      </c>
      <c r="C1232" s="3" t="s">
        <v>44</v>
      </c>
      <c r="D1232" s="3" t="s">
        <v>1592</v>
      </c>
      <c r="E1232" s="3">
        <v>5280</v>
      </c>
      <c r="F1232" s="3">
        <v>11456</v>
      </c>
      <c r="G1232" s="3" t="s">
        <v>30</v>
      </c>
      <c r="H1232" s="3">
        <v>0</v>
      </c>
      <c r="I1232" s="3">
        <v>0</v>
      </c>
      <c r="J1232" s="5">
        <v>98000</v>
      </c>
      <c r="K1232" s="3">
        <v>0</v>
      </c>
      <c r="L1232" s="3">
        <v>0</v>
      </c>
      <c r="M1232" s="3">
        <v>0</v>
      </c>
      <c r="N1232" s="5">
        <v>14000</v>
      </c>
      <c r="O1232" s="3">
        <v>0</v>
      </c>
      <c r="P1232" s="5">
        <v>15000</v>
      </c>
      <c r="Q1232" s="3">
        <v>0</v>
      </c>
      <c r="R1232" s="5">
        <v>56000</v>
      </c>
      <c r="S1232" s="5">
        <v>9000</v>
      </c>
      <c r="T1232" s="3">
        <v>100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5">
        <v>2000</v>
      </c>
      <c r="AA1232" s="5">
        <v>16000</v>
      </c>
      <c r="AB1232" s="6">
        <v>410300</v>
      </c>
      <c r="AC1232" s="2" t="str">
        <f>VLOOKUP(E1232,'[1]Detailed Transfer Report (12)'!$K:$Y,13,FALSE)</f>
        <v>Muhammad usman</v>
      </c>
      <c r="AD1232" s="2" t="str">
        <f>VLOOKUP(E1232,'[1]Detailed Transfer Report (12)'!$K:$Y,14,FALSE)</f>
        <v>Sardar Tanveer Ilyas</v>
      </c>
      <c r="AE1232" s="16">
        <f>VLOOKUP(E1232,'[1]Detailed Transfer Report (12)'!$K:$Y,15,FALSE)</f>
        <v>45034</v>
      </c>
    </row>
    <row r="1233" spans="1:31" x14ac:dyDescent="0.25">
      <c r="A1233" s="9">
        <v>659</v>
      </c>
      <c r="B1233" s="4">
        <v>44987</v>
      </c>
      <c r="C1233" s="3" t="s">
        <v>44</v>
      </c>
      <c r="D1233" s="3" t="s">
        <v>1584</v>
      </c>
      <c r="E1233" s="3"/>
      <c r="F1233" s="3">
        <v>7577</v>
      </c>
      <c r="G1233" s="3" t="s">
        <v>30</v>
      </c>
      <c r="H1233" s="5">
        <v>70000</v>
      </c>
      <c r="I1233" s="3">
        <v>0</v>
      </c>
      <c r="J1233" s="5">
        <v>105000</v>
      </c>
      <c r="K1233" s="3">
        <v>0</v>
      </c>
      <c r="L1233" s="3">
        <v>0</v>
      </c>
      <c r="M1233" s="3">
        <v>0</v>
      </c>
      <c r="N1233" s="5">
        <v>15000</v>
      </c>
      <c r="O1233" s="3">
        <v>0</v>
      </c>
      <c r="P1233" s="5">
        <v>16000</v>
      </c>
      <c r="Q1233" s="3">
        <v>0</v>
      </c>
      <c r="R1233" s="5">
        <v>60000</v>
      </c>
      <c r="S1233" s="5">
        <v>9000</v>
      </c>
      <c r="T1233" s="3">
        <v>100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5">
        <v>2000</v>
      </c>
      <c r="AA1233" s="5">
        <v>16000</v>
      </c>
      <c r="AB1233" s="6">
        <v>703400</v>
      </c>
      <c r="AC1233" s="2" t="str">
        <f>VLOOKUP(F1233,'[1]Detailed Transfer Report (12)'!$L:$Y,12,FALSE)</f>
        <v>Sattar Ahmed</v>
      </c>
      <c r="AD1233" s="2" t="str">
        <f>VLOOKUP(F1233,'[1]Detailed Transfer Report (12)'!$L:$Y,13,FALSE)</f>
        <v>Sardar Rashid Ilyas Khan</v>
      </c>
      <c r="AE1233" s="16"/>
    </row>
    <row r="1234" spans="1:31" x14ac:dyDescent="0.25">
      <c r="A1234" s="9">
        <v>659</v>
      </c>
      <c r="B1234" s="4">
        <v>45011</v>
      </c>
      <c r="C1234" s="3" t="s">
        <v>344</v>
      </c>
      <c r="D1234" s="3" t="s">
        <v>1584</v>
      </c>
      <c r="E1234" s="3">
        <v>4949</v>
      </c>
      <c r="F1234" s="3">
        <v>7534</v>
      </c>
      <c r="G1234" s="3" t="s">
        <v>30</v>
      </c>
      <c r="H1234" s="3">
        <v>0</v>
      </c>
      <c r="I1234" s="3">
        <v>0</v>
      </c>
      <c r="J1234" s="5">
        <v>34000</v>
      </c>
      <c r="K1234" s="3">
        <v>0</v>
      </c>
      <c r="L1234" s="3">
        <v>0</v>
      </c>
      <c r="M1234" s="3">
        <v>0</v>
      </c>
      <c r="N1234" s="5">
        <v>17000</v>
      </c>
      <c r="O1234" s="3">
        <v>0</v>
      </c>
      <c r="P1234" s="5">
        <v>18000</v>
      </c>
      <c r="Q1234" s="3">
        <v>0</v>
      </c>
      <c r="R1234" s="5">
        <v>68000</v>
      </c>
      <c r="S1234" s="5">
        <v>11500</v>
      </c>
      <c r="T1234" s="3">
        <v>100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5">
        <v>2000</v>
      </c>
      <c r="AA1234" s="5">
        <v>16000</v>
      </c>
      <c r="AB1234" s="6">
        <v>870000</v>
      </c>
      <c r="AC1234" s="2" t="str">
        <f>VLOOKUP(E1234,'[1]Detailed Transfer Report (12)'!$K:$Y,13,FALSE)</f>
        <v>Akhash Hussain</v>
      </c>
      <c r="AD1234" s="2" t="str">
        <f>VLOOKUP(E1234,'[1]Detailed Transfer Report (12)'!$K:$Y,14,FALSE)</f>
        <v>Taj Residencia</v>
      </c>
      <c r="AE1234" s="16">
        <f>VLOOKUP(E1234,'[1]Detailed Transfer Report (12)'!$K:$Y,15,FALSE)</f>
        <v>44995</v>
      </c>
    </row>
    <row r="1235" spans="1:31" x14ac:dyDescent="0.25">
      <c r="A1235" s="10">
        <v>659</v>
      </c>
      <c r="B1235" s="4">
        <v>44987</v>
      </c>
      <c r="C1235" s="3" t="s">
        <v>536</v>
      </c>
      <c r="D1235" s="3" t="s">
        <v>1584</v>
      </c>
      <c r="E1235" s="3">
        <v>4943</v>
      </c>
      <c r="F1235" s="3">
        <v>7572</v>
      </c>
      <c r="G1235" s="3" t="s">
        <v>30</v>
      </c>
      <c r="H1235" s="3">
        <v>0</v>
      </c>
      <c r="I1235" s="3">
        <v>0</v>
      </c>
      <c r="J1235" s="5">
        <v>14000</v>
      </c>
      <c r="K1235" s="3">
        <v>0</v>
      </c>
      <c r="L1235" s="3">
        <v>0</v>
      </c>
      <c r="M1235" s="3">
        <v>0</v>
      </c>
      <c r="N1235" s="5">
        <v>2000</v>
      </c>
      <c r="O1235" s="3">
        <v>0</v>
      </c>
      <c r="P1235" s="5">
        <v>2500</v>
      </c>
      <c r="Q1235" s="3">
        <v>0</v>
      </c>
      <c r="R1235" s="5">
        <v>8000</v>
      </c>
      <c r="S1235" s="5">
        <v>1500</v>
      </c>
      <c r="T1235" s="3">
        <v>100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5">
        <v>2000</v>
      </c>
      <c r="AA1235" s="5">
        <v>16000</v>
      </c>
      <c r="AB1235" s="6">
        <v>916100</v>
      </c>
      <c r="AC1235" s="2" t="str">
        <f>VLOOKUP(E1235,'[1]Detailed Transfer Report (12)'!$K:$Y,13,FALSE)</f>
        <v>Qazi Abdul Mujeed Qureshi</v>
      </c>
      <c r="AD1235" s="2" t="str">
        <f>VLOOKUP(E1235,'[1]Detailed Transfer Report (12)'!$K:$Y,14,FALSE)</f>
        <v>Sardar Rashid Ilyas Khan</v>
      </c>
      <c r="AE1235" s="16">
        <f>VLOOKUP(E1235,'[1]Detailed Transfer Report (12)'!$K:$Y,15,FALSE)</f>
        <v>44996</v>
      </c>
    </row>
    <row r="1236" spans="1:31" x14ac:dyDescent="0.25">
      <c r="A1236" s="3">
        <v>660</v>
      </c>
      <c r="B1236" s="4">
        <v>45001</v>
      </c>
      <c r="C1236" s="3" t="s">
        <v>759</v>
      </c>
      <c r="D1236" s="3" t="s">
        <v>1546</v>
      </c>
      <c r="E1236" s="3">
        <v>6046</v>
      </c>
      <c r="F1236" s="3">
        <v>8373</v>
      </c>
      <c r="G1236" s="3" t="s">
        <v>756</v>
      </c>
      <c r="H1236" s="3">
        <v>0</v>
      </c>
      <c r="I1236" s="3">
        <v>0</v>
      </c>
      <c r="J1236" s="5">
        <v>266000</v>
      </c>
      <c r="K1236" s="3">
        <v>0</v>
      </c>
      <c r="L1236" s="3">
        <v>0</v>
      </c>
      <c r="M1236" s="3">
        <v>0</v>
      </c>
      <c r="N1236" s="5">
        <v>38000</v>
      </c>
      <c r="O1236" s="3">
        <v>0</v>
      </c>
      <c r="P1236" s="5">
        <v>39000</v>
      </c>
      <c r="Q1236" s="3">
        <v>0</v>
      </c>
      <c r="R1236" s="5">
        <v>152000</v>
      </c>
      <c r="S1236" s="3">
        <v>0</v>
      </c>
      <c r="T1236" s="3">
        <v>100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5">
        <v>2000</v>
      </c>
      <c r="AA1236" s="5">
        <v>38000</v>
      </c>
      <c r="AB1236" s="6">
        <v>535100</v>
      </c>
      <c r="AC1236" s="2" t="str">
        <f>VLOOKUP(E1236,'[1]Detailed Transfer Report (12)'!$K:$Y,13,FALSE)</f>
        <v>Juma Khan</v>
      </c>
      <c r="AD1236" s="2" t="str">
        <f>VLOOKUP(E1236,'[1]Detailed Transfer Report (12)'!$K:$Y,14,FALSE)</f>
        <v>Sardar Tanveer Ilyas</v>
      </c>
      <c r="AE1236" s="16">
        <f>VLOOKUP(E1236,'[1]Detailed Transfer Report (12)'!$K:$Y,15,FALSE)</f>
        <v>45368</v>
      </c>
    </row>
    <row r="1237" spans="1:31" x14ac:dyDescent="0.25">
      <c r="A1237" s="3">
        <v>661</v>
      </c>
      <c r="B1237" s="4">
        <v>45064</v>
      </c>
      <c r="C1237" s="3" t="s">
        <v>44</v>
      </c>
      <c r="D1237" s="3" t="s">
        <v>1593</v>
      </c>
      <c r="E1237" s="3">
        <v>6147</v>
      </c>
      <c r="F1237" s="3">
        <v>8371</v>
      </c>
      <c r="G1237" s="3" t="s">
        <v>756</v>
      </c>
      <c r="H1237" s="3">
        <v>0</v>
      </c>
      <c r="I1237" s="3">
        <v>0</v>
      </c>
      <c r="J1237" s="5">
        <v>115500</v>
      </c>
      <c r="K1237" s="3">
        <v>0</v>
      </c>
      <c r="L1237" s="3">
        <v>0</v>
      </c>
      <c r="M1237" s="3">
        <v>0</v>
      </c>
      <c r="N1237" s="5">
        <v>16500</v>
      </c>
      <c r="O1237" s="3">
        <v>0</v>
      </c>
      <c r="P1237" s="5">
        <v>17500</v>
      </c>
      <c r="Q1237" s="3">
        <v>0</v>
      </c>
      <c r="R1237" s="5">
        <v>66000</v>
      </c>
      <c r="S1237" s="3">
        <v>0</v>
      </c>
      <c r="T1237" s="3">
        <v>100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5">
        <v>2000</v>
      </c>
      <c r="AA1237" s="5">
        <v>16000</v>
      </c>
      <c r="AB1237" s="6">
        <v>233600</v>
      </c>
      <c r="AC1237" s="2" t="str">
        <f>VLOOKUP(E1237,'[1]Detailed Transfer Report (12)'!$K:$Y,13,FALSE)</f>
        <v>Muhammad Imran Shafique</v>
      </c>
      <c r="AD1237" s="2" t="str">
        <f>VLOOKUP(E1237,'[1]Detailed Transfer Report (12)'!$K:$Y,14,FALSE)</f>
        <v>Sardar Tanveer Ilyas</v>
      </c>
      <c r="AE1237" s="16">
        <f>VLOOKUP(E1237,'[1]Detailed Transfer Report (12)'!$K:$Y,15,FALSE)</f>
        <v>45002</v>
      </c>
    </row>
    <row r="1238" spans="1:31" x14ac:dyDescent="0.25">
      <c r="A1238" s="7">
        <v>662</v>
      </c>
      <c r="B1238" s="4">
        <v>45035</v>
      </c>
      <c r="C1238" s="3" t="s">
        <v>137</v>
      </c>
      <c r="D1238" s="3" t="s">
        <v>1588</v>
      </c>
      <c r="E1238" s="3">
        <v>5606</v>
      </c>
      <c r="F1238" s="3">
        <v>10992</v>
      </c>
      <c r="G1238" s="3" t="s">
        <v>756</v>
      </c>
      <c r="H1238" s="3">
        <v>0</v>
      </c>
      <c r="I1238" s="3">
        <v>0</v>
      </c>
      <c r="J1238" s="5">
        <v>63000</v>
      </c>
      <c r="K1238" s="3">
        <v>0</v>
      </c>
      <c r="L1238" s="3">
        <v>0</v>
      </c>
      <c r="M1238" s="3">
        <v>0</v>
      </c>
      <c r="N1238" s="5">
        <v>9000</v>
      </c>
      <c r="O1238" s="3">
        <v>0</v>
      </c>
      <c r="P1238" s="5">
        <v>10000</v>
      </c>
      <c r="Q1238" s="3">
        <v>0</v>
      </c>
      <c r="R1238" s="5">
        <v>36000</v>
      </c>
      <c r="S1238" s="5">
        <v>5000</v>
      </c>
      <c r="T1238" s="3">
        <v>100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5">
        <v>2000</v>
      </c>
      <c r="AA1238" s="5">
        <v>16000</v>
      </c>
      <c r="AB1238" s="6">
        <v>141100</v>
      </c>
      <c r="AC1238" s="2" t="str">
        <f>VLOOKUP(E1238,'[1]Detailed Transfer Report (12)'!$K:$Y,13,FALSE)</f>
        <v>Muhammad Bashir</v>
      </c>
      <c r="AD1238" s="2" t="str">
        <f>VLOOKUP(E1238,'[1]Detailed Transfer Report (12)'!$K:$Y,14,FALSE)</f>
        <v>Sardar Tanveer Ilyas</v>
      </c>
      <c r="AE1238" s="16">
        <f>VLOOKUP(E1238,'[1]Detailed Transfer Report (12)'!$K:$Y,15,FALSE)</f>
        <v>45029</v>
      </c>
    </row>
    <row r="1239" spans="1:31" x14ac:dyDescent="0.25">
      <c r="A1239" s="10">
        <v>662</v>
      </c>
      <c r="B1239" s="4">
        <v>45035</v>
      </c>
      <c r="C1239" s="3" t="s">
        <v>137</v>
      </c>
      <c r="D1239" s="3" t="s">
        <v>1588</v>
      </c>
      <c r="E1239" s="3">
        <v>5743</v>
      </c>
      <c r="F1239" s="3">
        <v>10299</v>
      </c>
      <c r="G1239" s="3" t="s">
        <v>756</v>
      </c>
      <c r="H1239" s="3">
        <v>0</v>
      </c>
      <c r="I1239" s="3">
        <v>0</v>
      </c>
      <c r="J1239" s="5">
        <v>63000</v>
      </c>
      <c r="K1239" s="3">
        <v>0</v>
      </c>
      <c r="L1239" s="3">
        <v>0</v>
      </c>
      <c r="M1239" s="3">
        <v>0</v>
      </c>
      <c r="N1239" s="5">
        <v>9000</v>
      </c>
      <c r="O1239" s="3">
        <v>0</v>
      </c>
      <c r="P1239" s="5">
        <v>10000</v>
      </c>
      <c r="Q1239" s="3">
        <v>0</v>
      </c>
      <c r="R1239" s="5">
        <v>36000</v>
      </c>
      <c r="S1239" s="5">
        <v>5000</v>
      </c>
      <c r="T1239" s="3">
        <v>100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5">
        <v>2000</v>
      </c>
      <c r="AA1239" s="5">
        <v>16000</v>
      </c>
      <c r="AB1239" s="6">
        <v>282200</v>
      </c>
      <c r="AC1239" s="2" t="str">
        <f>VLOOKUP(E1239,'[1]Detailed Transfer Report (12)'!$K:$Y,13,FALSE)</f>
        <v>Muhammad Mumtaz Khan</v>
      </c>
      <c r="AD1239" s="2" t="str">
        <f>VLOOKUP(E1239,'[1]Detailed Transfer Report (12)'!$K:$Y,14,FALSE)</f>
        <v>Sardar Tanveer Ilyas</v>
      </c>
      <c r="AE1239" s="16">
        <f>VLOOKUP(E1239,'[1]Detailed Transfer Report (12)'!$K:$Y,15,FALSE)</f>
        <v>45021</v>
      </c>
    </row>
    <row r="1240" spans="1:31" x14ac:dyDescent="0.25">
      <c r="A1240" s="7">
        <v>663</v>
      </c>
      <c r="B1240" s="4">
        <v>45045</v>
      </c>
      <c r="C1240" s="3" t="s">
        <v>44</v>
      </c>
      <c r="D1240" s="3" t="s">
        <v>1594</v>
      </c>
      <c r="E1240" s="3">
        <v>6000</v>
      </c>
      <c r="F1240" s="3">
        <v>11443</v>
      </c>
      <c r="G1240" s="3" t="s">
        <v>756</v>
      </c>
      <c r="H1240" s="3">
        <v>0</v>
      </c>
      <c r="I1240" s="3">
        <v>0</v>
      </c>
      <c r="J1240" s="5">
        <v>204000</v>
      </c>
      <c r="K1240" s="3">
        <v>0</v>
      </c>
      <c r="L1240" s="3">
        <v>0</v>
      </c>
      <c r="M1240" s="3">
        <v>0</v>
      </c>
      <c r="N1240" s="5">
        <v>17000</v>
      </c>
      <c r="O1240" s="3">
        <v>0</v>
      </c>
      <c r="P1240" s="5">
        <v>18000</v>
      </c>
      <c r="Q1240" s="3">
        <v>0</v>
      </c>
      <c r="R1240" s="5">
        <v>68000</v>
      </c>
      <c r="S1240" s="3">
        <v>0</v>
      </c>
      <c r="T1240" s="3">
        <v>100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5">
        <v>2000</v>
      </c>
      <c r="AA1240" s="5">
        <v>16000</v>
      </c>
      <c r="AB1240" s="6">
        <v>325100</v>
      </c>
      <c r="AC1240" s="2" t="str">
        <f>VLOOKUP(E1240,'[1]Detailed Transfer Report (12)'!$K:$Y,13,FALSE)</f>
        <v>Asad Arif</v>
      </c>
      <c r="AD1240" s="2" t="str">
        <f>VLOOKUP(E1240,'[1]Detailed Transfer Report (12)'!$K:$Y,14,FALSE)</f>
        <v>Sardar Tanveer Ilyas</v>
      </c>
      <c r="AE1240" s="16">
        <f>VLOOKUP(E1240,'[1]Detailed Transfer Report (12)'!$K:$Y,15,FALSE)</f>
        <v>45034</v>
      </c>
    </row>
    <row r="1241" spans="1:31" x14ac:dyDescent="0.25">
      <c r="A1241" s="9">
        <v>663</v>
      </c>
      <c r="B1241" s="4">
        <v>45012</v>
      </c>
      <c r="C1241" s="3" t="s">
        <v>137</v>
      </c>
      <c r="D1241" s="3" t="s">
        <v>1565</v>
      </c>
      <c r="E1241" s="3">
        <v>5730</v>
      </c>
      <c r="F1241" s="3">
        <v>10755</v>
      </c>
      <c r="G1241" s="3" t="s">
        <v>756</v>
      </c>
      <c r="H1241" s="3">
        <v>0</v>
      </c>
      <c r="I1241" s="3">
        <v>0</v>
      </c>
      <c r="J1241" s="5">
        <v>18000</v>
      </c>
      <c r="K1241" s="3">
        <v>0</v>
      </c>
      <c r="L1241" s="3">
        <v>0</v>
      </c>
      <c r="M1241" s="3">
        <v>0</v>
      </c>
      <c r="N1241" s="5">
        <v>9000</v>
      </c>
      <c r="O1241" s="3">
        <v>0</v>
      </c>
      <c r="P1241" s="5">
        <v>10000</v>
      </c>
      <c r="Q1241" s="3">
        <v>0</v>
      </c>
      <c r="R1241" s="5">
        <v>36000</v>
      </c>
      <c r="S1241" s="5">
        <v>5000</v>
      </c>
      <c r="T1241" s="3">
        <v>100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5">
        <v>2000</v>
      </c>
      <c r="AA1241" s="5">
        <v>16000</v>
      </c>
      <c r="AB1241" s="6">
        <v>421200</v>
      </c>
      <c r="AC1241" s="2" t="str">
        <f>VLOOKUP(E1241,'[1]Detailed Transfer Report (12)'!$K:$Y,13,FALSE)</f>
        <v>M Shareef ud din Nasir</v>
      </c>
      <c r="AD1241" s="2" t="str">
        <f>VLOOKUP(E1241,'[1]Detailed Transfer Report (12)'!$K:$Y,14,FALSE)</f>
        <v>Sardar Tanveer Ilyas</v>
      </c>
      <c r="AE1241" s="16">
        <f>VLOOKUP(E1241,'[1]Detailed Transfer Report (12)'!$K:$Y,15,FALSE)</f>
        <v>45306</v>
      </c>
    </row>
    <row r="1242" spans="1:31" x14ac:dyDescent="0.25">
      <c r="A1242" s="9">
        <v>663</v>
      </c>
      <c r="B1242" s="4">
        <v>45012</v>
      </c>
      <c r="C1242" s="3" t="s">
        <v>44</v>
      </c>
      <c r="D1242" s="3" t="s">
        <v>1592</v>
      </c>
      <c r="E1242" s="3"/>
      <c r="F1242" s="3">
        <v>10110</v>
      </c>
      <c r="G1242" s="3" t="s">
        <v>756</v>
      </c>
      <c r="H1242" s="3">
        <v>0</v>
      </c>
      <c r="I1242" s="3">
        <v>0</v>
      </c>
      <c r="J1242" s="5">
        <v>34000</v>
      </c>
      <c r="K1242" s="3">
        <v>0</v>
      </c>
      <c r="L1242" s="3">
        <v>0</v>
      </c>
      <c r="M1242" s="3">
        <v>0</v>
      </c>
      <c r="N1242" s="5">
        <v>17000</v>
      </c>
      <c r="O1242" s="3">
        <v>0</v>
      </c>
      <c r="P1242" s="5">
        <v>18000</v>
      </c>
      <c r="Q1242" s="3">
        <v>0</v>
      </c>
      <c r="R1242" s="5">
        <v>68000</v>
      </c>
      <c r="S1242" s="5">
        <v>7000</v>
      </c>
      <c r="T1242" s="3">
        <v>100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5">
        <v>2000</v>
      </c>
      <c r="AA1242" s="5">
        <v>16000</v>
      </c>
      <c r="AB1242" s="6">
        <v>583300</v>
      </c>
      <c r="AC1242" s="2" t="str">
        <f>VLOOKUP(F1242,'[1]Detailed Transfer Report (12)'!$L:$Y,12,FALSE)</f>
        <v>Juma Khan</v>
      </c>
      <c r="AD1242" s="2" t="str">
        <f>VLOOKUP(F1242,'[1]Detailed Transfer Report (12)'!$L:$Y,13,FALSE)</f>
        <v>Sardar Tanveer Ilyas</v>
      </c>
      <c r="AE1242" s="16"/>
    </row>
    <row r="1243" spans="1:31" x14ac:dyDescent="0.25">
      <c r="A1243" s="9">
        <v>663</v>
      </c>
      <c r="B1243" s="4">
        <v>45064</v>
      </c>
      <c r="C1243" s="3" t="s">
        <v>44</v>
      </c>
      <c r="D1243" s="3" t="s">
        <v>1594</v>
      </c>
      <c r="E1243" s="3">
        <v>6001</v>
      </c>
      <c r="F1243" s="3">
        <v>11442</v>
      </c>
      <c r="G1243" s="3" t="s">
        <v>756</v>
      </c>
      <c r="H1243" s="3">
        <v>0</v>
      </c>
      <c r="I1243" s="3">
        <v>0</v>
      </c>
      <c r="J1243" s="5">
        <v>119000</v>
      </c>
      <c r="K1243" s="3">
        <v>0</v>
      </c>
      <c r="L1243" s="3">
        <v>0</v>
      </c>
      <c r="M1243" s="3">
        <v>0</v>
      </c>
      <c r="N1243" s="5">
        <v>17000</v>
      </c>
      <c r="O1243" s="3">
        <v>0</v>
      </c>
      <c r="P1243" s="5">
        <v>18000</v>
      </c>
      <c r="Q1243" s="3">
        <v>0</v>
      </c>
      <c r="R1243" s="5">
        <v>68000</v>
      </c>
      <c r="S1243" s="3">
        <v>0</v>
      </c>
      <c r="T1243" s="3">
        <v>100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5">
        <v>2000</v>
      </c>
      <c r="AA1243" s="5">
        <v>16000</v>
      </c>
      <c r="AB1243" s="6">
        <v>823400</v>
      </c>
      <c r="AC1243" s="2" t="str">
        <f>VLOOKUP(E1243,'[1]Detailed Transfer Report (12)'!$K:$Y,13,FALSE)</f>
        <v>Afsheen Fayyaz</v>
      </c>
      <c r="AD1243" s="2" t="str">
        <f>VLOOKUP(E1243,'[1]Detailed Transfer Report (12)'!$K:$Y,14,FALSE)</f>
        <v>Sardar Tanveer Ilyas</v>
      </c>
      <c r="AE1243" s="16">
        <f>VLOOKUP(E1243,'[1]Detailed Transfer Report (12)'!$K:$Y,15,FALSE)</f>
        <v>45034</v>
      </c>
    </row>
    <row r="1244" spans="1:31" x14ac:dyDescent="0.25">
      <c r="A1244" s="9">
        <v>663</v>
      </c>
      <c r="B1244" s="4">
        <v>45094</v>
      </c>
      <c r="C1244" s="3" t="s">
        <v>153</v>
      </c>
      <c r="D1244" s="3" t="s">
        <v>1595</v>
      </c>
      <c r="E1244" s="3">
        <v>5789</v>
      </c>
      <c r="F1244" s="3">
        <v>15927</v>
      </c>
      <c r="G1244" s="3" t="s">
        <v>756</v>
      </c>
      <c r="H1244" s="3">
        <v>0</v>
      </c>
      <c r="I1244" s="3">
        <v>0</v>
      </c>
      <c r="J1244" s="5">
        <v>10000</v>
      </c>
      <c r="K1244" s="3">
        <v>0</v>
      </c>
      <c r="L1244" s="3">
        <v>0</v>
      </c>
      <c r="M1244" s="3">
        <v>0</v>
      </c>
      <c r="N1244" s="5">
        <v>5000</v>
      </c>
      <c r="O1244" s="3">
        <v>0</v>
      </c>
      <c r="P1244" s="5">
        <v>5500</v>
      </c>
      <c r="Q1244" s="3">
        <v>0</v>
      </c>
      <c r="R1244" s="5">
        <v>20000</v>
      </c>
      <c r="S1244" s="3">
        <v>0</v>
      </c>
      <c r="T1244" s="5">
        <v>1100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5">
        <v>2000</v>
      </c>
      <c r="AA1244" s="5">
        <v>16000</v>
      </c>
      <c r="AB1244" s="6">
        <v>883000</v>
      </c>
      <c r="AC1244" s="2" t="str">
        <f>VLOOKUP(E1244,'[1]Detailed Transfer Report (12)'!$K:$Y,13,FALSE)</f>
        <v>Syed Bashir Hussain Shah</v>
      </c>
      <c r="AD1244" s="2" t="str">
        <f>VLOOKUP(E1244,'[1]Detailed Transfer Report (12)'!$K:$Y,14,FALSE)</f>
        <v>Sardar Tanveer Ilyas</v>
      </c>
      <c r="AE1244" s="16">
        <f>VLOOKUP(E1244,'[1]Detailed Transfer Report (12)'!$K:$Y,15,FALSE)</f>
        <v>45084</v>
      </c>
    </row>
    <row r="1245" spans="1:31" x14ac:dyDescent="0.25">
      <c r="A1245" s="9">
        <v>663</v>
      </c>
      <c r="B1245" s="4">
        <v>45064</v>
      </c>
      <c r="C1245" s="3" t="s">
        <v>521</v>
      </c>
      <c r="D1245" s="3" t="s">
        <v>1593</v>
      </c>
      <c r="E1245" s="3">
        <v>6039</v>
      </c>
      <c r="F1245" s="3">
        <v>11467</v>
      </c>
      <c r="G1245" s="3" t="s">
        <v>756</v>
      </c>
      <c r="H1245" s="3">
        <v>0</v>
      </c>
      <c r="I1245" s="3">
        <v>0</v>
      </c>
      <c r="J1245" s="5">
        <v>91000</v>
      </c>
      <c r="K1245" s="3">
        <v>0</v>
      </c>
      <c r="L1245" s="3">
        <v>0</v>
      </c>
      <c r="M1245" s="3">
        <v>0</v>
      </c>
      <c r="N1245" s="5">
        <v>13000</v>
      </c>
      <c r="O1245" s="3">
        <v>0</v>
      </c>
      <c r="P1245" s="5">
        <v>14000</v>
      </c>
      <c r="Q1245" s="3">
        <v>0</v>
      </c>
      <c r="R1245" s="5">
        <v>52000</v>
      </c>
      <c r="S1245" s="3">
        <v>0</v>
      </c>
      <c r="T1245" s="3">
        <v>100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5">
        <v>2000</v>
      </c>
      <c r="AA1245" s="5">
        <v>16000</v>
      </c>
      <c r="AB1245" s="6">
        <v>1071100</v>
      </c>
      <c r="AC1245" s="2" t="str">
        <f>VLOOKUP(E1245,'[1]Detailed Transfer Report (12)'!$K:$Y,13,FALSE)</f>
        <v>Khurram Khan</v>
      </c>
      <c r="AD1245" s="2" t="str">
        <f>VLOOKUP(E1245,'[1]Detailed Transfer Report (12)'!$K:$Y,14,FALSE)</f>
        <v>Sardar Tanveer Ilyas</v>
      </c>
      <c r="AE1245" s="16">
        <f>VLOOKUP(E1245,'[1]Detailed Transfer Report (12)'!$K:$Y,15,FALSE)</f>
        <v>45034</v>
      </c>
    </row>
    <row r="1246" spans="1:31" x14ac:dyDescent="0.25">
      <c r="A1246" s="9">
        <v>663</v>
      </c>
      <c r="B1246" s="4">
        <v>45094</v>
      </c>
      <c r="C1246" s="3" t="s">
        <v>153</v>
      </c>
      <c r="D1246" s="3" t="s">
        <v>1595</v>
      </c>
      <c r="E1246" s="3">
        <v>6087</v>
      </c>
      <c r="F1246" s="3">
        <v>15929</v>
      </c>
      <c r="G1246" s="3" t="s">
        <v>756</v>
      </c>
      <c r="H1246" s="3">
        <v>0</v>
      </c>
      <c r="I1246" s="3">
        <v>0</v>
      </c>
      <c r="J1246" s="5">
        <v>10000</v>
      </c>
      <c r="K1246" s="3">
        <v>0</v>
      </c>
      <c r="L1246" s="3">
        <v>0</v>
      </c>
      <c r="M1246" s="3">
        <v>0</v>
      </c>
      <c r="N1246" s="5">
        <v>5000</v>
      </c>
      <c r="O1246" s="3">
        <v>0</v>
      </c>
      <c r="P1246" s="5">
        <v>5500</v>
      </c>
      <c r="Q1246" s="3">
        <v>0</v>
      </c>
      <c r="R1246" s="5">
        <v>20000</v>
      </c>
      <c r="S1246" s="3">
        <v>0</v>
      </c>
      <c r="T1246" s="5">
        <v>1100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5">
        <v>2000</v>
      </c>
      <c r="AA1246" s="5">
        <v>16000</v>
      </c>
      <c r="AB1246" s="6">
        <v>1130700</v>
      </c>
      <c r="AC1246" s="2" t="str">
        <f>VLOOKUP(E1246,'[1]Detailed Transfer Report (12)'!$K:$Y,13,FALSE)</f>
        <v>Muhammad Wazir</v>
      </c>
      <c r="AD1246" s="2" t="str">
        <f>VLOOKUP(E1246,'[1]Detailed Transfer Report (12)'!$K:$Y,14,FALSE)</f>
        <v>Sardar Tanveer Ilyas</v>
      </c>
      <c r="AE1246" s="16">
        <f>VLOOKUP(E1246,'[1]Detailed Transfer Report (12)'!$K:$Y,15,FALSE)</f>
        <v>45815</v>
      </c>
    </row>
    <row r="1247" spans="1:31" x14ac:dyDescent="0.25">
      <c r="A1247" s="10">
        <v>663</v>
      </c>
      <c r="B1247" s="4">
        <v>45064</v>
      </c>
      <c r="C1247" s="3" t="s">
        <v>137</v>
      </c>
      <c r="D1247" s="3" t="s">
        <v>1593</v>
      </c>
      <c r="E1247" s="3">
        <v>5727</v>
      </c>
      <c r="F1247" s="3">
        <v>11347</v>
      </c>
      <c r="G1247" s="3" t="s">
        <v>756</v>
      </c>
      <c r="H1247" s="3">
        <v>0</v>
      </c>
      <c r="I1247" s="3">
        <v>0</v>
      </c>
      <c r="J1247" s="5">
        <v>108000</v>
      </c>
      <c r="K1247" s="3">
        <v>0</v>
      </c>
      <c r="L1247" s="3">
        <v>0</v>
      </c>
      <c r="M1247" s="3">
        <v>0</v>
      </c>
      <c r="N1247" s="5">
        <v>9000</v>
      </c>
      <c r="O1247" s="3">
        <v>0</v>
      </c>
      <c r="P1247" s="5">
        <v>10000</v>
      </c>
      <c r="Q1247" s="3">
        <v>0</v>
      </c>
      <c r="R1247" s="5">
        <v>36000</v>
      </c>
      <c r="S1247" s="3">
        <v>0</v>
      </c>
      <c r="T1247" s="3">
        <v>100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5">
        <v>2000</v>
      </c>
      <c r="AA1247" s="5">
        <v>16000</v>
      </c>
      <c r="AB1247" s="6">
        <v>1311800</v>
      </c>
      <c r="AD1247" s="2" t="str">
        <f>VLOOKUP(E1247,'[1]Detailed Transfer Report (12)'!$K:$Y,14,FALSE)</f>
        <v>Sardar Rashid Ilyas Khan</v>
      </c>
      <c r="AE1247" s="16"/>
    </row>
    <row r="1248" spans="1:31" x14ac:dyDescent="0.25">
      <c r="A1248" s="3">
        <v>664</v>
      </c>
      <c r="B1248" s="4">
        <v>45048</v>
      </c>
      <c r="C1248" s="3" t="s">
        <v>110</v>
      </c>
      <c r="D1248" s="3" t="s">
        <v>1596</v>
      </c>
      <c r="E1248" s="3"/>
      <c r="F1248" s="3">
        <v>11681</v>
      </c>
      <c r="G1248" s="3" t="s">
        <v>30</v>
      </c>
      <c r="H1248" s="3">
        <v>0</v>
      </c>
      <c r="I1248" s="3">
        <v>0</v>
      </c>
      <c r="J1248" s="5">
        <v>105000</v>
      </c>
      <c r="K1248" s="3">
        <v>0</v>
      </c>
      <c r="L1248" s="3">
        <v>0</v>
      </c>
      <c r="M1248" s="3">
        <v>0</v>
      </c>
      <c r="N1248" s="5">
        <v>15000</v>
      </c>
      <c r="O1248" s="3">
        <v>0</v>
      </c>
      <c r="P1248" s="5">
        <v>16000</v>
      </c>
      <c r="Q1248" s="3">
        <v>0</v>
      </c>
      <c r="R1248" s="5">
        <v>60000</v>
      </c>
      <c r="S1248" s="3">
        <v>0</v>
      </c>
      <c r="T1248" s="3">
        <v>100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5">
        <v>2000</v>
      </c>
      <c r="AA1248" s="5">
        <v>16000</v>
      </c>
      <c r="AB1248" s="6">
        <v>214100</v>
      </c>
      <c r="AC1248" s="2" t="str">
        <f>VLOOKUP(F1248,'[1]Detailed Transfer Report (12)'!$L:$Y,12,FALSE)</f>
        <v>Muhammad Banaras</v>
      </c>
      <c r="AD1248" s="2" t="str">
        <f>VLOOKUP(F1248,'[1]Detailed Transfer Report (12)'!$L:$Y,13,FALSE)</f>
        <v>Sardar Tanveer Ilyas</v>
      </c>
      <c r="AE1248" s="16">
        <f>VLOOKUP(F1248,'[1]Detailed Transfer Report (12)'!$L:$Y,14,FALSE)</f>
        <v>45045</v>
      </c>
    </row>
    <row r="1249" spans="1:31" ht="34.5" x14ac:dyDescent="0.25">
      <c r="A1249" s="7">
        <v>665</v>
      </c>
      <c r="B1249" s="4">
        <v>45120</v>
      </c>
      <c r="C1249" s="3" t="s">
        <v>1597</v>
      </c>
      <c r="D1249" s="3" t="s">
        <v>822</v>
      </c>
      <c r="E1249" s="3" t="s">
        <v>1295</v>
      </c>
      <c r="F1249" s="3"/>
      <c r="G1249" s="3" t="s">
        <v>1179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8">
        <v>0</v>
      </c>
      <c r="AE1249" s="16"/>
    </row>
    <row r="1250" spans="1:31" x14ac:dyDescent="0.25">
      <c r="A1250" s="9">
        <v>665</v>
      </c>
      <c r="B1250" s="4">
        <v>45071</v>
      </c>
      <c r="C1250" s="3" t="s">
        <v>1598</v>
      </c>
      <c r="D1250" s="3" t="s">
        <v>1562</v>
      </c>
      <c r="E1250" s="3"/>
      <c r="F1250" s="3">
        <v>12743</v>
      </c>
      <c r="G1250" s="3" t="s">
        <v>1179</v>
      </c>
      <c r="H1250" s="3">
        <v>0</v>
      </c>
      <c r="I1250" s="3">
        <v>0</v>
      </c>
      <c r="J1250" s="5">
        <v>70000</v>
      </c>
      <c r="K1250" s="3">
        <v>0</v>
      </c>
      <c r="L1250" s="3">
        <v>0</v>
      </c>
      <c r="M1250" s="3">
        <v>0</v>
      </c>
      <c r="N1250" s="5">
        <v>10000</v>
      </c>
      <c r="O1250" s="3">
        <v>0</v>
      </c>
      <c r="P1250" s="5">
        <v>11000</v>
      </c>
      <c r="Q1250" s="3">
        <v>0</v>
      </c>
      <c r="R1250" s="5">
        <v>40000</v>
      </c>
      <c r="S1250" s="3">
        <v>0</v>
      </c>
      <c r="T1250" s="5">
        <v>1100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5">
        <v>2000</v>
      </c>
      <c r="AA1250" s="5">
        <v>16000</v>
      </c>
      <c r="AB1250" s="6">
        <v>150100</v>
      </c>
      <c r="AC1250" s="2" t="str">
        <f>VLOOKUP(F1250,'[1]Detailed Transfer Report (12)'!$L:$Y,12,FALSE)</f>
        <v>Maria Kiyani</v>
      </c>
      <c r="AD1250" s="2" t="str">
        <f>VLOOKUP(F1250,'[1]Detailed Transfer Report (12)'!$L:$Y,13,FALSE)</f>
        <v>Sardar Tanveer Ilyas</v>
      </c>
      <c r="AE1250" s="16">
        <f>VLOOKUP(F1250,'[1]Detailed Transfer Report (12)'!$L:$Y,14,FALSE)</f>
        <v>45058</v>
      </c>
    </row>
    <row r="1251" spans="1:31" x14ac:dyDescent="0.25">
      <c r="A1251" s="9">
        <v>665</v>
      </c>
      <c r="B1251" s="4">
        <v>45071</v>
      </c>
      <c r="C1251" s="3" t="s">
        <v>1599</v>
      </c>
      <c r="D1251" s="3" t="s">
        <v>1562</v>
      </c>
      <c r="E1251" s="3"/>
      <c r="F1251" s="3">
        <v>12742</v>
      </c>
      <c r="G1251" s="3" t="s">
        <v>1179</v>
      </c>
      <c r="H1251" s="3">
        <v>0</v>
      </c>
      <c r="I1251" s="3">
        <v>0</v>
      </c>
      <c r="J1251" s="5">
        <v>98000</v>
      </c>
      <c r="K1251" s="3">
        <v>0</v>
      </c>
      <c r="L1251" s="3">
        <v>0</v>
      </c>
      <c r="M1251" s="3">
        <v>0</v>
      </c>
      <c r="N1251" s="5">
        <v>14000</v>
      </c>
      <c r="O1251" s="3">
        <v>0</v>
      </c>
      <c r="P1251" s="5">
        <v>15000</v>
      </c>
      <c r="Q1251" s="3">
        <v>0</v>
      </c>
      <c r="R1251" s="5">
        <v>56000</v>
      </c>
      <c r="S1251" s="3">
        <v>0</v>
      </c>
      <c r="T1251" s="5">
        <v>1100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5">
        <v>2000</v>
      </c>
      <c r="AA1251" s="5">
        <v>16000</v>
      </c>
      <c r="AB1251" s="6">
        <v>352200</v>
      </c>
      <c r="AC1251" s="2" t="str">
        <f>VLOOKUP(F1251,'[1]Detailed Transfer Report (12)'!$L:$Y,12,FALSE)</f>
        <v>Raheela Bibi</v>
      </c>
      <c r="AD1251" s="2" t="str">
        <f>VLOOKUP(F1251,'[1]Detailed Transfer Report (12)'!$L:$Y,13,FALSE)</f>
        <v>Sardar Tanveer Ilyas</v>
      </c>
      <c r="AE1251" s="16">
        <f>VLOOKUP(F1251,'[1]Detailed Transfer Report (12)'!$L:$Y,14,FALSE)</f>
        <v>45058</v>
      </c>
    </row>
    <row r="1252" spans="1:31" x14ac:dyDescent="0.25">
      <c r="A1252" s="9">
        <v>665</v>
      </c>
      <c r="B1252" s="4">
        <v>45134</v>
      </c>
      <c r="C1252" s="3" t="s">
        <v>1600</v>
      </c>
      <c r="D1252" s="3" t="s">
        <v>822</v>
      </c>
      <c r="E1252" s="3">
        <v>4158</v>
      </c>
      <c r="F1252" s="3">
        <v>20950</v>
      </c>
      <c r="G1252" s="3" t="s">
        <v>1179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6">
        <v>352200</v>
      </c>
      <c r="AC1252" s="2" t="str">
        <f>VLOOKUP(E1252,'[1]Detailed Transfer Report (12)'!$K:$Y,13,FALSE)</f>
        <v>Abdul Qadeer</v>
      </c>
      <c r="AD1252" s="2" t="str">
        <f>VLOOKUP(E1252,'[1]Detailed Transfer Report (12)'!$K:$Y,14,FALSE)</f>
        <v>Sardar Tanveer Ilyas</v>
      </c>
      <c r="AE1252" s="16">
        <f>VLOOKUP(E1252,'[1]Detailed Transfer Report (12)'!$K:$Y,15,FALSE)</f>
        <v>45115</v>
      </c>
    </row>
    <row r="1253" spans="1:31" x14ac:dyDescent="0.25">
      <c r="A1253" s="9">
        <v>665</v>
      </c>
      <c r="B1253" s="4">
        <v>45075</v>
      </c>
      <c r="C1253" s="3" t="s">
        <v>1601</v>
      </c>
      <c r="D1253" s="3" t="s">
        <v>1602</v>
      </c>
      <c r="E1253" s="3">
        <v>4003</v>
      </c>
      <c r="F1253" s="3">
        <v>15067</v>
      </c>
      <c r="G1253" s="3" t="s">
        <v>1179</v>
      </c>
      <c r="H1253" s="3">
        <v>0</v>
      </c>
      <c r="I1253" s="3">
        <v>0</v>
      </c>
      <c r="J1253" s="5">
        <v>920000</v>
      </c>
      <c r="K1253" s="3">
        <v>0</v>
      </c>
      <c r="L1253" s="3">
        <v>0</v>
      </c>
      <c r="M1253" s="3">
        <v>0</v>
      </c>
      <c r="N1253" s="5">
        <v>460000</v>
      </c>
      <c r="O1253" s="3">
        <v>0</v>
      </c>
      <c r="P1253" s="5">
        <v>461000</v>
      </c>
      <c r="Q1253" s="3">
        <v>0</v>
      </c>
      <c r="R1253" s="5">
        <v>920000</v>
      </c>
      <c r="S1253" s="3">
        <v>0</v>
      </c>
      <c r="T1253" s="5">
        <v>1100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5">
        <v>2000</v>
      </c>
      <c r="AA1253" s="5">
        <v>460000</v>
      </c>
      <c r="AB1253" s="6">
        <v>3576300</v>
      </c>
      <c r="AC1253" s="2" t="str">
        <f>VLOOKUP(E1253,'[1]Detailed Transfer Report (12)'!$K:$Y,13,FALSE)</f>
        <v>Mansoor Ahmed</v>
      </c>
      <c r="AD1253" s="2" t="str">
        <f>VLOOKUP(E1253,'[1]Detailed Transfer Report (12)'!$K:$Y,14,FALSE)</f>
        <v>Sardar Tanveer Ilyas</v>
      </c>
      <c r="AE1253" s="16">
        <f>VLOOKUP(E1253,'[1]Detailed Transfer Report (12)'!$K:$Y,15,FALSE)</f>
        <v>45077</v>
      </c>
    </row>
    <row r="1254" spans="1:31" x14ac:dyDescent="0.25">
      <c r="A1254" s="9">
        <v>665</v>
      </c>
      <c r="B1254" s="4">
        <v>45686</v>
      </c>
      <c r="C1254" s="3" t="s">
        <v>1603</v>
      </c>
      <c r="D1254" s="3" t="s">
        <v>822</v>
      </c>
      <c r="E1254" s="3"/>
      <c r="F1254" s="3">
        <v>3976</v>
      </c>
      <c r="G1254" s="3" t="s">
        <v>1179</v>
      </c>
      <c r="H1254" s="3">
        <v>0</v>
      </c>
      <c r="I1254" s="3">
        <v>0</v>
      </c>
      <c r="J1254" s="5">
        <v>10000</v>
      </c>
      <c r="K1254" s="3">
        <v>0</v>
      </c>
      <c r="L1254" s="3">
        <v>0</v>
      </c>
      <c r="M1254" s="3">
        <v>0</v>
      </c>
      <c r="N1254" s="5">
        <v>5000</v>
      </c>
      <c r="O1254" s="3">
        <v>0</v>
      </c>
      <c r="P1254" s="5">
        <v>5500</v>
      </c>
      <c r="Q1254" s="3">
        <v>0</v>
      </c>
      <c r="R1254" s="5">
        <v>20000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5">
        <v>1100</v>
      </c>
      <c r="Y1254" s="3">
        <v>0</v>
      </c>
      <c r="Z1254" s="5">
        <v>2000</v>
      </c>
      <c r="AA1254" s="5">
        <v>16000</v>
      </c>
      <c r="AB1254" s="6">
        <v>3635900</v>
      </c>
      <c r="AC1254" s="2" t="str">
        <f>VLOOKUP(F1254,'[1]Detailed Transfer Report (12)'!$L:$Y,12,FALSE)</f>
        <v>Syed Qaiser Mehmood</v>
      </c>
      <c r="AD1254" s="2" t="str">
        <f>VLOOKUP(F1254,'[1]Detailed Transfer Report (12)'!$L:$Y,13,FALSE)</f>
        <v>Sardar Tanveer Ilyas</v>
      </c>
      <c r="AE1254" s="16">
        <f>VLOOKUP(F1254,'[1]Detailed Transfer Report (12)'!$L:$Y,14,FALSE)</f>
        <v>45115</v>
      </c>
    </row>
    <row r="1255" spans="1:31" x14ac:dyDescent="0.25">
      <c r="A1255" s="9">
        <v>665</v>
      </c>
      <c r="B1255" s="4">
        <v>45686</v>
      </c>
      <c r="C1255" s="3" t="s">
        <v>44</v>
      </c>
      <c r="D1255" s="3" t="s">
        <v>1604</v>
      </c>
      <c r="E1255" s="3"/>
      <c r="F1255" s="3">
        <v>20393</v>
      </c>
      <c r="G1255" s="3" t="s">
        <v>1179</v>
      </c>
      <c r="H1255" s="3">
        <v>0</v>
      </c>
      <c r="I1255" s="3">
        <v>0</v>
      </c>
      <c r="J1255" s="5">
        <v>82500</v>
      </c>
      <c r="K1255" s="3">
        <v>0</v>
      </c>
      <c r="L1255" s="3">
        <v>0</v>
      </c>
      <c r="M1255" s="3">
        <v>0</v>
      </c>
      <c r="N1255" s="5">
        <v>27500</v>
      </c>
      <c r="O1255" s="3">
        <v>0</v>
      </c>
      <c r="P1255" s="5">
        <v>28500</v>
      </c>
      <c r="Q1255" s="3">
        <v>0</v>
      </c>
      <c r="R1255" s="5">
        <v>165000</v>
      </c>
      <c r="S1255" s="5">
        <v>9000</v>
      </c>
      <c r="T1255" s="3">
        <v>0</v>
      </c>
      <c r="U1255" s="3">
        <v>0</v>
      </c>
      <c r="V1255" s="3">
        <v>0</v>
      </c>
      <c r="W1255" s="3">
        <v>0</v>
      </c>
      <c r="X1255" s="5">
        <v>1300</v>
      </c>
      <c r="Y1255" s="3">
        <v>0</v>
      </c>
      <c r="Z1255" s="5">
        <v>2000</v>
      </c>
      <c r="AA1255" s="5">
        <v>16000</v>
      </c>
      <c r="AB1255" s="6">
        <v>3967700</v>
      </c>
      <c r="AC1255" s="2" t="str">
        <f>VLOOKUP(F1255,'[1]Detailed Transfer Report (12)'!$L:$Y,12,FALSE)</f>
        <v>Raja Muhammad Tanvir</v>
      </c>
      <c r="AD1255" s="2" t="str">
        <f>VLOOKUP(F1255,'[1]Detailed Transfer Report (12)'!$L:$Y,13,FALSE)</f>
        <v>Sardar Tanveer Ilyas</v>
      </c>
      <c r="AE1255" s="16">
        <f>VLOOKUP(F1255,'[1]Detailed Transfer Report (12)'!$L:$Y,14,FALSE)</f>
        <v>45134</v>
      </c>
    </row>
    <row r="1256" spans="1:31" x14ac:dyDescent="0.25">
      <c r="A1256" s="10">
        <v>665</v>
      </c>
      <c r="B1256" s="4">
        <v>45688</v>
      </c>
      <c r="C1256" s="3" t="s">
        <v>1605</v>
      </c>
      <c r="D1256" s="3" t="s">
        <v>822</v>
      </c>
      <c r="E1256" s="3">
        <v>4159</v>
      </c>
      <c r="F1256" s="3">
        <v>20433</v>
      </c>
      <c r="G1256" s="3" t="s">
        <v>1179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6">
        <v>3967700</v>
      </c>
      <c r="AC1256" s="2" t="str">
        <f>VLOOKUP(E1256,'[1]Detailed Transfer Report (12)'!$K:$Y,13,FALSE)</f>
        <v>Abdul Qadeer</v>
      </c>
      <c r="AD1256" s="2" t="str">
        <f>VLOOKUP(E1256,'[1]Detailed Transfer Report (12)'!$K:$Y,14,FALSE)</f>
        <v>Sardar Tanveer Ilyas</v>
      </c>
      <c r="AE1256" s="16">
        <f>VLOOKUP(E1256,'[1]Detailed Transfer Report (12)'!$K:$Y,15,FALSE)</f>
        <v>45688</v>
      </c>
    </row>
    <row r="1257" spans="1:31" x14ac:dyDescent="0.25">
      <c r="A1257" s="3">
        <v>666</v>
      </c>
      <c r="B1257" s="4">
        <v>45064</v>
      </c>
      <c r="C1257" s="3" t="s">
        <v>670</v>
      </c>
      <c r="D1257" s="3" t="s">
        <v>1606</v>
      </c>
      <c r="E1257" s="3">
        <v>5547</v>
      </c>
      <c r="F1257" s="3">
        <v>14853</v>
      </c>
      <c r="G1257" s="3" t="s">
        <v>756</v>
      </c>
      <c r="H1257" s="3">
        <v>0</v>
      </c>
      <c r="I1257" s="3">
        <v>0</v>
      </c>
      <c r="J1257" s="5">
        <v>70000</v>
      </c>
      <c r="K1257" s="3">
        <v>0</v>
      </c>
      <c r="L1257" s="3">
        <v>0</v>
      </c>
      <c r="M1257" s="3">
        <v>0</v>
      </c>
      <c r="N1257" s="5">
        <v>35000</v>
      </c>
      <c r="O1257" s="3">
        <v>0</v>
      </c>
      <c r="P1257" s="5">
        <v>36000</v>
      </c>
      <c r="Q1257" s="3">
        <v>0</v>
      </c>
      <c r="R1257" s="5">
        <v>140000</v>
      </c>
      <c r="S1257" s="3">
        <v>0</v>
      </c>
      <c r="T1257" s="3">
        <v>100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5">
        <v>2000</v>
      </c>
      <c r="AA1257" s="5">
        <v>35000</v>
      </c>
      <c r="AB1257" s="6">
        <v>318100</v>
      </c>
      <c r="AC1257" s="2" t="str">
        <f>VLOOKUP(E1257,'[1]Detailed Transfer Report (12)'!$K:$Y,13,FALSE)</f>
        <v>Sher Khan</v>
      </c>
      <c r="AD1257" s="2" t="str">
        <f>VLOOKUP(E1257,'[1]Detailed Transfer Report (12)'!$K:$Y,14,FALSE)</f>
        <v>Sardar Tanveer Ilyas</v>
      </c>
      <c r="AE1257" s="16">
        <f>VLOOKUP(E1257,'[1]Detailed Transfer Report (12)'!$K:$Y,15,FALSE)</f>
        <v>45076</v>
      </c>
    </row>
    <row r="1258" spans="1:31" x14ac:dyDescent="0.25">
      <c r="A1258" s="3">
        <v>667</v>
      </c>
      <c r="B1258" s="4">
        <v>45094</v>
      </c>
      <c r="C1258" s="3" t="s">
        <v>309</v>
      </c>
      <c r="D1258" s="3" t="s">
        <v>1607</v>
      </c>
      <c r="E1258" s="3">
        <v>5591</v>
      </c>
      <c r="F1258" s="3">
        <v>15446</v>
      </c>
      <c r="G1258" s="3" t="s">
        <v>30</v>
      </c>
      <c r="H1258" s="3">
        <v>0</v>
      </c>
      <c r="I1258" s="3">
        <v>0</v>
      </c>
      <c r="J1258" s="5">
        <v>6000</v>
      </c>
      <c r="K1258" s="3">
        <v>0</v>
      </c>
      <c r="L1258" s="3">
        <v>0</v>
      </c>
      <c r="M1258" s="3">
        <v>0</v>
      </c>
      <c r="N1258" s="5">
        <v>3000</v>
      </c>
      <c r="O1258" s="3">
        <v>0</v>
      </c>
      <c r="P1258" s="5">
        <v>3500</v>
      </c>
      <c r="Q1258" s="3">
        <v>0</v>
      </c>
      <c r="R1258" s="5">
        <v>12000</v>
      </c>
      <c r="S1258" s="3">
        <v>0</v>
      </c>
      <c r="T1258" s="5">
        <v>1100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5">
        <v>2000</v>
      </c>
      <c r="AA1258" s="5">
        <v>16000</v>
      </c>
      <c r="AB1258" s="6">
        <v>43600</v>
      </c>
      <c r="AC1258" s="2" t="str">
        <f>VLOOKUP(E1258,'[1]Detailed Transfer Report (12)'!$K:$Y,13,FALSE)</f>
        <v>Muhammad Qasim</v>
      </c>
      <c r="AD1258" s="2" t="str">
        <f>VLOOKUP(E1258,'[1]Detailed Transfer Report (12)'!$K:$Y,14,FALSE)</f>
        <v>Sardar Tanveer Ilyas</v>
      </c>
      <c r="AE1258" s="16">
        <f>VLOOKUP(E1258,'[1]Detailed Transfer Report (12)'!$K:$Y,15,FALSE)</f>
        <v>45274</v>
      </c>
    </row>
    <row r="1259" spans="1:31" x14ac:dyDescent="0.25">
      <c r="A1259" s="3">
        <v>668</v>
      </c>
      <c r="B1259" s="4">
        <v>45069</v>
      </c>
      <c r="C1259" s="3" t="s">
        <v>141</v>
      </c>
      <c r="D1259" s="3" t="s">
        <v>1608</v>
      </c>
      <c r="E1259" s="3"/>
      <c r="F1259" s="3">
        <v>15030</v>
      </c>
      <c r="G1259" s="3" t="s">
        <v>756</v>
      </c>
      <c r="H1259" s="3">
        <v>0</v>
      </c>
      <c r="I1259" s="3">
        <v>0</v>
      </c>
      <c r="J1259" s="5">
        <v>100000</v>
      </c>
      <c r="K1259" s="3">
        <v>0</v>
      </c>
      <c r="L1259" s="3">
        <v>0</v>
      </c>
      <c r="M1259" s="3">
        <v>0</v>
      </c>
      <c r="N1259" s="5">
        <v>50000</v>
      </c>
      <c r="O1259" s="3">
        <v>0</v>
      </c>
      <c r="P1259" s="5">
        <v>51000</v>
      </c>
      <c r="Q1259" s="3">
        <v>0</v>
      </c>
      <c r="R1259" s="5">
        <v>200000</v>
      </c>
      <c r="S1259" s="3">
        <v>0</v>
      </c>
      <c r="T1259" s="5">
        <v>1100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5">
        <v>2000</v>
      </c>
      <c r="AA1259" s="5">
        <v>50000</v>
      </c>
      <c r="AB1259" s="6">
        <v>454100</v>
      </c>
      <c r="AC1259" s="2" t="str">
        <f>VLOOKUP(F1259,'[1]Detailed Transfer Report (12)'!$L:$Y,12,FALSE)</f>
        <v>Muhammad Riyasat</v>
      </c>
      <c r="AD1259" s="2" t="str">
        <f>VLOOKUP(F1259,'[1]Detailed Transfer Report (12)'!$L:$Y,13,FALSE)</f>
        <v>Sardar Tanveer Ilyas</v>
      </c>
      <c r="AE1259" s="16"/>
    </row>
    <row r="1260" spans="1:31" x14ac:dyDescent="0.25">
      <c r="A1260" s="7">
        <v>669</v>
      </c>
      <c r="B1260" s="4">
        <v>45119</v>
      </c>
      <c r="C1260" s="3" t="s">
        <v>1609</v>
      </c>
      <c r="D1260" s="3" t="s">
        <v>1610</v>
      </c>
      <c r="E1260" s="3"/>
      <c r="F1260" s="3">
        <v>19113</v>
      </c>
      <c r="G1260" s="3" t="s">
        <v>1611</v>
      </c>
      <c r="H1260" s="3">
        <v>0</v>
      </c>
      <c r="I1260" s="3">
        <v>0</v>
      </c>
      <c r="J1260" s="5">
        <v>1340000</v>
      </c>
      <c r="K1260" s="3">
        <v>0</v>
      </c>
      <c r="L1260" s="3">
        <v>0</v>
      </c>
      <c r="M1260" s="3">
        <v>0</v>
      </c>
      <c r="N1260" s="5">
        <v>670000</v>
      </c>
      <c r="O1260" s="3">
        <v>0</v>
      </c>
      <c r="P1260" s="5">
        <v>671000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5">
        <v>1100</v>
      </c>
      <c r="Y1260" s="3">
        <v>0</v>
      </c>
      <c r="Z1260" s="5">
        <v>2000</v>
      </c>
      <c r="AA1260" s="5">
        <v>670000</v>
      </c>
      <c r="AB1260" s="6">
        <v>3354100</v>
      </c>
      <c r="AC1260" s="2" t="str">
        <f>VLOOKUP(F1260,'[1]Detailed Transfer Report (12)'!$L:$Y,12,FALSE)</f>
        <v>Salah Ud Din</v>
      </c>
      <c r="AD1260" s="2" t="str">
        <f>VLOOKUP(F1260,'[1]Detailed Transfer Report (12)'!$L:$Y,13,FALSE)</f>
        <v>Sardar Tanveer Ilyas</v>
      </c>
      <c r="AE1260" s="16"/>
    </row>
    <row r="1261" spans="1:31" x14ac:dyDescent="0.25">
      <c r="A1261" s="9">
        <v>669</v>
      </c>
      <c r="B1261" s="4">
        <v>45120</v>
      </c>
      <c r="C1261" s="3" t="s">
        <v>44</v>
      </c>
      <c r="D1261" s="3" t="s">
        <v>1612</v>
      </c>
      <c r="E1261" s="3"/>
      <c r="F1261" s="3">
        <v>17053</v>
      </c>
      <c r="G1261" s="3" t="s">
        <v>1613</v>
      </c>
      <c r="H1261" s="3">
        <v>0</v>
      </c>
      <c r="I1261" s="3">
        <v>0</v>
      </c>
      <c r="J1261" s="5">
        <v>56000</v>
      </c>
      <c r="K1261" s="3">
        <v>0</v>
      </c>
      <c r="L1261" s="3">
        <v>0</v>
      </c>
      <c r="M1261" s="3">
        <v>0</v>
      </c>
      <c r="N1261" s="5">
        <v>28000</v>
      </c>
      <c r="O1261" s="3">
        <v>0</v>
      </c>
      <c r="P1261" s="5">
        <v>29000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5">
        <v>1100</v>
      </c>
      <c r="Y1261" s="3">
        <v>0</v>
      </c>
      <c r="Z1261" s="5">
        <v>2000</v>
      </c>
      <c r="AA1261" s="5">
        <v>16000</v>
      </c>
      <c r="AB1261" s="6">
        <v>3486200</v>
      </c>
      <c r="AC1261" s="2" t="str">
        <f>VLOOKUP(F1261,'[1]Detailed Transfer Report (12)'!$L:$Y,12,FALSE)</f>
        <v>Chaudhary Qadeer Ahmed</v>
      </c>
      <c r="AD1261" s="2" t="str">
        <f>VLOOKUP(F1261,'[1]Detailed Transfer Report (12)'!$L:$Y,13,FALSE)</f>
        <v>Sardar Tanveer Ilyas</v>
      </c>
      <c r="AE1261" s="16">
        <f>VLOOKUP(F1261,'[1]Detailed Transfer Report (12)'!$L:$Y,14,FALSE)</f>
        <v>45092</v>
      </c>
    </row>
    <row r="1262" spans="1:31" x14ac:dyDescent="0.25">
      <c r="A1262" s="9">
        <v>669</v>
      </c>
      <c r="B1262" s="4">
        <v>45103</v>
      </c>
      <c r="C1262" s="3" t="s">
        <v>323</v>
      </c>
      <c r="D1262" s="3" t="s">
        <v>1612</v>
      </c>
      <c r="E1262" s="3"/>
      <c r="F1262" s="3">
        <v>8793</v>
      </c>
      <c r="G1262" s="3" t="s">
        <v>1613</v>
      </c>
      <c r="H1262" s="3">
        <v>0</v>
      </c>
      <c r="I1262" s="3">
        <v>0</v>
      </c>
      <c r="J1262" s="5">
        <v>1104000</v>
      </c>
      <c r="K1262" s="3">
        <v>0</v>
      </c>
      <c r="L1262" s="3">
        <v>0</v>
      </c>
      <c r="M1262" s="3">
        <v>0</v>
      </c>
      <c r="N1262" s="5">
        <v>552000</v>
      </c>
      <c r="O1262" s="3">
        <v>0</v>
      </c>
      <c r="P1262" s="5">
        <v>553000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5">
        <v>1100</v>
      </c>
      <c r="Y1262" s="3">
        <v>0</v>
      </c>
      <c r="Z1262" s="5">
        <v>2000</v>
      </c>
      <c r="AA1262" s="5">
        <v>552000</v>
      </c>
      <c r="AB1262" s="6">
        <v>6250300</v>
      </c>
      <c r="AC1262" s="2" t="str">
        <f>VLOOKUP(F1262,'[1]Detailed Transfer Report (12)'!$L:$Y,12,FALSE)</f>
        <v>Asif Mehmood</v>
      </c>
      <c r="AD1262" s="2" t="str">
        <f>VLOOKUP(F1262,'[1]Detailed Transfer Report (12)'!$L:$Y,13,FALSE)</f>
        <v>Sardar Tanveer Ilyas</v>
      </c>
      <c r="AE1262" s="16">
        <f>VLOOKUP(F1262,'[1]Detailed Transfer Report (12)'!$L:$Y,14,FALSE)</f>
        <v>45435</v>
      </c>
    </row>
    <row r="1263" spans="1:31" x14ac:dyDescent="0.25">
      <c r="A1263" s="9">
        <v>669</v>
      </c>
      <c r="B1263" s="4">
        <v>45103</v>
      </c>
      <c r="C1263" s="3" t="s">
        <v>46</v>
      </c>
      <c r="D1263" s="3" t="s">
        <v>1612</v>
      </c>
      <c r="E1263" s="3"/>
      <c r="F1263" s="3">
        <v>19285</v>
      </c>
      <c r="G1263" s="3" t="s">
        <v>1613</v>
      </c>
      <c r="H1263" s="3">
        <v>0</v>
      </c>
      <c r="I1263" s="3">
        <v>0</v>
      </c>
      <c r="J1263" s="5">
        <v>112000</v>
      </c>
      <c r="K1263" s="3">
        <v>0</v>
      </c>
      <c r="L1263" s="3">
        <v>0</v>
      </c>
      <c r="M1263" s="3">
        <v>0</v>
      </c>
      <c r="N1263" s="5">
        <v>56000</v>
      </c>
      <c r="O1263" s="3">
        <v>0</v>
      </c>
      <c r="P1263" s="5">
        <v>57000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5">
        <v>1100</v>
      </c>
      <c r="Y1263" s="3">
        <v>0</v>
      </c>
      <c r="Z1263" s="5">
        <v>2000</v>
      </c>
      <c r="AA1263" s="5">
        <v>56000</v>
      </c>
      <c r="AB1263" s="6">
        <v>6534400</v>
      </c>
      <c r="AC1263" s="2" t="str">
        <f>VLOOKUP(F1263,'[1]Detailed Transfer Report (12)'!$L:$Y,12,FALSE)</f>
        <v>Muhammad Ali</v>
      </c>
      <c r="AD1263" s="2" t="str">
        <f>VLOOKUP(F1263,'[1]Detailed Transfer Report (12)'!$L:$Y,13,FALSE)</f>
        <v>Sardar Tanveer Ilyas</v>
      </c>
      <c r="AE1263" s="16">
        <f>VLOOKUP(F1263,'[1]Detailed Transfer Report (12)'!$L:$Y,14,FALSE)</f>
        <v>45124</v>
      </c>
    </row>
    <row r="1264" spans="1:31" x14ac:dyDescent="0.25">
      <c r="A1264" s="9">
        <v>669</v>
      </c>
      <c r="B1264" s="4">
        <v>45070</v>
      </c>
      <c r="C1264" s="3" t="s">
        <v>1614</v>
      </c>
      <c r="D1264" s="3" t="s">
        <v>1615</v>
      </c>
      <c r="E1264" s="3"/>
      <c r="F1264" s="3">
        <v>14803</v>
      </c>
      <c r="G1264" s="3" t="s">
        <v>1613</v>
      </c>
      <c r="H1264" s="3">
        <v>0</v>
      </c>
      <c r="I1264" s="3">
        <v>0</v>
      </c>
      <c r="J1264" s="5">
        <v>2320000</v>
      </c>
      <c r="K1264" s="3">
        <v>0</v>
      </c>
      <c r="L1264" s="3">
        <v>0</v>
      </c>
      <c r="M1264" s="3">
        <v>0</v>
      </c>
      <c r="N1264" s="5">
        <v>1160000</v>
      </c>
      <c r="O1264" s="3">
        <v>0</v>
      </c>
      <c r="P1264" s="5">
        <v>1161000</v>
      </c>
      <c r="Q1264" s="3">
        <v>0</v>
      </c>
      <c r="R1264" s="5">
        <v>2320000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5">
        <v>1100</v>
      </c>
      <c r="Y1264" s="3">
        <v>0</v>
      </c>
      <c r="Z1264" s="5">
        <v>2000</v>
      </c>
      <c r="AA1264" s="5">
        <v>1160000</v>
      </c>
      <c r="AB1264" s="6">
        <v>14658500</v>
      </c>
      <c r="AC1264" s="2" t="str">
        <f>VLOOKUP(F1264,'[1]Detailed Transfer Report (12)'!$L:$Y,12,FALSE)</f>
        <v>Salah Ud Din</v>
      </c>
      <c r="AD1264" s="2" t="str">
        <f>VLOOKUP(F1264,'[1]Detailed Transfer Report (12)'!$L:$Y,13,FALSE)</f>
        <v>Sardar Tanveer Ilyas</v>
      </c>
      <c r="AE1264" s="16">
        <f>VLOOKUP(F1264,'[1]Detailed Transfer Report (12)'!$L:$Y,14,FALSE)</f>
        <v>45075</v>
      </c>
    </row>
    <row r="1265" spans="1:31" x14ac:dyDescent="0.25">
      <c r="A1265" s="9">
        <v>669</v>
      </c>
      <c r="B1265" s="4">
        <v>45103</v>
      </c>
      <c r="C1265" s="3" t="s">
        <v>1616</v>
      </c>
      <c r="D1265" s="3" t="s">
        <v>1610</v>
      </c>
      <c r="E1265" s="3"/>
      <c r="F1265" s="3">
        <v>19650</v>
      </c>
      <c r="G1265" s="3" t="s">
        <v>1611</v>
      </c>
      <c r="H1265" s="3">
        <v>0</v>
      </c>
      <c r="I1265" s="3">
        <v>0</v>
      </c>
      <c r="J1265" s="5">
        <v>50000</v>
      </c>
      <c r="K1265" s="3">
        <v>0</v>
      </c>
      <c r="L1265" s="3">
        <v>0</v>
      </c>
      <c r="M1265" s="3">
        <v>0</v>
      </c>
      <c r="N1265" s="5">
        <v>25000</v>
      </c>
      <c r="O1265" s="3">
        <v>0</v>
      </c>
      <c r="P1265" s="5">
        <v>26000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5">
        <v>1100</v>
      </c>
      <c r="Y1265" s="3">
        <v>0</v>
      </c>
      <c r="Z1265" s="5">
        <v>2000</v>
      </c>
      <c r="AA1265" s="5">
        <v>16000</v>
      </c>
      <c r="AB1265" s="6">
        <v>14778600</v>
      </c>
      <c r="AC1265" s="2" t="str">
        <f>VLOOKUP(F1265,'[1]Detailed Transfer Report (12)'!$L:$Y,12,FALSE)</f>
        <v>Arslan Hussain</v>
      </c>
      <c r="AD1265" s="2" t="str">
        <f>VLOOKUP(F1265,'[1]Detailed Transfer Report (12)'!$L:$Y,13,FALSE)</f>
        <v>Sardar Tanveer Ilyas</v>
      </c>
      <c r="AE1265" s="16">
        <f>VLOOKUP(F1265,'[1]Detailed Transfer Report (12)'!$L:$Y,14,FALSE)</f>
        <v>45126</v>
      </c>
    </row>
    <row r="1266" spans="1:31" x14ac:dyDescent="0.25">
      <c r="A1266" s="9">
        <v>669</v>
      </c>
      <c r="B1266" s="4">
        <v>45119</v>
      </c>
      <c r="C1266" s="3" t="s">
        <v>116</v>
      </c>
      <c r="D1266" s="3" t="s">
        <v>1617</v>
      </c>
      <c r="E1266" s="3">
        <v>3145</v>
      </c>
      <c r="F1266" s="3">
        <v>19651</v>
      </c>
      <c r="G1266" s="3" t="s">
        <v>1611</v>
      </c>
      <c r="H1266" s="3">
        <v>0</v>
      </c>
      <c r="I1266" s="3">
        <v>0</v>
      </c>
      <c r="J1266" s="5">
        <v>96000</v>
      </c>
      <c r="K1266" s="3">
        <v>0</v>
      </c>
      <c r="L1266" s="3">
        <v>0</v>
      </c>
      <c r="M1266" s="3">
        <v>0</v>
      </c>
      <c r="N1266" s="5">
        <v>48000</v>
      </c>
      <c r="O1266" s="3">
        <v>0</v>
      </c>
      <c r="P1266" s="5">
        <v>49000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5">
        <v>1100</v>
      </c>
      <c r="Y1266" s="3">
        <v>0</v>
      </c>
      <c r="Z1266" s="5">
        <v>2000</v>
      </c>
      <c r="AA1266" s="5">
        <v>48000</v>
      </c>
      <c r="AB1266" s="6">
        <v>15022700</v>
      </c>
      <c r="AC1266" s="2" t="str">
        <f>VLOOKUP(E1266,'[1]Detailed Transfer Report (12)'!$K:$Y,13,FALSE)</f>
        <v>Muhammad Moveed Malik</v>
      </c>
      <c r="AD1266" s="2" t="str">
        <f>VLOOKUP(E1266,'[1]Detailed Transfer Report (12)'!$K:$Y,14,FALSE)</f>
        <v>Sardar Tanveer Ilyas</v>
      </c>
      <c r="AE1266" s="16">
        <f>VLOOKUP(E1266,'[1]Detailed Transfer Report (12)'!$K:$Y,15,FALSE)</f>
        <v>45126</v>
      </c>
    </row>
    <row r="1267" spans="1:31" x14ac:dyDescent="0.25">
      <c r="A1267" s="9">
        <v>669</v>
      </c>
      <c r="B1267" s="4">
        <v>45119</v>
      </c>
      <c r="C1267" s="3" t="s">
        <v>1618</v>
      </c>
      <c r="D1267" s="3" t="s">
        <v>1617</v>
      </c>
      <c r="E1267" s="3">
        <v>3144</v>
      </c>
      <c r="F1267" s="3">
        <v>20068</v>
      </c>
      <c r="G1267" s="3" t="s">
        <v>1611</v>
      </c>
      <c r="H1267" s="3">
        <v>0</v>
      </c>
      <c r="I1267" s="3">
        <v>0</v>
      </c>
      <c r="J1267" s="5">
        <v>648000</v>
      </c>
      <c r="K1267" s="3">
        <v>0</v>
      </c>
      <c r="L1267" s="3">
        <v>0</v>
      </c>
      <c r="M1267" s="3">
        <v>0</v>
      </c>
      <c r="N1267" s="5">
        <v>324000</v>
      </c>
      <c r="O1267" s="3">
        <v>0</v>
      </c>
      <c r="P1267" s="5">
        <v>325000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5">
        <v>1100</v>
      </c>
      <c r="Y1267" s="3">
        <v>0</v>
      </c>
      <c r="Z1267" s="5">
        <v>2000</v>
      </c>
      <c r="AA1267" s="5">
        <v>324000</v>
      </c>
      <c r="AB1267" s="6">
        <v>16646800</v>
      </c>
      <c r="AC1267" s="2" t="str">
        <f>VLOOKUP(E1267,'[1]Detailed Transfer Report (12)'!$K:$Y,13,FALSE)</f>
        <v>Muhammad Usman Khan</v>
      </c>
      <c r="AD1267" s="2" t="str">
        <f>VLOOKUP(E1267,'[1]Detailed Transfer Report (12)'!$K:$Y,14,FALSE)</f>
        <v>Sardar Tanveer Ilyas</v>
      </c>
      <c r="AE1267" s="16">
        <f>VLOOKUP(E1267,'[1]Detailed Transfer Report (12)'!$K:$Y,15,FALSE)</f>
        <v>45131</v>
      </c>
    </row>
    <row r="1268" spans="1:31" x14ac:dyDescent="0.25">
      <c r="A1268" s="9">
        <v>669</v>
      </c>
      <c r="B1268" s="4">
        <v>45119</v>
      </c>
      <c r="C1268" s="3" t="s">
        <v>1619</v>
      </c>
      <c r="D1268" s="3" t="s">
        <v>1620</v>
      </c>
      <c r="E1268" s="3"/>
      <c r="F1268" s="3">
        <v>20788</v>
      </c>
      <c r="G1268" s="3" t="s">
        <v>1611</v>
      </c>
      <c r="H1268" s="3">
        <v>0</v>
      </c>
      <c r="I1268" s="3">
        <v>0</v>
      </c>
      <c r="J1268" s="5">
        <v>477000</v>
      </c>
      <c r="K1268" s="3">
        <v>0</v>
      </c>
      <c r="L1268" s="3">
        <v>0</v>
      </c>
      <c r="M1268" s="3">
        <v>0</v>
      </c>
      <c r="N1268" s="5">
        <v>159000</v>
      </c>
      <c r="O1268" s="3">
        <v>0</v>
      </c>
      <c r="P1268" s="5">
        <v>160000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5">
        <v>1100</v>
      </c>
      <c r="Y1268" s="3">
        <v>0</v>
      </c>
      <c r="Z1268" s="5">
        <v>2000</v>
      </c>
      <c r="AA1268" s="5">
        <v>159000</v>
      </c>
      <c r="AB1268" s="6">
        <v>17604900</v>
      </c>
      <c r="AC1268" s="2" t="str">
        <f>VLOOKUP(F1268,'[1]Detailed Transfer Report (12)'!$L:$Y,12,FALSE)</f>
        <v>Mayser Pine View Developers</v>
      </c>
      <c r="AD1268" s="2" t="str">
        <f>VLOOKUP(F1268,'[1]Detailed Transfer Report (12)'!$L:$Y,13,FALSE)</f>
        <v>Sardar Tanveer Ilyas</v>
      </c>
      <c r="AE1268" s="16"/>
    </row>
    <row r="1269" spans="1:31" x14ac:dyDescent="0.25">
      <c r="A1269" s="9">
        <v>669</v>
      </c>
      <c r="B1269" s="4">
        <v>45070</v>
      </c>
      <c r="C1269" s="3" t="s">
        <v>1621</v>
      </c>
      <c r="D1269" s="3" t="s">
        <v>1615</v>
      </c>
      <c r="E1269" s="3">
        <v>3167</v>
      </c>
      <c r="F1269" s="3">
        <v>14462</v>
      </c>
      <c r="G1269" s="3" t="s">
        <v>1611</v>
      </c>
      <c r="H1269" s="3">
        <v>0</v>
      </c>
      <c r="I1269" s="3">
        <v>0</v>
      </c>
      <c r="J1269" s="5">
        <v>2640000</v>
      </c>
      <c r="K1269" s="3">
        <v>0</v>
      </c>
      <c r="L1269" s="3">
        <v>0</v>
      </c>
      <c r="M1269" s="3">
        <v>0</v>
      </c>
      <c r="N1269" s="5">
        <v>1320000</v>
      </c>
      <c r="O1269" s="3">
        <v>0</v>
      </c>
      <c r="P1269" s="5">
        <v>1321000</v>
      </c>
      <c r="Q1269" s="3">
        <v>0</v>
      </c>
      <c r="R1269" s="5">
        <v>2640000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5">
        <v>1100</v>
      </c>
      <c r="Y1269" s="3">
        <v>0</v>
      </c>
      <c r="Z1269" s="5">
        <v>2000</v>
      </c>
      <c r="AA1269" s="5">
        <v>1320000</v>
      </c>
      <c r="AB1269" s="6">
        <v>26849000</v>
      </c>
      <c r="AC1269" s="2" t="str">
        <f>VLOOKUP(E1269,'[1]Detailed Transfer Report (12)'!$K:$Y,13,FALSE)</f>
        <v>Ghulam Nabi</v>
      </c>
      <c r="AD1269" s="2" t="str">
        <f>VLOOKUP(E1269,'[1]Detailed Transfer Report (12)'!$K:$Y,14,FALSE)</f>
        <v>Sardar Tanveer Ilyas</v>
      </c>
      <c r="AE1269" s="16">
        <f>VLOOKUP(E1269,'[1]Detailed Transfer Report (12)'!$K:$Y,15,FALSE)</f>
        <v>45073</v>
      </c>
    </row>
    <row r="1270" spans="1:31" x14ac:dyDescent="0.25">
      <c r="A1270" s="9">
        <v>669</v>
      </c>
      <c r="B1270" s="4">
        <v>45119</v>
      </c>
      <c r="C1270" s="3" t="s">
        <v>1622</v>
      </c>
      <c r="D1270" s="3" t="s">
        <v>1617</v>
      </c>
      <c r="E1270" s="3"/>
      <c r="F1270" s="3">
        <v>20190</v>
      </c>
      <c r="G1270" s="3" t="s">
        <v>1611</v>
      </c>
      <c r="H1270" s="3">
        <v>0</v>
      </c>
      <c r="I1270" s="3">
        <v>0</v>
      </c>
      <c r="J1270" s="5">
        <v>450000</v>
      </c>
      <c r="K1270" s="3">
        <v>0</v>
      </c>
      <c r="L1270" s="3">
        <v>0</v>
      </c>
      <c r="M1270" s="3">
        <v>0</v>
      </c>
      <c r="N1270" s="5">
        <v>225000</v>
      </c>
      <c r="O1270" s="3">
        <v>0</v>
      </c>
      <c r="P1270" s="5">
        <v>226000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5">
        <v>1100</v>
      </c>
      <c r="Y1270" s="3">
        <v>0</v>
      </c>
      <c r="Z1270" s="5">
        <v>2000</v>
      </c>
      <c r="AA1270" s="5">
        <v>225000</v>
      </c>
      <c r="AB1270" s="6">
        <v>27978100</v>
      </c>
      <c r="AC1270" s="2" t="str">
        <f>VLOOKUP(F1270,'[1]Detailed Transfer Report (12)'!$L:$Y,12,FALSE)</f>
        <v>Zafar Mushtaq</v>
      </c>
      <c r="AD1270" s="2" t="str">
        <f>VLOOKUP(F1270,'[1]Detailed Transfer Report (12)'!$L:$Y,13,FALSE)</f>
        <v>Sardar Tanveer Ilyas</v>
      </c>
      <c r="AE1270" s="16"/>
    </row>
    <row r="1271" spans="1:31" x14ac:dyDescent="0.25">
      <c r="A1271" s="9">
        <v>669</v>
      </c>
      <c r="B1271" s="4">
        <v>45069</v>
      </c>
      <c r="C1271" s="3" t="s">
        <v>1623</v>
      </c>
      <c r="D1271" s="3" t="s">
        <v>822</v>
      </c>
      <c r="E1271" s="3"/>
      <c r="F1271" s="3">
        <v>10924603</v>
      </c>
      <c r="G1271" s="3" t="s">
        <v>1611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6">
        <v>27978100</v>
      </c>
      <c r="AC1271" s="2" t="str">
        <f>VLOOKUP(F1271,'[1]Detailed Transfer Report (12)'!$L:$Y,12,FALSE)</f>
        <v>Ghuzala Zain</v>
      </c>
      <c r="AD1271" s="2" t="str">
        <f>VLOOKUP(F1271,'[1]Detailed Transfer Report (12)'!$L:$Y,13,FALSE)</f>
        <v>Sardar Tanveer Ilyas</v>
      </c>
      <c r="AE1271" s="16"/>
    </row>
    <row r="1272" spans="1:31" x14ac:dyDescent="0.25">
      <c r="A1272" s="9">
        <v>669</v>
      </c>
      <c r="B1272" s="4">
        <v>45070</v>
      </c>
      <c r="C1272" s="3" t="s">
        <v>1624</v>
      </c>
      <c r="D1272" s="3" t="s">
        <v>822</v>
      </c>
      <c r="E1272" s="3"/>
      <c r="F1272" s="3">
        <v>24512</v>
      </c>
      <c r="G1272" s="3" t="s">
        <v>1611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6">
        <v>27978100</v>
      </c>
      <c r="AC1272" s="2" t="str">
        <f>VLOOKUP(F1272,'[1]Detailed Transfer Report (12)'!$L:$Y,12,FALSE)</f>
        <v>Adnan Hussain</v>
      </c>
      <c r="AD1272" s="2" t="str">
        <f>VLOOKUP(F1272,'[1]Detailed Transfer Report (12)'!$L:$Y,13,FALSE)</f>
        <v>Sardar Tanveer Ilyas</v>
      </c>
      <c r="AE1272" s="16"/>
    </row>
    <row r="1273" spans="1:31" x14ac:dyDescent="0.25">
      <c r="A1273" s="9">
        <v>669</v>
      </c>
      <c r="B1273" s="4">
        <v>45069</v>
      </c>
      <c r="C1273" s="3" t="s">
        <v>1625</v>
      </c>
      <c r="D1273" s="3" t="s">
        <v>822</v>
      </c>
      <c r="E1273" s="3"/>
      <c r="F1273" s="3">
        <v>10605981</v>
      </c>
      <c r="G1273" s="3" t="s">
        <v>1611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6">
        <v>27978100</v>
      </c>
      <c r="AC1273" s="2" t="str">
        <f>VLOOKUP(F1273,'[1]Detailed Transfer Report (12)'!$L:$Y,12,FALSE)</f>
        <v>Rasheeda Bibi</v>
      </c>
      <c r="AD1273" s="2" t="str">
        <f>VLOOKUP(F1273,'[1]Detailed Transfer Report (12)'!$L:$Y,13,FALSE)</f>
        <v>Sardar Tanveer Ilyas</v>
      </c>
      <c r="AE1273" s="16"/>
    </row>
    <row r="1274" spans="1:31" x14ac:dyDescent="0.25">
      <c r="A1274" s="9">
        <v>669</v>
      </c>
      <c r="B1274" s="4">
        <v>45069</v>
      </c>
      <c r="C1274" s="3" t="s">
        <v>137</v>
      </c>
      <c r="D1274" s="3" t="s">
        <v>822</v>
      </c>
      <c r="E1274" s="3"/>
      <c r="F1274" s="3">
        <v>10926721</v>
      </c>
      <c r="G1274" s="3" t="s">
        <v>1611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6">
        <v>27978100</v>
      </c>
      <c r="AC1274" s="2" t="str">
        <f>VLOOKUP(F1274,'[1]Detailed Transfer Report (12)'!$L:$Y,12,FALSE)</f>
        <v>Muhammad Zain</v>
      </c>
      <c r="AD1274" s="2" t="str">
        <f>VLOOKUP(F1274,'[1]Detailed Transfer Report (12)'!$L:$Y,13,FALSE)</f>
        <v>Sardar Tanveer Ilyas</v>
      </c>
      <c r="AE1274" s="16"/>
    </row>
    <row r="1275" spans="1:31" x14ac:dyDescent="0.25">
      <c r="A1275" s="9">
        <v>669</v>
      </c>
      <c r="B1275" s="4">
        <v>45069</v>
      </c>
      <c r="C1275" s="3" t="s">
        <v>1626</v>
      </c>
      <c r="D1275" s="3" t="s">
        <v>822</v>
      </c>
      <c r="E1275" s="3"/>
      <c r="F1275" s="3">
        <v>10924688</v>
      </c>
      <c r="G1275" s="3" t="s">
        <v>1611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6">
        <v>27978100</v>
      </c>
      <c r="AC1275" s="2" t="str">
        <f>VLOOKUP(F1275,'[1]Detailed Transfer Report (12)'!$L:$Y,12,FALSE)</f>
        <v>Ghuzala Zain</v>
      </c>
      <c r="AD1275" s="2" t="str">
        <f>VLOOKUP(F1275,'[1]Detailed Transfer Report (12)'!$L:$Y,13,FALSE)</f>
        <v>Sardar Tanveer Ilyas</v>
      </c>
      <c r="AE1275" s="16"/>
    </row>
    <row r="1276" spans="1:31" x14ac:dyDescent="0.25">
      <c r="A1276" s="9">
        <v>669</v>
      </c>
      <c r="B1276" s="4">
        <v>45069</v>
      </c>
      <c r="C1276" s="3" t="s">
        <v>139</v>
      </c>
      <c r="D1276" s="3" t="s">
        <v>822</v>
      </c>
      <c r="E1276" s="3"/>
      <c r="F1276" s="3">
        <v>10945453</v>
      </c>
      <c r="G1276" s="3" t="s">
        <v>1611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6">
        <v>27978100</v>
      </c>
      <c r="AC1276" s="2" t="str">
        <f>VLOOKUP(F1276,'[1]Detailed Transfer Report (12)'!$L:$Y,12,FALSE)</f>
        <v>Amjad Hussain</v>
      </c>
      <c r="AD1276" s="2" t="str">
        <f>VLOOKUP(F1276,'[1]Detailed Transfer Report (12)'!$L:$Y,13,FALSE)</f>
        <v>Sardar Tanveer Ilyas</v>
      </c>
      <c r="AE1276" s="16"/>
    </row>
    <row r="1277" spans="1:31" x14ac:dyDescent="0.25">
      <c r="A1277" s="9">
        <v>669</v>
      </c>
      <c r="B1277" s="4">
        <v>45069</v>
      </c>
      <c r="C1277" s="3" t="s">
        <v>588</v>
      </c>
      <c r="D1277" s="3" t="s">
        <v>822</v>
      </c>
      <c r="E1277" s="3"/>
      <c r="F1277" s="3">
        <v>10948188</v>
      </c>
      <c r="G1277" s="3" t="s">
        <v>1611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6">
        <v>27978100</v>
      </c>
      <c r="AC1277" s="2" t="str">
        <f>VLOOKUP(F1277,'[1]Detailed Transfer Report (12)'!$L:$Y,12,FALSE)</f>
        <v>Israt Jan</v>
      </c>
      <c r="AD1277" s="2" t="str">
        <f>VLOOKUP(F1277,'[1]Detailed Transfer Report (12)'!$L:$Y,13,FALSE)</f>
        <v>Sardar Tanveer Ilyas</v>
      </c>
      <c r="AE1277" s="16"/>
    </row>
    <row r="1278" spans="1:31" x14ac:dyDescent="0.25">
      <c r="A1278" s="9">
        <v>669</v>
      </c>
      <c r="B1278" s="4">
        <v>45069</v>
      </c>
      <c r="C1278" s="3" t="s">
        <v>323</v>
      </c>
      <c r="D1278" s="3" t="s">
        <v>822</v>
      </c>
      <c r="E1278" s="3">
        <v>3013</v>
      </c>
      <c r="F1278" s="3">
        <v>7919</v>
      </c>
      <c r="G1278" s="3" t="s">
        <v>1611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6">
        <v>27978100</v>
      </c>
      <c r="AC1278" s="2" t="str">
        <f>VLOOKUP(E1278,'[1]Detailed Transfer Report (12)'!$K:$Y,13,FALSE)</f>
        <v>Shahzadi</v>
      </c>
      <c r="AD1278" s="2" t="str">
        <f>VLOOKUP(E1278,'[1]Detailed Transfer Report (12)'!$K:$Y,14,FALSE)</f>
        <v>Sardar Tanveer Ilyas</v>
      </c>
      <c r="AE1278" s="16">
        <f>VLOOKUP(E1278,'[1]Detailed Transfer Report (12)'!$K:$Y,15,FALSE)</f>
        <v>45226</v>
      </c>
    </row>
    <row r="1279" spans="1:31" x14ac:dyDescent="0.25">
      <c r="A1279" s="9">
        <v>669</v>
      </c>
      <c r="B1279" s="4">
        <v>45069</v>
      </c>
      <c r="C1279" s="3" t="s">
        <v>44</v>
      </c>
      <c r="D1279" s="3" t="s">
        <v>822</v>
      </c>
      <c r="E1279" s="3">
        <v>2963</v>
      </c>
      <c r="F1279" s="3">
        <v>200</v>
      </c>
      <c r="G1279" s="3" t="s">
        <v>1611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6">
        <v>27978100</v>
      </c>
      <c r="AC1279" s="2" t="str">
        <f>VLOOKUP(E1279,'[1]Detailed Transfer Report (12)'!$K:$Y,13,FALSE)</f>
        <v>Ali</v>
      </c>
      <c r="AD1279" s="2" t="str">
        <f>VLOOKUP(E1279,'[1]Detailed Transfer Report (12)'!$K:$Y,14,FALSE)</f>
        <v>Sardar Tanveer Ilyas</v>
      </c>
      <c r="AE1279" s="16">
        <f>VLOOKUP(E1279,'[1]Detailed Transfer Report (12)'!$K:$Y,15,FALSE)</f>
        <v>45293</v>
      </c>
    </row>
    <row r="1280" spans="1:31" x14ac:dyDescent="0.25">
      <c r="A1280" s="10">
        <v>669</v>
      </c>
      <c r="B1280" s="4">
        <v>45069</v>
      </c>
      <c r="C1280" s="3" t="s">
        <v>1627</v>
      </c>
      <c r="D1280" s="3" t="s">
        <v>822</v>
      </c>
      <c r="E1280" s="3"/>
      <c r="F1280" s="3">
        <v>11016782</v>
      </c>
      <c r="G1280" s="3" t="s">
        <v>1611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6">
        <v>27978100</v>
      </c>
      <c r="AC1280" s="2" t="str">
        <f>VLOOKUP(F1280,'[1]Detailed Transfer Report (12)'!$L:$Y,12,FALSE)</f>
        <v>Gulfaraz Bibi</v>
      </c>
      <c r="AD1280" s="2" t="str">
        <f>VLOOKUP(F1280,'[1]Detailed Transfer Report (12)'!$L:$Y,13,FALSE)</f>
        <v>Sardar Tanveer Ilyas</v>
      </c>
      <c r="AE1280" s="16"/>
    </row>
    <row r="1281" spans="1:31" x14ac:dyDescent="0.25">
      <c r="A1281" s="7">
        <v>670</v>
      </c>
      <c r="B1281" s="4">
        <v>45094</v>
      </c>
      <c r="C1281" s="3" t="s">
        <v>153</v>
      </c>
      <c r="D1281" s="3" t="s">
        <v>1607</v>
      </c>
      <c r="E1281" s="3">
        <v>5590</v>
      </c>
      <c r="F1281" s="3">
        <v>15964</v>
      </c>
      <c r="G1281" s="3" t="s">
        <v>30</v>
      </c>
      <c r="H1281" s="3">
        <v>0</v>
      </c>
      <c r="I1281" s="3">
        <v>0</v>
      </c>
      <c r="J1281" s="5">
        <v>7000</v>
      </c>
      <c r="K1281" s="3">
        <v>0</v>
      </c>
      <c r="L1281" s="3">
        <v>0</v>
      </c>
      <c r="M1281" s="3">
        <v>0</v>
      </c>
      <c r="N1281" s="5">
        <v>3500</v>
      </c>
      <c r="O1281" s="3">
        <v>0</v>
      </c>
      <c r="P1281" s="5">
        <v>4000</v>
      </c>
      <c r="Q1281" s="3">
        <v>0</v>
      </c>
      <c r="R1281" s="5">
        <v>14000</v>
      </c>
      <c r="S1281" s="3">
        <v>0</v>
      </c>
      <c r="T1281" s="5">
        <v>31100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5">
        <v>2000</v>
      </c>
      <c r="AA1281" s="5">
        <v>16000</v>
      </c>
      <c r="AB1281" s="6">
        <v>77600</v>
      </c>
      <c r="AC1281" s="2" t="str">
        <f>VLOOKUP(E1281,'[1]Detailed Transfer Report (12)'!$K:$Y,13,FALSE)</f>
        <v>Umer Khan</v>
      </c>
      <c r="AD1281" s="2" t="str">
        <f>VLOOKUP(E1281,'[1]Detailed Transfer Report (12)'!$K:$Y,14,FALSE)</f>
        <v>Sardar Tanveer Ilyas</v>
      </c>
      <c r="AE1281" s="16">
        <f>VLOOKUP(E1281,'[1]Detailed Transfer Report (12)'!$K:$Y,15,FALSE)</f>
        <v>45084</v>
      </c>
    </row>
    <row r="1282" spans="1:31" x14ac:dyDescent="0.25">
      <c r="A1282" s="10">
        <v>670</v>
      </c>
      <c r="B1282" s="4">
        <v>45085</v>
      </c>
      <c r="C1282" s="3" t="s">
        <v>299</v>
      </c>
      <c r="D1282" s="3" t="s">
        <v>1575</v>
      </c>
      <c r="E1282" s="3"/>
      <c r="F1282" s="3">
        <v>11761240</v>
      </c>
      <c r="G1282" s="3" t="s">
        <v>30</v>
      </c>
      <c r="H1282" s="3">
        <v>0</v>
      </c>
      <c r="I1282" s="3">
        <v>0</v>
      </c>
      <c r="J1282" s="5">
        <v>10200</v>
      </c>
      <c r="K1282" s="3">
        <v>0</v>
      </c>
      <c r="L1282" s="3">
        <v>0</v>
      </c>
      <c r="M1282" s="3">
        <v>0</v>
      </c>
      <c r="N1282" s="5">
        <v>1700</v>
      </c>
      <c r="O1282" s="3">
        <v>0</v>
      </c>
      <c r="P1282" s="5">
        <v>2200</v>
      </c>
      <c r="Q1282" s="3">
        <v>0</v>
      </c>
      <c r="R1282" s="5">
        <v>17000</v>
      </c>
      <c r="S1282" s="3">
        <v>0</v>
      </c>
      <c r="T1282" s="5">
        <v>8000</v>
      </c>
      <c r="U1282" s="3">
        <v>0</v>
      </c>
      <c r="V1282" s="3">
        <v>900</v>
      </c>
      <c r="W1282" s="3">
        <v>0</v>
      </c>
      <c r="X1282" s="5">
        <v>1700</v>
      </c>
      <c r="Y1282" s="3">
        <v>0</v>
      </c>
      <c r="Z1282" s="5">
        <v>2000</v>
      </c>
      <c r="AA1282" s="5">
        <v>16000</v>
      </c>
      <c r="AB1282" s="6">
        <v>137300</v>
      </c>
      <c r="AC1282" s="2" t="str">
        <f>VLOOKUP(F1282,'[1]Detailed Transfer Report (12)'!$L:$Y,12,FALSE)</f>
        <v>Azam Elahi</v>
      </c>
      <c r="AD1282" s="2" t="str">
        <f>VLOOKUP(F1282,'[1]Detailed Transfer Report (12)'!$L:$Y,13,FALSE)</f>
        <v>Sardar Tanveer Ilyas</v>
      </c>
      <c r="AE1282" s="16"/>
    </row>
    <row r="1283" spans="1:31" x14ac:dyDescent="0.25">
      <c r="A1283" s="7">
        <v>671</v>
      </c>
      <c r="B1283" s="4">
        <v>45094</v>
      </c>
      <c r="C1283" s="3" t="s">
        <v>153</v>
      </c>
      <c r="D1283" s="3" t="s">
        <v>1607</v>
      </c>
      <c r="E1283" s="3">
        <v>5790</v>
      </c>
      <c r="F1283" s="3">
        <v>15696</v>
      </c>
      <c r="G1283" s="3" t="s">
        <v>756</v>
      </c>
      <c r="H1283" s="3">
        <v>0</v>
      </c>
      <c r="I1283" s="3">
        <v>0</v>
      </c>
      <c r="J1283" s="5">
        <v>10000</v>
      </c>
      <c r="K1283" s="3">
        <v>0</v>
      </c>
      <c r="L1283" s="3">
        <v>0</v>
      </c>
      <c r="M1283" s="3">
        <v>0</v>
      </c>
      <c r="N1283" s="5">
        <v>5000</v>
      </c>
      <c r="O1283" s="3">
        <v>0</v>
      </c>
      <c r="P1283" s="5">
        <v>5500</v>
      </c>
      <c r="Q1283" s="3">
        <v>0</v>
      </c>
      <c r="R1283" s="5">
        <v>20000</v>
      </c>
      <c r="S1283" s="3">
        <v>0</v>
      </c>
      <c r="T1283" s="5">
        <v>1100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5">
        <v>2000</v>
      </c>
      <c r="AA1283" s="5">
        <v>16000</v>
      </c>
      <c r="AB1283" s="6">
        <v>59600</v>
      </c>
      <c r="AC1283" s="2" t="str">
        <f>VLOOKUP(E1283,'[1]Detailed Transfer Report (12)'!$K:$Y,13,FALSE)</f>
        <v>Meer Butt</v>
      </c>
      <c r="AD1283" s="2" t="str">
        <f>VLOOKUP(E1283,'[1]Detailed Transfer Report (12)'!$K:$Y,14,FALSE)</f>
        <v>Sardar Tanveer Ilyas</v>
      </c>
      <c r="AE1283" s="16">
        <f>VLOOKUP(E1283,'[1]Detailed Transfer Report (12)'!$K:$Y,15,FALSE)</f>
        <v>45083</v>
      </c>
    </row>
    <row r="1284" spans="1:31" x14ac:dyDescent="0.25">
      <c r="A1284" s="9">
        <v>671</v>
      </c>
      <c r="B1284" s="4">
        <v>45078</v>
      </c>
      <c r="C1284" s="3" t="s">
        <v>377</v>
      </c>
      <c r="D1284" s="3" t="s">
        <v>1628</v>
      </c>
      <c r="E1284" s="3">
        <v>6038</v>
      </c>
      <c r="F1284" s="3">
        <v>27532</v>
      </c>
      <c r="G1284" s="3" t="s">
        <v>756</v>
      </c>
      <c r="H1284" s="3">
        <v>0</v>
      </c>
      <c r="I1284" s="3">
        <v>0</v>
      </c>
      <c r="J1284" s="5">
        <v>21660</v>
      </c>
      <c r="K1284" s="3">
        <v>0</v>
      </c>
      <c r="L1284" s="3">
        <v>0</v>
      </c>
      <c r="M1284" s="3">
        <v>0</v>
      </c>
      <c r="N1284" s="5">
        <v>7220</v>
      </c>
      <c r="O1284" s="3">
        <v>0</v>
      </c>
      <c r="P1284" s="5">
        <v>8220</v>
      </c>
      <c r="Q1284" s="3">
        <v>0</v>
      </c>
      <c r="R1284" s="5">
        <v>43320</v>
      </c>
      <c r="S1284" s="3">
        <v>0</v>
      </c>
      <c r="T1284" s="5">
        <v>1300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5">
        <v>2000</v>
      </c>
      <c r="AA1284" s="5">
        <v>16000</v>
      </c>
      <c r="AB1284" s="6">
        <v>159320</v>
      </c>
      <c r="AC1284" s="2" t="str">
        <f>VLOOKUP(E1284,'[1]Detailed Transfer Report (12)'!$K:$Y,13,FALSE)</f>
        <v>Shujat Khawar</v>
      </c>
      <c r="AD1284" s="2" t="str">
        <f>VLOOKUP(E1284,'[1]Detailed Transfer Report (12)'!$K:$Y,14,FALSE)</f>
        <v>Sardar Tanveer Ilyas</v>
      </c>
      <c r="AE1284" s="16">
        <f>VLOOKUP(E1284,'[1]Detailed Transfer Report (12)'!$K:$Y,15,FALSE)</f>
        <v>45245</v>
      </c>
    </row>
    <row r="1285" spans="1:31" x14ac:dyDescent="0.25">
      <c r="A1285" s="9">
        <v>671</v>
      </c>
      <c r="B1285" s="4">
        <v>45094</v>
      </c>
      <c r="C1285" s="3" t="s">
        <v>153</v>
      </c>
      <c r="D1285" s="3" t="s">
        <v>1595</v>
      </c>
      <c r="E1285" s="3">
        <v>6042</v>
      </c>
      <c r="F1285" s="3">
        <v>15938</v>
      </c>
      <c r="G1285" s="3" t="s">
        <v>756</v>
      </c>
      <c r="H1285" s="3">
        <v>0</v>
      </c>
      <c r="I1285" s="3">
        <v>0</v>
      </c>
      <c r="J1285" s="5">
        <v>10000</v>
      </c>
      <c r="K1285" s="3">
        <v>0</v>
      </c>
      <c r="L1285" s="3">
        <v>0</v>
      </c>
      <c r="M1285" s="3">
        <v>0</v>
      </c>
      <c r="N1285" s="5">
        <v>5000</v>
      </c>
      <c r="O1285" s="3">
        <v>0</v>
      </c>
      <c r="P1285" s="5">
        <v>5500</v>
      </c>
      <c r="Q1285" s="3">
        <v>0</v>
      </c>
      <c r="R1285" s="5">
        <v>20000</v>
      </c>
      <c r="S1285" s="3">
        <v>0</v>
      </c>
      <c r="T1285" s="5">
        <v>1100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5">
        <v>2000</v>
      </c>
      <c r="AA1285" s="5">
        <v>16000</v>
      </c>
      <c r="AB1285" s="6">
        <v>218920</v>
      </c>
      <c r="AC1285" s="2" t="str">
        <f>VLOOKUP(E1285,'[1]Detailed Transfer Report (12)'!$K:$Y,13,FALSE)</f>
        <v>Saira Bano</v>
      </c>
      <c r="AD1285" s="2" t="str">
        <f>VLOOKUP(E1285,'[1]Detailed Transfer Report (12)'!$K:$Y,14,FALSE)</f>
        <v>Sardar Tanveer Ilyas</v>
      </c>
      <c r="AE1285" s="16">
        <f>VLOOKUP(E1285,'[1]Detailed Transfer Report (12)'!$K:$Y,15,FALSE)</f>
        <v>45084</v>
      </c>
    </row>
    <row r="1286" spans="1:31" x14ac:dyDescent="0.25">
      <c r="A1286" s="9">
        <v>671</v>
      </c>
      <c r="B1286" s="4">
        <v>45078</v>
      </c>
      <c r="C1286" s="3" t="s">
        <v>504</v>
      </c>
      <c r="D1286" s="3" t="s">
        <v>1629</v>
      </c>
      <c r="E1286" s="3">
        <v>6052</v>
      </c>
      <c r="F1286" s="3">
        <v>20823</v>
      </c>
      <c r="G1286" s="3" t="s">
        <v>756</v>
      </c>
      <c r="H1286" s="3">
        <v>0</v>
      </c>
      <c r="I1286" s="3">
        <v>0</v>
      </c>
      <c r="J1286" s="5">
        <v>19000</v>
      </c>
      <c r="K1286" s="3">
        <v>0</v>
      </c>
      <c r="L1286" s="3">
        <v>0</v>
      </c>
      <c r="M1286" s="3">
        <v>0</v>
      </c>
      <c r="N1286" s="5">
        <v>9500</v>
      </c>
      <c r="O1286" s="3">
        <v>0</v>
      </c>
      <c r="P1286" s="5">
        <v>10500</v>
      </c>
      <c r="Q1286" s="3">
        <v>0</v>
      </c>
      <c r="R1286" s="5">
        <v>38000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5">
        <v>1100</v>
      </c>
      <c r="Y1286" s="3">
        <v>0</v>
      </c>
      <c r="Z1286" s="5">
        <v>2000</v>
      </c>
      <c r="AA1286" s="5">
        <v>16000</v>
      </c>
      <c r="AB1286" s="6">
        <v>315020</v>
      </c>
      <c r="AC1286" s="2" t="str">
        <f>VLOOKUP(E1286,'[1]Detailed Transfer Report (12)'!$K:$Y,13,FALSE)</f>
        <v>Bakht Munir</v>
      </c>
      <c r="AD1286" s="2" t="str">
        <f>VLOOKUP(E1286,'[1]Detailed Transfer Report (12)'!$K:$Y,14,FALSE)</f>
        <v>Sardar Tanveer Ilyas</v>
      </c>
      <c r="AE1286" s="16">
        <f>VLOOKUP(E1286,'[1]Detailed Transfer Report (12)'!$K:$Y,15,FALSE)</f>
        <v>45142</v>
      </c>
    </row>
    <row r="1287" spans="1:31" x14ac:dyDescent="0.25">
      <c r="A1287" s="10">
        <v>671</v>
      </c>
      <c r="B1287" s="4">
        <v>45097</v>
      </c>
      <c r="C1287" s="3" t="s">
        <v>153</v>
      </c>
      <c r="D1287" s="3" t="s">
        <v>1579</v>
      </c>
      <c r="E1287" s="3">
        <v>5609</v>
      </c>
      <c r="F1287" s="3">
        <v>18986</v>
      </c>
      <c r="G1287" s="3" t="s">
        <v>756</v>
      </c>
      <c r="H1287" s="5">
        <v>2250</v>
      </c>
      <c r="I1287" s="3">
        <v>0</v>
      </c>
      <c r="J1287" s="5">
        <v>9000</v>
      </c>
      <c r="K1287" s="3">
        <v>0</v>
      </c>
      <c r="L1287" s="3">
        <v>0</v>
      </c>
      <c r="M1287" s="3">
        <v>0</v>
      </c>
      <c r="N1287" s="5">
        <v>4500</v>
      </c>
      <c r="O1287" s="3">
        <v>0</v>
      </c>
      <c r="P1287" s="5">
        <v>5000</v>
      </c>
      <c r="Q1287" s="3">
        <v>0</v>
      </c>
      <c r="R1287" s="5">
        <v>18000</v>
      </c>
      <c r="S1287" s="3">
        <v>0</v>
      </c>
      <c r="T1287" s="5">
        <v>8000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5">
        <v>2100</v>
      </c>
      <c r="AA1287" s="5">
        <v>16000</v>
      </c>
      <c r="AB1287" s="6">
        <v>379870</v>
      </c>
      <c r="AC1287" s="2" t="str">
        <f>VLOOKUP(E1287,'[1]Detailed Transfer Report (12)'!$K:$Y,13,FALSE)</f>
        <v>Rab Nawaz</v>
      </c>
      <c r="AD1287" s="2" t="str">
        <f>VLOOKUP(E1287,'[1]Detailed Transfer Report (12)'!$K:$Y,14,FALSE)</f>
        <v>Sardar Tanveer Ilyas</v>
      </c>
      <c r="AE1287" s="16">
        <f>VLOOKUP(E1287,'[1]Detailed Transfer Report (12)'!$K:$Y,15,FALSE)</f>
        <v>45104</v>
      </c>
    </row>
    <row r="1288" spans="1:31" x14ac:dyDescent="0.25">
      <c r="A1288" s="7">
        <v>672</v>
      </c>
      <c r="B1288" s="4">
        <v>45083</v>
      </c>
      <c r="C1288" s="3" t="s">
        <v>1129</v>
      </c>
      <c r="D1288" s="3" t="s">
        <v>1479</v>
      </c>
      <c r="E1288" s="3"/>
      <c r="F1288" s="3">
        <v>16896</v>
      </c>
      <c r="G1288" s="3" t="s">
        <v>30</v>
      </c>
      <c r="H1288" s="3">
        <v>0</v>
      </c>
      <c r="I1288" s="3">
        <v>0</v>
      </c>
      <c r="J1288" s="5">
        <v>112000</v>
      </c>
      <c r="K1288" s="3">
        <v>0</v>
      </c>
      <c r="L1288" s="3">
        <v>0</v>
      </c>
      <c r="M1288" s="3">
        <v>0</v>
      </c>
      <c r="N1288" s="5">
        <v>56000</v>
      </c>
      <c r="O1288" s="3">
        <v>0</v>
      </c>
      <c r="P1288" s="5">
        <v>57000</v>
      </c>
      <c r="Q1288" s="3">
        <v>0</v>
      </c>
      <c r="R1288" s="5">
        <v>224000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5">
        <v>1100</v>
      </c>
      <c r="Y1288" s="3">
        <v>0</v>
      </c>
      <c r="Z1288" s="5">
        <v>2000</v>
      </c>
      <c r="AA1288" s="5">
        <v>56000</v>
      </c>
      <c r="AB1288" s="6">
        <v>508100</v>
      </c>
      <c r="AC1288" s="2" t="str">
        <f>VLOOKUP(F1288,'[1]Detailed Transfer Report (12)'!$L:$Y,12,FALSE)</f>
        <v>Muhabbat Khan</v>
      </c>
      <c r="AD1288" s="2" t="str">
        <f>VLOOKUP(F1288,'[1]Detailed Transfer Report (12)'!$L:$Y,13,FALSE)</f>
        <v>Sardar Tanveer Ilyas</v>
      </c>
      <c r="AE1288" s="16">
        <f>VLOOKUP(F1288,'[1]Detailed Transfer Report (12)'!$L:$Y,14,FALSE)</f>
        <v>45091</v>
      </c>
    </row>
    <row r="1289" spans="1:31" x14ac:dyDescent="0.25">
      <c r="A1289" s="9">
        <v>672</v>
      </c>
      <c r="B1289" s="4">
        <v>45091</v>
      </c>
      <c r="C1289" s="3" t="s">
        <v>1630</v>
      </c>
      <c r="D1289" s="3" t="s">
        <v>1631</v>
      </c>
      <c r="E1289" s="3">
        <v>5593</v>
      </c>
      <c r="F1289" s="3">
        <v>17151</v>
      </c>
      <c r="G1289" s="3" t="s">
        <v>30</v>
      </c>
      <c r="H1289" s="3">
        <v>0</v>
      </c>
      <c r="I1289" s="3">
        <v>0</v>
      </c>
      <c r="J1289" s="5">
        <v>6200</v>
      </c>
      <c r="K1289" s="3">
        <v>0</v>
      </c>
      <c r="L1289" s="3">
        <v>0</v>
      </c>
      <c r="M1289" s="3">
        <v>0</v>
      </c>
      <c r="N1289" s="5">
        <v>3100</v>
      </c>
      <c r="O1289" s="3">
        <v>0</v>
      </c>
      <c r="P1289" s="5">
        <v>3600</v>
      </c>
      <c r="Q1289" s="3">
        <v>0</v>
      </c>
      <c r="R1289" s="5">
        <v>12400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5">
        <v>1100</v>
      </c>
      <c r="Y1289" s="3">
        <v>0</v>
      </c>
      <c r="Z1289" s="5">
        <v>2000</v>
      </c>
      <c r="AA1289" s="5">
        <v>16000</v>
      </c>
      <c r="AB1289" s="6">
        <v>552500</v>
      </c>
      <c r="AC1289" s="2" t="str">
        <f>VLOOKUP(E1289,'[1]Detailed Transfer Report (12)'!$K:$Y,13,FALSE)</f>
        <v>Akhash Hussain</v>
      </c>
      <c r="AD1289" s="2" t="str">
        <f>VLOOKUP(E1289,'[1]Detailed Transfer Report (12)'!$K:$Y,14,FALSE)</f>
        <v>Sardar Tanveer Ilyas</v>
      </c>
      <c r="AE1289" s="16">
        <f>VLOOKUP(E1289,'[1]Detailed Transfer Report (12)'!$K:$Y,15,FALSE)</f>
        <v>45093</v>
      </c>
    </row>
    <row r="1290" spans="1:31" x14ac:dyDescent="0.25">
      <c r="A1290" s="9">
        <v>672</v>
      </c>
      <c r="B1290" s="4">
        <v>45278</v>
      </c>
      <c r="C1290" s="3" t="s">
        <v>1632</v>
      </c>
      <c r="D1290" s="3" t="s">
        <v>1633</v>
      </c>
      <c r="E1290" s="3">
        <v>5601</v>
      </c>
      <c r="F1290" s="3">
        <v>17153</v>
      </c>
      <c r="G1290" s="3" t="s">
        <v>30</v>
      </c>
      <c r="H1290" s="3">
        <v>0</v>
      </c>
      <c r="I1290" s="3">
        <v>0</v>
      </c>
      <c r="J1290" s="5">
        <v>4400</v>
      </c>
      <c r="K1290" s="3">
        <v>0</v>
      </c>
      <c r="L1290" s="3">
        <v>0</v>
      </c>
      <c r="M1290" s="3">
        <v>0</v>
      </c>
      <c r="N1290" s="5">
        <v>2200</v>
      </c>
      <c r="O1290" s="3">
        <v>0</v>
      </c>
      <c r="P1290" s="5">
        <v>2700</v>
      </c>
      <c r="Q1290" s="3">
        <v>0</v>
      </c>
      <c r="R1290" s="5">
        <v>8800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5">
        <v>1100</v>
      </c>
      <c r="Y1290" s="3">
        <v>0</v>
      </c>
      <c r="Z1290" s="5">
        <v>2000</v>
      </c>
      <c r="AA1290" s="5">
        <v>16000</v>
      </c>
      <c r="AB1290" s="6">
        <v>589700</v>
      </c>
      <c r="AC1290" s="2" t="str">
        <f>VLOOKUP(E1290,'[1]Detailed Transfer Report (12)'!$K:$Y,13,FALSE)</f>
        <v>Amanat Hussain</v>
      </c>
      <c r="AD1290" s="2" t="str">
        <f>VLOOKUP(E1290,'[1]Detailed Transfer Report (12)'!$K:$Y,14,FALSE)</f>
        <v>Sardar Tanveer Ilyas</v>
      </c>
      <c r="AE1290" s="16">
        <f>VLOOKUP(E1290,'[1]Detailed Transfer Report (12)'!$K:$Y,15,FALSE)</f>
        <v>45093</v>
      </c>
    </row>
    <row r="1291" spans="1:31" x14ac:dyDescent="0.25">
      <c r="A1291" s="10">
        <v>672</v>
      </c>
      <c r="B1291" s="4">
        <v>45278</v>
      </c>
      <c r="C1291" s="3" t="s">
        <v>1634</v>
      </c>
      <c r="D1291" s="3" t="s">
        <v>822</v>
      </c>
      <c r="E1291" s="3">
        <v>5600</v>
      </c>
      <c r="F1291" s="3">
        <v>17152</v>
      </c>
      <c r="G1291" s="3" t="s">
        <v>30</v>
      </c>
      <c r="H1291" s="3">
        <v>0</v>
      </c>
      <c r="I1291" s="3">
        <v>0</v>
      </c>
      <c r="J1291" s="5">
        <v>3000</v>
      </c>
      <c r="K1291" s="3">
        <v>0</v>
      </c>
      <c r="L1291" s="3">
        <v>0</v>
      </c>
      <c r="M1291" s="3">
        <v>0</v>
      </c>
      <c r="N1291" s="5">
        <v>1500</v>
      </c>
      <c r="O1291" s="3">
        <v>0</v>
      </c>
      <c r="P1291" s="5">
        <v>2000</v>
      </c>
      <c r="Q1291" s="3">
        <v>0</v>
      </c>
      <c r="R1291" s="5">
        <v>6000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5">
        <v>1100</v>
      </c>
      <c r="Y1291" s="3">
        <v>0</v>
      </c>
      <c r="Z1291" s="5">
        <v>2000</v>
      </c>
      <c r="AA1291" s="5">
        <v>16000</v>
      </c>
      <c r="AB1291" s="6">
        <v>621300</v>
      </c>
      <c r="AC1291" s="2" t="str">
        <f>VLOOKUP(E1291,'[1]Detailed Transfer Report (12)'!$K:$Y,13,FALSE)</f>
        <v>Akhash Hussain</v>
      </c>
      <c r="AD1291" s="2" t="str">
        <f>VLOOKUP(E1291,'[1]Detailed Transfer Report (12)'!$K:$Y,14,FALSE)</f>
        <v>Sardar Tanveer Ilyas</v>
      </c>
      <c r="AE1291" s="16">
        <f>VLOOKUP(E1291,'[1]Detailed Transfer Report (12)'!$K:$Y,15,FALSE)</f>
        <v>45093</v>
      </c>
    </row>
    <row r="1292" spans="1:31" x14ac:dyDescent="0.25">
      <c r="A1292" s="7">
        <v>673</v>
      </c>
      <c r="B1292" s="4">
        <v>45083</v>
      </c>
      <c r="C1292" s="3" t="s">
        <v>1635</v>
      </c>
      <c r="D1292" s="3" t="s">
        <v>585</v>
      </c>
      <c r="E1292" s="3"/>
      <c r="F1292" s="3">
        <v>20069</v>
      </c>
      <c r="G1292" s="3" t="s">
        <v>41</v>
      </c>
      <c r="H1292" s="3">
        <v>0</v>
      </c>
      <c r="I1292" s="3">
        <v>0</v>
      </c>
      <c r="J1292" s="5">
        <v>34000</v>
      </c>
      <c r="K1292" s="3">
        <v>0</v>
      </c>
      <c r="L1292" s="3">
        <v>0</v>
      </c>
      <c r="M1292" s="3">
        <v>0</v>
      </c>
      <c r="N1292" s="5">
        <v>17000</v>
      </c>
      <c r="O1292" s="3">
        <v>0</v>
      </c>
      <c r="P1292" s="5">
        <v>18000</v>
      </c>
      <c r="Q1292" s="3">
        <v>0</v>
      </c>
      <c r="R1292" s="5">
        <v>68000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5">
        <v>1100</v>
      </c>
      <c r="Y1292" s="3">
        <v>0</v>
      </c>
      <c r="Z1292" s="5">
        <v>2000</v>
      </c>
      <c r="AA1292" s="5">
        <v>16000</v>
      </c>
      <c r="AB1292" s="6">
        <v>156100</v>
      </c>
      <c r="AC1292" s="2" t="str">
        <f>VLOOKUP(F1292,'[1]Detailed Transfer Report (12)'!$L:$Y,12,FALSE)</f>
        <v>Asif Mehmood</v>
      </c>
      <c r="AD1292" s="2" t="str">
        <f>VLOOKUP(F1292,'[1]Detailed Transfer Report (12)'!$L:$Y,13,FALSE)</f>
        <v>Sardar Tanveer Ilyas</v>
      </c>
      <c r="AE1292" s="16"/>
    </row>
    <row r="1293" spans="1:31" x14ac:dyDescent="0.25">
      <c r="A1293" s="10">
        <v>673</v>
      </c>
      <c r="B1293" s="4">
        <v>45094</v>
      </c>
      <c r="C1293" s="3" t="s">
        <v>1330</v>
      </c>
      <c r="D1293" s="3" t="s">
        <v>1595</v>
      </c>
      <c r="E1293" s="3">
        <v>694</v>
      </c>
      <c r="F1293" s="3">
        <v>15922</v>
      </c>
      <c r="G1293" s="3" t="s">
        <v>41</v>
      </c>
      <c r="H1293" s="3">
        <v>0</v>
      </c>
      <c r="I1293" s="3">
        <v>0</v>
      </c>
      <c r="J1293" s="5">
        <v>31000</v>
      </c>
      <c r="K1293" s="3">
        <v>0</v>
      </c>
      <c r="L1293" s="3">
        <v>0</v>
      </c>
      <c r="M1293" s="3">
        <v>0</v>
      </c>
      <c r="N1293" s="5">
        <v>15500</v>
      </c>
      <c r="O1293" s="3">
        <v>0</v>
      </c>
      <c r="P1293" s="5">
        <v>16500</v>
      </c>
      <c r="Q1293" s="3">
        <v>0</v>
      </c>
      <c r="R1293" s="5">
        <v>62000</v>
      </c>
      <c r="S1293" s="3">
        <v>0</v>
      </c>
      <c r="T1293" s="5">
        <v>1100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5">
        <v>2000</v>
      </c>
      <c r="AA1293" s="5">
        <v>16000</v>
      </c>
      <c r="AB1293" s="6">
        <v>300200</v>
      </c>
      <c r="AC1293" s="2" t="str">
        <f>VLOOKUP(E1293,'[1]Detailed Transfer Report (12)'!$K:$Y,13,FALSE)</f>
        <v>Ghulam Sughra</v>
      </c>
      <c r="AD1293" s="2" t="str">
        <f>VLOOKUP(E1293,'[1]Detailed Transfer Report (12)'!$K:$Y,14,FALSE)</f>
        <v>Sardar Tanveer Ilyas</v>
      </c>
      <c r="AE1293" s="16">
        <f>VLOOKUP(E1293,'[1]Detailed Transfer Report (12)'!$K:$Y,15,FALSE)</f>
        <v>45084</v>
      </c>
    </row>
    <row r="1294" spans="1:31" x14ac:dyDescent="0.25">
      <c r="A1294" s="3">
        <v>674</v>
      </c>
      <c r="B1294" s="4">
        <v>45083</v>
      </c>
      <c r="C1294" s="3" t="s">
        <v>314</v>
      </c>
      <c r="D1294" s="3" t="s">
        <v>1636</v>
      </c>
      <c r="E1294" s="3"/>
      <c r="F1294" s="3">
        <v>16810</v>
      </c>
      <c r="G1294" s="3" t="s">
        <v>30</v>
      </c>
      <c r="H1294" s="3">
        <v>0</v>
      </c>
      <c r="I1294" s="3">
        <v>0</v>
      </c>
      <c r="J1294" s="5">
        <v>200000</v>
      </c>
      <c r="K1294" s="3">
        <v>0</v>
      </c>
      <c r="L1294" s="3">
        <v>0</v>
      </c>
      <c r="M1294" s="3">
        <v>0</v>
      </c>
      <c r="N1294" s="5">
        <v>100000</v>
      </c>
      <c r="O1294" s="3">
        <v>0</v>
      </c>
      <c r="P1294" s="5">
        <v>101000</v>
      </c>
      <c r="Q1294" s="3">
        <v>0</v>
      </c>
      <c r="R1294" s="5">
        <v>400000</v>
      </c>
      <c r="S1294" s="3">
        <v>0</v>
      </c>
      <c r="T1294" s="5">
        <v>1100</v>
      </c>
      <c r="U1294" s="3">
        <v>0</v>
      </c>
      <c r="V1294" s="5">
        <v>500000</v>
      </c>
      <c r="W1294" s="3">
        <v>0</v>
      </c>
      <c r="X1294" s="3">
        <v>0</v>
      </c>
      <c r="Y1294" s="3">
        <v>0</v>
      </c>
      <c r="Z1294" s="5">
        <v>2000</v>
      </c>
      <c r="AA1294" s="5">
        <v>100000</v>
      </c>
      <c r="AB1294" s="6">
        <v>1404100</v>
      </c>
      <c r="AC1294" s="2" t="str">
        <f>VLOOKUP(F1294,'[1]Detailed Transfer Report (12)'!$L:$Y,12,FALSE)</f>
        <v>Mirza Abdul Qayyum</v>
      </c>
      <c r="AD1294" s="2" t="str">
        <f>VLOOKUP(F1294,'[1]Detailed Transfer Report (12)'!$L:$Y,13,FALSE)</f>
        <v>Sardar Tanveer Ilyas</v>
      </c>
      <c r="AE1294" s="16"/>
    </row>
    <row r="1295" spans="1:31" x14ac:dyDescent="0.25">
      <c r="A1295" s="3">
        <v>675</v>
      </c>
      <c r="B1295" s="4">
        <v>45089</v>
      </c>
      <c r="C1295" s="3" t="s">
        <v>1637</v>
      </c>
      <c r="D1295" s="3" t="s">
        <v>822</v>
      </c>
      <c r="E1295" s="3"/>
      <c r="F1295" s="3">
        <v>16242</v>
      </c>
      <c r="G1295" s="3" t="s">
        <v>1179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8">
        <v>0</v>
      </c>
      <c r="AC1295" s="2" t="str">
        <f>VLOOKUP(F1295,'[1]Detailed Transfer Report (12)'!$L:$Y,12,FALSE)</f>
        <v>Kaniz fatima</v>
      </c>
      <c r="AD1295" s="2" t="str">
        <f>VLOOKUP(F1295,'[1]Detailed Transfer Report (12)'!$L:$Y,13,FALSE)</f>
        <v>Sardar Tanveer Ilyas</v>
      </c>
      <c r="AE1295" s="16"/>
    </row>
    <row r="1296" spans="1:31" x14ac:dyDescent="0.25">
      <c r="A1296" s="7">
        <v>676</v>
      </c>
      <c r="B1296" s="4">
        <v>45097</v>
      </c>
      <c r="C1296" s="3" t="s">
        <v>504</v>
      </c>
      <c r="D1296" s="3" t="s">
        <v>1604</v>
      </c>
      <c r="E1296" s="3"/>
      <c r="F1296" s="3">
        <v>4615</v>
      </c>
      <c r="G1296" s="3" t="s">
        <v>41</v>
      </c>
      <c r="H1296" s="3">
        <v>0</v>
      </c>
      <c r="I1296" s="3">
        <v>0</v>
      </c>
      <c r="J1296" s="5">
        <v>17000</v>
      </c>
      <c r="K1296" s="3">
        <v>0</v>
      </c>
      <c r="L1296" s="3">
        <v>0</v>
      </c>
      <c r="M1296" s="3">
        <v>0</v>
      </c>
      <c r="N1296" s="5">
        <v>8500</v>
      </c>
      <c r="O1296" s="3">
        <v>0</v>
      </c>
      <c r="P1296" s="5">
        <v>9500</v>
      </c>
      <c r="Q1296" s="3">
        <v>0</v>
      </c>
      <c r="R1296" s="5">
        <v>34000</v>
      </c>
      <c r="S1296" s="3">
        <v>0</v>
      </c>
      <c r="T1296" s="5">
        <v>8000</v>
      </c>
      <c r="U1296" s="3">
        <v>0</v>
      </c>
      <c r="V1296" s="5">
        <v>5050</v>
      </c>
      <c r="W1296" s="3">
        <v>0</v>
      </c>
      <c r="X1296" s="3">
        <v>0</v>
      </c>
      <c r="Y1296" s="3">
        <v>0</v>
      </c>
      <c r="Z1296" s="5">
        <v>2000</v>
      </c>
      <c r="AA1296" s="5">
        <v>16000</v>
      </c>
      <c r="AB1296" s="6">
        <v>100050</v>
      </c>
      <c r="AC1296" s="2" t="str">
        <f>VLOOKUP(F1296,'[1]Detailed Transfer Report (12)'!$L:$Y,12,FALSE)</f>
        <v>Muhammad Faizan</v>
      </c>
      <c r="AD1296" s="2" t="str">
        <f>VLOOKUP(F1296,'[1]Detailed Transfer Report (12)'!$L:$Y,13,FALSE)</f>
        <v>Sardar Rashid Ilyas Khan</v>
      </c>
      <c r="AE1296" s="16"/>
    </row>
    <row r="1297" spans="1:31" x14ac:dyDescent="0.25">
      <c r="A1297" s="9">
        <v>676</v>
      </c>
      <c r="B1297" s="4">
        <v>45097</v>
      </c>
      <c r="C1297" s="3" t="s">
        <v>153</v>
      </c>
      <c r="D1297" s="3" t="s">
        <v>585</v>
      </c>
      <c r="E1297" s="3">
        <v>746</v>
      </c>
      <c r="F1297" s="3">
        <v>26847</v>
      </c>
      <c r="G1297" s="3" t="s">
        <v>41</v>
      </c>
      <c r="H1297" s="3">
        <v>0</v>
      </c>
      <c r="I1297" s="3">
        <v>0</v>
      </c>
      <c r="J1297" s="5">
        <v>12300</v>
      </c>
      <c r="K1297" s="3">
        <v>0</v>
      </c>
      <c r="L1297" s="3">
        <v>0</v>
      </c>
      <c r="M1297" s="3">
        <v>0</v>
      </c>
      <c r="N1297" s="5">
        <v>4100</v>
      </c>
      <c r="O1297" s="3">
        <v>0</v>
      </c>
      <c r="P1297" s="5">
        <v>4600</v>
      </c>
      <c r="Q1297" s="3">
        <v>0</v>
      </c>
      <c r="R1297" s="5">
        <v>24600</v>
      </c>
      <c r="S1297" s="3">
        <v>0</v>
      </c>
      <c r="T1297" s="5">
        <v>1300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5">
        <v>2000</v>
      </c>
      <c r="AA1297" s="5">
        <v>16000</v>
      </c>
      <c r="AB1297" s="6">
        <v>164950</v>
      </c>
      <c r="AD1297" s="2" t="str">
        <f>VLOOKUP(E1297,'[1]Detailed Transfer Report (12)'!$K:$Y,14,FALSE)</f>
        <v>Sardar M Sagheer Khan</v>
      </c>
      <c r="AE1297" s="16"/>
    </row>
    <row r="1298" spans="1:31" x14ac:dyDescent="0.25">
      <c r="A1298" s="10">
        <v>676</v>
      </c>
      <c r="B1298" s="4">
        <v>45107</v>
      </c>
      <c r="C1298" s="3" t="s">
        <v>495</v>
      </c>
      <c r="D1298" s="3" t="s">
        <v>1638</v>
      </c>
      <c r="E1298" s="3"/>
      <c r="F1298" s="3">
        <v>19156</v>
      </c>
      <c r="G1298" s="3" t="s">
        <v>41</v>
      </c>
      <c r="H1298" s="3">
        <v>0</v>
      </c>
      <c r="I1298" s="3">
        <v>0</v>
      </c>
      <c r="J1298" s="5">
        <v>33000</v>
      </c>
      <c r="K1298" s="3">
        <v>0</v>
      </c>
      <c r="L1298" s="3">
        <v>0</v>
      </c>
      <c r="M1298" s="3">
        <v>0</v>
      </c>
      <c r="N1298" s="5">
        <v>11000</v>
      </c>
      <c r="O1298" s="3">
        <v>0</v>
      </c>
      <c r="P1298" s="5">
        <v>12000</v>
      </c>
      <c r="Q1298" s="3">
        <v>0</v>
      </c>
      <c r="R1298" s="5">
        <v>66000</v>
      </c>
      <c r="S1298" s="3">
        <v>0</v>
      </c>
      <c r="T1298" s="5">
        <v>8000</v>
      </c>
      <c r="U1298" s="3">
        <v>0</v>
      </c>
      <c r="V1298" s="5">
        <v>5850</v>
      </c>
      <c r="W1298" s="3">
        <v>0</v>
      </c>
      <c r="X1298" s="5">
        <v>1300</v>
      </c>
      <c r="Y1298" s="3">
        <v>0</v>
      </c>
      <c r="Z1298" s="5">
        <v>2000</v>
      </c>
      <c r="AA1298" s="5">
        <v>16000</v>
      </c>
      <c r="AB1298" s="6">
        <v>320100</v>
      </c>
      <c r="AC1298" s="2" t="str">
        <f>VLOOKUP(F1298,'[1]Detailed Transfer Report (12)'!$L:$Y,12,FALSE)</f>
        <v>Zameer Ahmed</v>
      </c>
      <c r="AD1298" s="2" t="str">
        <f>VLOOKUP(F1298,'[1]Detailed Transfer Report (12)'!$L:$Y,13,FALSE)</f>
        <v>Sardar Tanveer Ilyas</v>
      </c>
      <c r="AE1298" s="16"/>
    </row>
    <row r="1299" spans="1:31" x14ac:dyDescent="0.25">
      <c r="A1299" s="3">
        <v>677</v>
      </c>
      <c r="B1299" s="4">
        <v>45097</v>
      </c>
      <c r="C1299" s="3" t="s">
        <v>1354</v>
      </c>
      <c r="D1299" s="3" t="s">
        <v>1639</v>
      </c>
      <c r="E1299" s="3">
        <v>655</v>
      </c>
      <c r="F1299" s="3">
        <v>18271</v>
      </c>
      <c r="G1299" s="3" t="s">
        <v>41</v>
      </c>
      <c r="H1299" s="3">
        <v>0</v>
      </c>
      <c r="I1299" s="3">
        <v>0</v>
      </c>
      <c r="J1299" s="5">
        <v>702000</v>
      </c>
      <c r="K1299" s="3">
        <v>0</v>
      </c>
      <c r="L1299" s="3">
        <v>0</v>
      </c>
      <c r="M1299" s="3">
        <v>0</v>
      </c>
      <c r="N1299" s="5">
        <v>351000</v>
      </c>
      <c r="O1299" s="5">
        <v>360000</v>
      </c>
      <c r="P1299" s="5">
        <v>352000</v>
      </c>
      <c r="Q1299" s="3">
        <v>0</v>
      </c>
      <c r="R1299" s="5">
        <v>1404000</v>
      </c>
      <c r="S1299" s="3">
        <v>0</v>
      </c>
      <c r="T1299" s="5">
        <v>1100</v>
      </c>
      <c r="U1299" s="3">
        <v>0</v>
      </c>
      <c r="V1299" s="5">
        <v>300000</v>
      </c>
      <c r="W1299" s="3">
        <v>0</v>
      </c>
      <c r="X1299" s="3">
        <v>0</v>
      </c>
      <c r="Y1299" s="3">
        <v>0</v>
      </c>
      <c r="Z1299" s="5">
        <v>2000</v>
      </c>
      <c r="AA1299" s="5">
        <v>351000</v>
      </c>
      <c r="AB1299" s="6">
        <v>3823100</v>
      </c>
      <c r="AC1299" s="2" t="str">
        <f>VLOOKUP(E1299,'[1]Detailed Transfer Report (12)'!$K:$Y,13,FALSE)</f>
        <v>Haseeb Shahzad</v>
      </c>
      <c r="AD1299" s="2" t="str">
        <f>VLOOKUP(E1299,'[1]Detailed Transfer Report (12)'!$K:$Y,14,FALSE)</f>
        <v>Sardar Tanveer Ilyas</v>
      </c>
      <c r="AE1299" s="16">
        <f>VLOOKUP(E1299,'[1]Detailed Transfer Report (12)'!$K:$Y,15,FALSE)</f>
        <v>45100</v>
      </c>
    </row>
    <row r="1300" spans="1:31" x14ac:dyDescent="0.25">
      <c r="A1300" s="7">
        <v>678</v>
      </c>
      <c r="B1300" s="4">
        <v>45100</v>
      </c>
      <c r="C1300" s="3" t="s">
        <v>1206</v>
      </c>
      <c r="D1300" s="3" t="s">
        <v>1604</v>
      </c>
      <c r="E1300" s="3" t="s">
        <v>1640</v>
      </c>
      <c r="F1300" s="3">
        <v>18220</v>
      </c>
      <c r="G1300" s="3" t="s">
        <v>30</v>
      </c>
      <c r="H1300" s="3">
        <v>0</v>
      </c>
      <c r="I1300" s="3">
        <v>0</v>
      </c>
      <c r="J1300" s="5">
        <v>22000</v>
      </c>
      <c r="K1300" s="3">
        <v>0</v>
      </c>
      <c r="L1300" s="3">
        <v>0</v>
      </c>
      <c r="M1300" s="3">
        <v>0</v>
      </c>
      <c r="N1300" s="5">
        <v>11000</v>
      </c>
      <c r="O1300" s="3">
        <v>0</v>
      </c>
      <c r="P1300" s="5">
        <v>12000</v>
      </c>
      <c r="Q1300" s="3">
        <v>0</v>
      </c>
      <c r="R1300" s="5">
        <v>44000</v>
      </c>
      <c r="S1300" s="5">
        <v>7350</v>
      </c>
      <c r="T1300" s="3">
        <v>100</v>
      </c>
      <c r="U1300" s="3">
        <v>0</v>
      </c>
      <c r="V1300" s="5">
        <v>8000</v>
      </c>
      <c r="W1300" s="3">
        <v>0</v>
      </c>
      <c r="X1300" s="3">
        <v>0</v>
      </c>
      <c r="Y1300" s="3">
        <v>0</v>
      </c>
      <c r="Z1300" s="5">
        <v>2000</v>
      </c>
      <c r="AA1300" s="5">
        <v>16000</v>
      </c>
      <c r="AB1300" s="6">
        <v>122450</v>
      </c>
      <c r="AC1300" s="2" t="str">
        <f>VLOOKUP(E1300,'[1]Detailed Transfer Report (12)'!$K:$Y,13,FALSE)</f>
        <v>Sikandar Shahzad</v>
      </c>
      <c r="AD1300" s="2" t="str">
        <f>VLOOKUP(E1300,'[1]Detailed Transfer Report (12)'!$K:$Y,14,FALSE)</f>
        <v>Sardar Tanveer Ilyas</v>
      </c>
      <c r="AE1300" s="16">
        <f>VLOOKUP(E1300,'[1]Detailed Transfer Report (12)'!$K:$Y,15,FALSE)</f>
        <v>45100</v>
      </c>
    </row>
    <row r="1301" spans="1:31" x14ac:dyDescent="0.25">
      <c r="A1301" s="9">
        <v>678</v>
      </c>
      <c r="B1301" s="4">
        <v>45153</v>
      </c>
      <c r="C1301" s="3" t="s">
        <v>516</v>
      </c>
      <c r="D1301" s="3" t="s">
        <v>1641</v>
      </c>
      <c r="E1301" s="3"/>
      <c r="F1301" s="3">
        <v>24092</v>
      </c>
      <c r="G1301" s="3" t="s">
        <v>30</v>
      </c>
      <c r="H1301" s="3">
        <v>0</v>
      </c>
      <c r="I1301" s="3">
        <v>0</v>
      </c>
      <c r="J1301" s="5">
        <v>52500</v>
      </c>
      <c r="K1301" s="3">
        <v>0</v>
      </c>
      <c r="L1301" s="3">
        <v>0</v>
      </c>
      <c r="M1301" s="3">
        <v>0</v>
      </c>
      <c r="N1301" s="5">
        <v>17500</v>
      </c>
      <c r="O1301" s="3">
        <v>0</v>
      </c>
      <c r="P1301" s="5">
        <v>18500</v>
      </c>
      <c r="Q1301" s="3">
        <v>0</v>
      </c>
      <c r="R1301" s="5">
        <v>105000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5">
        <v>1300</v>
      </c>
      <c r="Y1301" s="3">
        <v>0</v>
      </c>
      <c r="Z1301" s="5">
        <v>2000</v>
      </c>
      <c r="AA1301" s="5">
        <v>16000</v>
      </c>
      <c r="AB1301" s="6">
        <v>335250</v>
      </c>
      <c r="AC1301" s="2" t="str">
        <f>VLOOKUP(F1301,'[1]Detailed Transfer Report (12)'!$L:$Y,12,FALSE)</f>
        <v>Muhammad Yaseen</v>
      </c>
      <c r="AD1301" s="2" t="str">
        <f>VLOOKUP(F1301,'[1]Detailed Transfer Report (12)'!$L:$Y,13,FALSE)</f>
        <v>Sardar Tanveer Ilyas</v>
      </c>
      <c r="AE1301" s="16">
        <f>VLOOKUP(F1301,'[1]Detailed Transfer Report (12)'!$L:$Y,14,FALSE)</f>
        <v>45180</v>
      </c>
    </row>
    <row r="1302" spans="1:31" x14ac:dyDescent="0.25">
      <c r="A1302" s="9">
        <v>678</v>
      </c>
      <c r="B1302" s="4">
        <v>45097</v>
      </c>
      <c r="C1302" s="3" t="s">
        <v>256</v>
      </c>
      <c r="D1302" s="3" t="s">
        <v>1642</v>
      </c>
      <c r="E1302" s="3"/>
      <c r="F1302" s="3">
        <v>19638</v>
      </c>
      <c r="G1302" s="3" t="s">
        <v>30</v>
      </c>
      <c r="H1302" s="3">
        <v>0</v>
      </c>
      <c r="I1302" s="3">
        <v>0</v>
      </c>
      <c r="J1302" s="5">
        <v>216000</v>
      </c>
      <c r="K1302" s="3">
        <v>0</v>
      </c>
      <c r="L1302" s="3">
        <v>0</v>
      </c>
      <c r="M1302" s="3">
        <v>0</v>
      </c>
      <c r="N1302" s="5">
        <v>72000</v>
      </c>
      <c r="O1302" s="3">
        <v>0</v>
      </c>
      <c r="P1302" s="5">
        <v>73000</v>
      </c>
      <c r="Q1302" s="3">
        <v>0</v>
      </c>
      <c r="R1302" s="5">
        <v>432000</v>
      </c>
      <c r="S1302" s="3">
        <v>0</v>
      </c>
      <c r="T1302" s="5">
        <v>8000</v>
      </c>
      <c r="U1302" s="3">
        <v>0</v>
      </c>
      <c r="V1302" s="5">
        <v>44100</v>
      </c>
      <c r="W1302" s="3">
        <v>0</v>
      </c>
      <c r="X1302" s="3">
        <v>0</v>
      </c>
      <c r="Y1302" s="3">
        <v>0</v>
      </c>
      <c r="Z1302" s="5">
        <v>2100</v>
      </c>
      <c r="AA1302" s="5">
        <v>49000</v>
      </c>
      <c r="AB1302" s="6">
        <v>1231450</v>
      </c>
      <c r="AC1302" s="2" t="str">
        <f>VLOOKUP(F1302,'[1]Detailed Transfer Report (12)'!$L:$Y,12,FALSE)</f>
        <v>Malik Naseem Akhter</v>
      </c>
      <c r="AD1302" s="2" t="str">
        <f>VLOOKUP(F1302,'[1]Detailed Transfer Report (12)'!$L:$Y,13,FALSE)</f>
        <v>Sardar Tanveer Ilyas</v>
      </c>
      <c r="AE1302" s="16"/>
    </row>
    <row r="1303" spans="1:31" x14ac:dyDescent="0.25">
      <c r="A1303" s="9">
        <v>678</v>
      </c>
      <c r="B1303" s="4">
        <v>45100</v>
      </c>
      <c r="C1303" s="3" t="s">
        <v>1643</v>
      </c>
      <c r="D1303" s="3" t="s">
        <v>1638</v>
      </c>
      <c r="E1303" s="3">
        <v>5603</v>
      </c>
      <c r="F1303" s="3">
        <v>18219</v>
      </c>
      <c r="G1303" s="3" t="s">
        <v>30</v>
      </c>
      <c r="H1303" s="3">
        <v>0</v>
      </c>
      <c r="I1303" s="3">
        <v>0</v>
      </c>
      <c r="J1303" s="5">
        <v>79000</v>
      </c>
      <c r="K1303" s="3">
        <v>0</v>
      </c>
      <c r="L1303" s="3">
        <v>0</v>
      </c>
      <c r="M1303" s="3">
        <v>0</v>
      </c>
      <c r="N1303" s="5">
        <v>39500</v>
      </c>
      <c r="O1303" s="3">
        <v>0</v>
      </c>
      <c r="P1303" s="5">
        <v>40500</v>
      </c>
      <c r="Q1303" s="3">
        <v>0</v>
      </c>
      <c r="R1303" s="5">
        <v>158000</v>
      </c>
      <c r="S1303" s="3">
        <v>0</v>
      </c>
      <c r="T1303" s="5">
        <v>8000</v>
      </c>
      <c r="U1303" s="3">
        <v>0</v>
      </c>
      <c r="V1303" s="5">
        <v>26550</v>
      </c>
      <c r="W1303" s="3">
        <v>0</v>
      </c>
      <c r="X1303" s="3">
        <v>0</v>
      </c>
      <c r="Y1303" s="3">
        <v>0</v>
      </c>
      <c r="Z1303" s="5">
        <v>2100</v>
      </c>
      <c r="AA1303" s="5">
        <v>29500</v>
      </c>
      <c r="AB1303" s="6">
        <v>1614600</v>
      </c>
      <c r="AC1303" s="2" t="str">
        <f>VLOOKUP(E1303,'[1]Detailed Transfer Report (12)'!$K:$Y,13,FALSE)</f>
        <v>Haseeb Shahzad</v>
      </c>
      <c r="AD1303" s="2" t="str">
        <f>VLOOKUP(E1303,'[1]Detailed Transfer Report (12)'!$K:$Y,14,FALSE)</f>
        <v>Sardar Tanveer Ilyas</v>
      </c>
      <c r="AE1303" s="16">
        <f>VLOOKUP(E1303,'[1]Detailed Transfer Report (12)'!$K:$Y,15,FALSE)</f>
        <v>45100</v>
      </c>
    </row>
    <row r="1304" spans="1:31" x14ac:dyDescent="0.25">
      <c r="A1304" s="10">
        <v>678</v>
      </c>
      <c r="B1304" s="4">
        <v>45100</v>
      </c>
      <c r="C1304" s="3" t="s">
        <v>104</v>
      </c>
      <c r="D1304" s="3" t="s">
        <v>822</v>
      </c>
      <c r="E1304" s="3">
        <v>5587</v>
      </c>
      <c r="F1304" s="3">
        <v>18236</v>
      </c>
      <c r="G1304" s="3" t="s">
        <v>30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6">
        <v>1614600</v>
      </c>
      <c r="AC1304" s="2" t="str">
        <f>VLOOKUP(E1304,'[1]Detailed Transfer Report (12)'!$K:$Y,13,FALSE)</f>
        <v>Muhammad Irshad</v>
      </c>
      <c r="AD1304" s="2" t="str">
        <f>VLOOKUP(E1304,'[1]Detailed Transfer Report (12)'!$K:$Y,14,FALSE)</f>
        <v>Sardar Tanveer Ilyas</v>
      </c>
      <c r="AE1304" s="16">
        <f>VLOOKUP(E1304,'[1]Detailed Transfer Report (12)'!$K:$Y,15,FALSE)</f>
        <v>45100</v>
      </c>
    </row>
    <row r="1305" spans="1:31" x14ac:dyDescent="0.25">
      <c r="A1305" s="3">
        <v>679</v>
      </c>
      <c r="B1305" s="4">
        <v>45120</v>
      </c>
      <c r="C1305" s="3" t="s">
        <v>1644</v>
      </c>
      <c r="D1305" s="3" t="s">
        <v>1645</v>
      </c>
      <c r="E1305" s="3">
        <v>5592</v>
      </c>
      <c r="F1305" s="3">
        <v>17358</v>
      </c>
      <c r="G1305" s="3" t="s">
        <v>30</v>
      </c>
      <c r="H1305" s="3">
        <v>0</v>
      </c>
      <c r="I1305" s="3">
        <v>0</v>
      </c>
      <c r="J1305" s="5">
        <v>10000</v>
      </c>
      <c r="K1305" s="3">
        <v>0</v>
      </c>
      <c r="L1305" s="3">
        <v>0</v>
      </c>
      <c r="M1305" s="3">
        <v>0</v>
      </c>
      <c r="N1305" s="5">
        <v>5000</v>
      </c>
      <c r="O1305" s="3">
        <v>0</v>
      </c>
      <c r="P1305" s="5">
        <v>5500</v>
      </c>
      <c r="Q1305" s="3">
        <v>0</v>
      </c>
      <c r="R1305" s="5">
        <v>20000</v>
      </c>
      <c r="S1305" s="3">
        <v>0</v>
      </c>
      <c r="T1305" s="5">
        <v>1100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5">
        <v>2000</v>
      </c>
      <c r="AA1305" s="5">
        <v>16000</v>
      </c>
      <c r="AB1305" s="6">
        <v>59600</v>
      </c>
      <c r="AC1305" s="2" t="str">
        <f>VLOOKUP(E1305,'[1]Detailed Transfer Report (12)'!$K:$Y,13,FALSE)</f>
        <v>Muhammad Raees</v>
      </c>
      <c r="AD1305" s="2" t="str">
        <f>VLOOKUP(E1305,'[1]Detailed Transfer Report (12)'!$K:$Y,14,FALSE)</f>
        <v>Sardar Tanveer Ilyas</v>
      </c>
      <c r="AE1305" s="16">
        <f>VLOOKUP(E1305,'[1]Detailed Transfer Report (12)'!$K:$Y,15,FALSE)</f>
        <v>45096</v>
      </c>
    </row>
    <row r="1306" spans="1:31" x14ac:dyDescent="0.25">
      <c r="A1306" s="3">
        <v>680</v>
      </c>
      <c r="B1306" s="4">
        <v>45134</v>
      </c>
      <c r="C1306" s="3" t="s">
        <v>1646</v>
      </c>
      <c r="D1306" s="3" t="s">
        <v>1647</v>
      </c>
      <c r="E1306" s="3">
        <v>3143</v>
      </c>
      <c r="F1306" s="3">
        <v>19469</v>
      </c>
      <c r="G1306" s="3" t="s">
        <v>1611</v>
      </c>
      <c r="H1306" s="3">
        <v>0</v>
      </c>
      <c r="I1306" s="3">
        <v>0</v>
      </c>
      <c r="J1306" s="5">
        <v>492000</v>
      </c>
      <c r="K1306" s="3">
        <v>0</v>
      </c>
      <c r="L1306" s="3">
        <v>0</v>
      </c>
      <c r="M1306" s="3">
        <v>0</v>
      </c>
      <c r="N1306" s="5">
        <v>164000</v>
      </c>
      <c r="O1306" s="3">
        <v>0</v>
      </c>
      <c r="P1306" s="5">
        <v>165000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5">
        <v>1300</v>
      </c>
      <c r="Y1306" s="3">
        <v>0</v>
      </c>
      <c r="Z1306" s="5">
        <v>2000</v>
      </c>
      <c r="AA1306" s="5">
        <v>164000</v>
      </c>
      <c r="AB1306" s="6">
        <v>988300</v>
      </c>
      <c r="AC1306" s="2" t="str">
        <f>VLOOKUP(E1306,'[1]Detailed Transfer Report (12)'!$K:$Y,13,FALSE)</f>
        <v>Sania Bibi</v>
      </c>
      <c r="AD1306" s="2" t="str">
        <f>VLOOKUP(E1306,'[1]Detailed Transfer Report (12)'!$K:$Y,14,FALSE)</f>
        <v>Sardar Tanveer Ilyas</v>
      </c>
      <c r="AE1306" s="16">
        <f>VLOOKUP(E1306,'[1]Detailed Transfer Report (12)'!$K:$Y,15,FALSE)</f>
        <v>45125</v>
      </c>
    </row>
    <row r="1307" spans="1:31" x14ac:dyDescent="0.25">
      <c r="A1307" s="3">
        <v>681</v>
      </c>
      <c r="B1307" s="4">
        <v>45131</v>
      </c>
      <c r="C1307" s="3" t="s">
        <v>754</v>
      </c>
      <c r="D1307" s="3" t="s">
        <v>1647</v>
      </c>
      <c r="E1307" s="3"/>
      <c r="F1307" s="3">
        <v>20711</v>
      </c>
      <c r="G1307" s="3" t="s">
        <v>1611</v>
      </c>
      <c r="H1307" s="3">
        <v>0</v>
      </c>
      <c r="I1307" s="3">
        <v>0</v>
      </c>
      <c r="J1307" s="5">
        <v>840000</v>
      </c>
      <c r="K1307" s="3">
        <v>0</v>
      </c>
      <c r="L1307" s="3">
        <v>0</v>
      </c>
      <c r="M1307" s="3">
        <v>0</v>
      </c>
      <c r="N1307" s="5">
        <v>280000</v>
      </c>
      <c r="O1307" s="3">
        <v>0</v>
      </c>
      <c r="P1307" s="5">
        <v>281000</v>
      </c>
      <c r="Q1307" s="3">
        <v>0</v>
      </c>
      <c r="R1307" s="5">
        <v>840000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5">
        <v>1100</v>
      </c>
      <c r="Y1307" s="3">
        <v>0</v>
      </c>
      <c r="Z1307" s="5">
        <v>2000</v>
      </c>
      <c r="AA1307" s="5">
        <v>280000</v>
      </c>
      <c r="AB1307" s="6">
        <v>2524100</v>
      </c>
      <c r="AC1307" s="2" t="str">
        <f>VLOOKUP(F1307,'[1]Detailed Transfer Report (12)'!$L:$Y,12,FALSE)</f>
        <v>Muhammad Akram</v>
      </c>
      <c r="AD1307" s="2" t="str">
        <f>VLOOKUP(F1307,'[1]Detailed Transfer Report (12)'!$L:$Y,13,FALSE)</f>
        <v>Sardar Tanveer Ilyas</v>
      </c>
      <c r="AE1307" s="16">
        <f>VLOOKUP(F1307,'[1]Detailed Transfer Report (12)'!$L:$Y,14,FALSE)</f>
        <v>45141</v>
      </c>
    </row>
    <row r="1308" spans="1:31" x14ac:dyDescent="0.25">
      <c r="A1308" s="3">
        <v>682</v>
      </c>
      <c r="B1308" s="4">
        <v>45131</v>
      </c>
      <c r="C1308" s="3" t="s">
        <v>1648</v>
      </c>
      <c r="D1308" s="3" t="s">
        <v>1647</v>
      </c>
      <c r="E1308" s="3"/>
      <c r="F1308" s="3">
        <v>20842</v>
      </c>
      <c r="G1308" s="3" t="s">
        <v>1649</v>
      </c>
      <c r="H1308" s="3">
        <v>0</v>
      </c>
      <c r="I1308" s="3">
        <v>0</v>
      </c>
      <c r="J1308" s="5">
        <v>1750000</v>
      </c>
      <c r="K1308" s="3">
        <v>0</v>
      </c>
      <c r="L1308" s="3">
        <v>0</v>
      </c>
      <c r="M1308" s="3">
        <v>0</v>
      </c>
      <c r="N1308" s="5">
        <v>875000</v>
      </c>
      <c r="O1308" s="3">
        <v>0</v>
      </c>
      <c r="P1308" s="5">
        <v>876000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5">
        <v>1100</v>
      </c>
      <c r="Y1308" s="3">
        <v>0</v>
      </c>
      <c r="Z1308" s="5">
        <v>2000</v>
      </c>
      <c r="AA1308" s="5">
        <v>875000</v>
      </c>
      <c r="AB1308" s="6">
        <v>4379100</v>
      </c>
      <c r="AC1308" s="2" t="str">
        <f>VLOOKUP(F1308,'[1]Detailed Transfer Report (12)'!$L:$Y,12,FALSE)</f>
        <v>Salah Ud Din</v>
      </c>
      <c r="AD1308" s="2" t="str">
        <f>VLOOKUP(F1308,'[1]Detailed Transfer Report (12)'!$L:$Y,13,FALSE)</f>
        <v>Sardar Tanveer Ilyas</v>
      </c>
      <c r="AE1308" s="16"/>
    </row>
    <row r="1309" spans="1:31" x14ac:dyDescent="0.25">
      <c r="A1309" s="3">
        <v>683</v>
      </c>
      <c r="B1309" s="4">
        <v>45143</v>
      </c>
      <c r="C1309" s="3" t="s">
        <v>521</v>
      </c>
      <c r="D1309" s="3" t="s">
        <v>1542</v>
      </c>
      <c r="E1309" s="3"/>
      <c r="F1309" s="3">
        <v>20779</v>
      </c>
      <c r="G1309" s="3" t="s">
        <v>1179</v>
      </c>
      <c r="H1309" s="3">
        <v>0</v>
      </c>
      <c r="I1309" s="3">
        <v>0</v>
      </c>
      <c r="J1309" s="5">
        <v>61500</v>
      </c>
      <c r="K1309" s="3">
        <v>0</v>
      </c>
      <c r="L1309" s="3">
        <v>0</v>
      </c>
      <c r="M1309" s="3">
        <v>0</v>
      </c>
      <c r="N1309" s="5">
        <v>20500</v>
      </c>
      <c r="O1309" s="3">
        <v>0</v>
      </c>
      <c r="P1309" s="5">
        <v>21500</v>
      </c>
      <c r="Q1309" s="3">
        <v>0</v>
      </c>
      <c r="R1309" s="5">
        <v>61500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5">
        <v>1300</v>
      </c>
      <c r="Y1309" s="3">
        <v>0</v>
      </c>
      <c r="Z1309" s="5">
        <v>2000</v>
      </c>
      <c r="AA1309" s="5">
        <v>16000</v>
      </c>
      <c r="AB1309" s="6">
        <v>184300</v>
      </c>
      <c r="AC1309" s="2" t="str">
        <f>VLOOKUP(F1309,'[1]Detailed Transfer Report (12)'!$L:$Y,12,FALSE)</f>
        <v>Asiya Bibi</v>
      </c>
      <c r="AD1309" s="2" t="str">
        <f>VLOOKUP(F1309,'[1]Detailed Transfer Report (12)'!$L:$Y,13,FALSE)</f>
        <v>Sardar Tanveer Ilyas</v>
      </c>
      <c r="AE1309" s="16"/>
    </row>
    <row r="1310" spans="1:31" x14ac:dyDescent="0.25">
      <c r="A1310" s="3">
        <v>684</v>
      </c>
      <c r="B1310" s="4">
        <v>45143</v>
      </c>
      <c r="C1310" s="3" t="s">
        <v>1650</v>
      </c>
      <c r="D1310" s="3" t="s">
        <v>1651</v>
      </c>
      <c r="E1310" s="3"/>
      <c r="F1310" s="3">
        <v>20776</v>
      </c>
      <c r="G1310" s="3" t="s">
        <v>1179</v>
      </c>
      <c r="H1310" s="3">
        <v>0</v>
      </c>
      <c r="I1310" s="3">
        <v>0</v>
      </c>
      <c r="J1310" s="5">
        <v>39000</v>
      </c>
      <c r="K1310" s="3">
        <v>0</v>
      </c>
      <c r="L1310" s="3">
        <v>0</v>
      </c>
      <c r="M1310" s="3">
        <v>0</v>
      </c>
      <c r="N1310" s="5">
        <v>13000</v>
      </c>
      <c r="O1310" s="3">
        <v>0</v>
      </c>
      <c r="P1310" s="5">
        <v>14000</v>
      </c>
      <c r="Q1310" s="3">
        <v>0</v>
      </c>
      <c r="R1310" s="5">
        <v>39000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5">
        <v>1300</v>
      </c>
      <c r="Y1310" s="3">
        <v>0</v>
      </c>
      <c r="Z1310" s="5">
        <v>2000</v>
      </c>
      <c r="AA1310" s="5">
        <v>16000</v>
      </c>
      <c r="AB1310" s="6">
        <v>124300</v>
      </c>
      <c r="AC1310" s="2" t="str">
        <f>VLOOKUP(F1310,'[1]Detailed Transfer Report (12)'!$L:$Y,12,FALSE)</f>
        <v>Asiya Bibi</v>
      </c>
      <c r="AD1310" s="2" t="str">
        <f>VLOOKUP(F1310,'[1]Detailed Transfer Report (12)'!$L:$Y,13,FALSE)</f>
        <v>Sardar Tanveer Ilyas</v>
      </c>
      <c r="AE1310" s="16"/>
    </row>
    <row r="1311" spans="1:31" x14ac:dyDescent="0.25">
      <c r="A1311" s="7">
        <v>685</v>
      </c>
      <c r="B1311" s="4">
        <v>45156</v>
      </c>
      <c r="C1311" s="3" t="s">
        <v>1652</v>
      </c>
      <c r="D1311" s="3" t="s">
        <v>822</v>
      </c>
      <c r="E1311" s="3"/>
      <c r="F1311" s="3"/>
      <c r="G1311" s="3" t="s">
        <v>1179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8">
        <v>0</v>
      </c>
      <c r="AE1311" s="16"/>
    </row>
    <row r="1312" spans="1:31" x14ac:dyDescent="0.25">
      <c r="A1312" s="9">
        <v>685</v>
      </c>
      <c r="B1312" s="4">
        <v>45154</v>
      </c>
      <c r="C1312" s="3" t="s">
        <v>44</v>
      </c>
      <c r="D1312" s="3" t="s">
        <v>1653</v>
      </c>
      <c r="E1312" s="3"/>
      <c r="F1312" s="3">
        <v>22121</v>
      </c>
      <c r="G1312" s="3" t="s">
        <v>756</v>
      </c>
      <c r="H1312" s="3">
        <v>0</v>
      </c>
      <c r="I1312" s="3">
        <v>0</v>
      </c>
      <c r="J1312" s="5">
        <v>54150</v>
      </c>
      <c r="K1312" s="3">
        <v>0</v>
      </c>
      <c r="L1312" s="3">
        <v>0</v>
      </c>
      <c r="M1312" s="3">
        <v>0</v>
      </c>
      <c r="N1312" s="5">
        <v>18050</v>
      </c>
      <c r="O1312" s="3">
        <v>0</v>
      </c>
      <c r="P1312" s="5">
        <v>19050</v>
      </c>
      <c r="Q1312" s="3">
        <v>0</v>
      </c>
      <c r="R1312" s="5">
        <v>108300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5">
        <v>10000</v>
      </c>
      <c r="AB1312" s="6">
        <v>209550</v>
      </c>
      <c r="AC1312" s="2" t="str">
        <f>VLOOKUP(F1312,'[1]Detailed Transfer Report (12)'!$L:$Y,12,FALSE)</f>
        <v>Muhammad Nazeer</v>
      </c>
      <c r="AD1312" s="2" t="str">
        <f>VLOOKUP(F1312,'[1]Detailed Transfer Report (12)'!$L:$Y,13,FALSE)</f>
        <v>Sardar Tanveer Ilyas</v>
      </c>
      <c r="AE1312" s="16">
        <f>VLOOKUP(F1312,'[1]Detailed Transfer Report (12)'!$L:$Y,14,FALSE)</f>
        <v>45156</v>
      </c>
    </row>
    <row r="1313" spans="1:31" x14ac:dyDescent="0.25">
      <c r="A1313" s="10">
        <v>685</v>
      </c>
      <c r="B1313" s="4">
        <v>45154</v>
      </c>
      <c r="C1313" s="3" t="s">
        <v>754</v>
      </c>
      <c r="D1313" s="3" t="s">
        <v>1653</v>
      </c>
      <c r="E1313" s="3">
        <v>5659</v>
      </c>
      <c r="F1313" s="3">
        <v>22122</v>
      </c>
      <c r="G1313" s="3" t="s">
        <v>756</v>
      </c>
      <c r="H1313" s="3">
        <v>0</v>
      </c>
      <c r="I1313" s="3">
        <v>0</v>
      </c>
      <c r="J1313" s="5">
        <v>541500</v>
      </c>
      <c r="K1313" s="3">
        <v>0</v>
      </c>
      <c r="L1313" s="3">
        <v>0</v>
      </c>
      <c r="M1313" s="3">
        <v>0</v>
      </c>
      <c r="N1313" s="5">
        <v>180500</v>
      </c>
      <c r="O1313" s="3">
        <v>0</v>
      </c>
      <c r="P1313" s="5">
        <v>181500</v>
      </c>
      <c r="Q1313" s="3">
        <v>0</v>
      </c>
      <c r="R1313" s="5">
        <v>1083000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5">
        <v>77000</v>
      </c>
      <c r="AB1313" s="6">
        <v>2273050</v>
      </c>
      <c r="AC1313" s="2" t="str">
        <f>VLOOKUP(E1313,'[1]Detailed Transfer Report (12)'!$K:$Y,13,FALSE)</f>
        <v>Hamna Bibi</v>
      </c>
      <c r="AD1313" s="2" t="str">
        <f>VLOOKUP(E1313,'[1]Detailed Transfer Report (12)'!$K:$Y,14,FALSE)</f>
        <v>Sardar Tanveer Ilyas</v>
      </c>
      <c r="AE1313" s="16">
        <f>VLOOKUP(E1313,'[1]Detailed Transfer Report (12)'!$K:$Y,15,FALSE)</f>
        <v>45583</v>
      </c>
    </row>
    <row r="1314" spans="1:31" x14ac:dyDescent="0.25">
      <c r="A1314" s="7">
        <v>686</v>
      </c>
      <c r="B1314" s="4">
        <v>45157</v>
      </c>
      <c r="C1314" s="3" t="s">
        <v>44</v>
      </c>
      <c r="D1314" s="3" t="s">
        <v>1654</v>
      </c>
      <c r="E1314" s="3"/>
      <c r="F1314" s="3">
        <v>22573</v>
      </c>
      <c r="G1314" s="3" t="s">
        <v>30</v>
      </c>
      <c r="H1314" s="3">
        <v>0</v>
      </c>
      <c r="I1314" s="3">
        <v>0</v>
      </c>
      <c r="J1314" s="5">
        <v>45000</v>
      </c>
      <c r="K1314" s="3">
        <v>0</v>
      </c>
      <c r="L1314" s="3">
        <v>0</v>
      </c>
      <c r="M1314" s="3">
        <v>0</v>
      </c>
      <c r="N1314" s="5">
        <v>15000</v>
      </c>
      <c r="O1314" s="3">
        <v>0</v>
      </c>
      <c r="P1314" s="5">
        <v>16000</v>
      </c>
      <c r="Q1314" s="3">
        <v>0</v>
      </c>
      <c r="R1314" s="3">
        <v>0</v>
      </c>
      <c r="S1314" s="3">
        <v>0</v>
      </c>
      <c r="T1314" s="3">
        <v>100</v>
      </c>
      <c r="U1314" s="3">
        <v>0</v>
      </c>
      <c r="V1314" s="3">
        <v>0</v>
      </c>
      <c r="W1314" s="3">
        <v>0</v>
      </c>
      <c r="X1314" s="5">
        <v>1200</v>
      </c>
      <c r="Y1314" s="3">
        <v>0</v>
      </c>
      <c r="Z1314" s="5">
        <v>2000</v>
      </c>
      <c r="AA1314" s="5">
        <v>16000</v>
      </c>
      <c r="AB1314" s="6">
        <v>95300</v>
      </c>
      <c r="AC1314" s="2" t="str">
        <f>VLOOKUP(F1314,'[1]Detailed Transfer Report (12)'!$L:$Y,12,FALSE)</f>
        <v>Mohsin Raza</v>
      </c>
      <c r="AD1314" s="2" t="str">
        <f>VLOOKUP(F1314,'[1]Detailed Transfer Report (12)'!$L:$Y,13,FALSE)</f>
        <v>Sardar Tanveer Ilyas</v>
      </c>
      <c r="AE1314" s="16"/>
    </row>
    <row r="1315" spans="1:31" x14ac:dyDescent="0.25">
      <c r="A1315" s="10">
        <v>686</v>
      </c>
      <c r="B1315" s="4">
        <v>45157</v>
      </c>
      <c r="C1315" s="3" t="s">
        <v>1655</v>
      </c>
      <c r="D1315" s="3" t="s">
        <v>1654</v>
      </c>
      <c r="E1315" s="3">
        <v>5589</v>
      </c>
      <c r="F1315" s="3">
        <v>22572</v>
      </c>
      <c r="G1315" s="3" t="s">
        <v>30</v>
      </c>
      <c r="H1315" s="3">
        <v>0</v>
      </c>
      <c r="I1315" s="3">
        <v>0</v>
      </c>
      <c r="J1315" s="5">
        <v>34500</v>
      </c>
      <c r="K1315" s="3">
        <v>0</v>
      </c>
      <c r="L1315" s="3">
        <v>0</v>
      </c>
      <c r="M1315" s="3">
        <v>0</v>
      </c>
      <c r="N1315" s="5">
        <v>11500</v>
      </c>
      <c r="O1315" s="3">
        <v>0</v>
      </c>
      <c r="P1315" s="5">
        <v>12500</v>
      </c>
      <c r="Q1315" s="3">
        <v>0</v>
      </c>
      <c r="R1315" s="3">
        <v>0</v>
      </c>
      <c r="S1315" s="3">
        <v>0</v>
      </c>
      <c r="T1315" s="3">
        <v>100</v>
      </c>
      <c r="U1315" s="3">
        <v>0</v>
      </c>
      <c r="V1315" s="3">
        <v>0</v>
      </c>
      <c r="W1315" s="3">
        <v>0</v>
      </c>
      <c r="X1315" s="5">
        <v>1200</v>
      </c>
      <c r="Y1315" s="3">
        <v>0</v>
      </c>
      <c r="Z1315" s="5">
        <v>2000</v>
      </c>
      <c r="AA1315" s="5">
        <v>16000</v>
      </c>
      <c r="AB1315" s="6">
        <v>173100</v>
      </c>
      <c r="AC1315" s="2" t="str">
        <f>VLOOKUP(E1315,'[1]Detailed Transfer Report (12)'!$K:$Y,13,FALSE)</f>
        <v>Abdul Mannan</v>
      </c>
      <c r="AD1315" s="2" t="str">
        <f>VLOOKUP(E1315,'[1]Detailed Transfer Report (12)'!$K:$Y,14,FALSE)</f>
        <v>Sardar Tanveer Ilyas</v>
      </c>
      <c r="AE1315" s="16">
        <f>VLOOKUP(E1315,'[1]Detailed Transfer Report (12)'!$K:$Y,15,FALSE)</f>
        <v>45160</v>
      </c>
    </row>
    <row r="1316" spans="1:31" x14ac:dyDescent="0.25">
      <c r="A1316" s="7">
        <v>687</v>
      </c>
      <c r="B1316" s="4">
        <v>45161</v>
      </c>
      <c r="C1316" s="3" t="s">
        <v>51</v>
      </c>
      <c r="D1316" s="3" t="s">
        <v>1651</v>
      </c>
      <c r="E1316" s="3">
        <v>6088</v>
      </c>
      <c r="F1316" s="3">
        <v>28783</v>
      </c>
      <c r="G1316" s="3" t="s">
        <v>756</v>
      </c>
      <c r="H1316" s="3">
        <v>0</v>
      </c>
      <c r="I1316" s="3">
        <v>0</v>
      </c>
      <c r="J1316" s="5">
        <v>61500</v>
      </c>
      <c r="K1316" s="3">
        <v>0</v>
      </c>
      <c r="L1316" s="3">
        <v>0</v>
      </c>
      <c r="M1316" s="3">
        <v>0</v>
      </c>
      <c r="N1316" s="5">
        <v>20500</v>
      </c>
      <c r="O1316" s="3">
        <v>0</v>
      </c>
      <c r="P1316" s="5">
        <v>21500</v>
      </c>
      <c r="Q1316" s="3">
        <v>0</v>
      </c>
      <c r="R1316" s="5">
        <v>123000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5">
        <v>1300</v>
      </c>
      <c r="Y1316" s="3">
        <v>0</v>
      </c>
      <c r="Z1316" s="5">
        <v>2000</v>
      </c>
      <c r="AA1316" s="5">
        <v>16000</v>
      </c>
      <c r="AB1316" s="6">
        <v>245800</v>
      </c>
      <c r="AC1316" s="2" t="str">
        <f>VLOOKUP(E1316,'[1]Detailed Transfer Report (12)'!$K:$Y,13,FALSE)</f>
        <v>Mumtaz Abbasi</v>
      </c>
      <c r="AD1316" s="2" t="str">
        <f>VLOOKUP(E1316,'[1]Detailed Transfer Report (12)'!$K:$Y,14,FALSE)</f>
        <v>Sardar Tanveer Ilyas</v>
      </c>
      <c r="AE1316" s="16">
        <f>VLOOKUP(E1316,'[1]Detailed Transfer Report (12)'!$K:$Y,15,FALSE)</f>
        <v>45265</v>
      </c>
    </row>
    <row r="1317" spans="1:31" x14ac:dyDescent="0.25">
      <c r="A1317" s="10">
        <v>687</v>
      </c>
      <c r="B1317" s="4">
        <v>45161</v>
      </c>
      <c r="C1317" s="3" t="s">
        <v>1656</v>
      </c>
      <c r="D1317" s="3" t="s">
        <v>1651</v>
      </c>
      <c r="E1317" s="3"/>
      <c r="F1317" s="3">
        <v>28978</v>
      </c>
      <c r="G1317" s="3" t="s">
        <v>756</v>
      </c>
      <c r="H1317" s="3">
        <v>0</v>
      </c>
      <c r="I1317" s="3">
        <v>0</v>
      </c>
      <c r="J1317" s="5">
        <v>115500</v>
      </c>
      <c r="K1317" s="3">
        <v>0</v>
      </c>
      <c r="L1317" s="3">
        <v>0</v>
      </c>
      <c r="M1317" s="3">
        <v>0</v>
      </c>
      <c r="N1317" s="5">
        <v>38500</v>
      </c>
      <c r="O1317" s="3">
        <v>0</v>
      </c>
      <c r="P1317" s="5">
        <v>39500</v>
      </c>
      <c r="Q1317" s="3">
        <v>0</v>
      </c>
      <c r="R1317" s="5">
        <v>231000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5">
        <v>1300</v>
      </c>
      <c r="Y1317" s="3">
        <v>0</v>
      </c>
      <c r="Z1317" s="5">
        <v>2000</v>
      </c>
      <c r="AA1317" s="5">
        <v>38500</v>
      </c>
      <c r="AB1317" s="6">
        <v>712100</v>
      </c>
      <c r="AC1317" s="2" t="str">
        <f>VLOOKUP(F1317,'[1]Detailed Transfer Report (12)'!$L:$Y,12,FALSE)</f>
        <v>Laraib Asad</v>
      </c>
      <c r="AD1317" s="2" t="str">
        <f>VLOOKUP(F1317,'[1]Detailed Transfer Report (12)'!$L:$Y,13,FALSE)</f>
        <v>Sardar Tanveer Ilyas</v>
      </c>
      <c r="AE1317" s="16"/>
    </row>
    <row r="1318" spans="1:31" x14ac:dyDescent="0.25">
      <c r="A1318" s="3">
        <v>688</v>
      </c>
      <c r="B1318" s="4">
        <v>45161</v>
      </c>
      <c r="C1318" s="3" t="s">
        <v>153</v>
      </c>
      <c r="D1318" s="3" t="s">
        <v>822</v>
      </c>
      <c r="E1318" s="3">
        <v>6049</v>
      </c>
      <c r="F1318" s="3">
        <v>23877</v>
      </c>
      <c r="G1318" s="3" t="s">
        <v>756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8">
        <v>0</v>
      </c>
      <c r="AC1318" s="2" t="str">
        <f>VLOOKUP(E1318,'[1]Detailed Transfer Report (12)'!$K:$Y,13,FALSE)</f>
        <v>Ameer Aslam</v>
      </c>
      <c r="AD1318" s="2" t="str">
        <f>VLOOKUP(E1318,'[1]Detailed Transfer Report (12)'!$K:$Y,14,FALSE)</f>
        <v>Sardar Tanveer Ilyas</v>
      </c>
      <c r="AE1318" s="16">
        <f>VLOOKUP(E1318,'[1]Detailed Transfer Report (12)'!$K:$Y,15,FALSE)</f>
        <v>45177</v>
      </c>
    </row>
    <row r="1319" spans="1:31" x14ac:dyDescent="0.25">
      <c r="A1319" s="3">
        <v>689</v>
      </c>
      <c r="B1319" s="4">
        <v>45164</v>
      </c>
      <c r="C1319" s="3" t="s">
        <v>44</v>
      </c>
      <c r="D1319" s="3" t="s">
        <v>1657</v>
      </c>
      <c r="E1319" s="3"/>
      <c r="F1319" s="3">
        <v>22877</v>
      </c>
      <c r="G1319" s="3" t="s">
        <v>30</v>
      </c>
      <c r="H1319" s="3">
        <v>0</v>
      </c>
      <c r="I1319" s="3">
        <v>0</v>
      </c>
      <c r="J1319" s="5">
        <v>45000</v>
      </c>
      <c r="K1319" s="3">
        <v>0</v>
      </c>
      <c r="L1319" s="3">
        <v>0</v>
      </c>
      <c r="M1319" s="3">
        <v>0</v>
      </c>
      <c r="N1319" s="5">
        <v>15000</v>
      </c>
      <c r="O1319" s="3">
        <v>0</v>
      </c>
      <c r="P1319" s="5">
        <v>16000</v>
      </c>
      <c r="Q1319" s="3">
        <v>0</v>
      </c>
      <c r="R1319" s="5">
        <v>90000</v>
      </c>
      <c r="S1319" s="3">
        <v>0</v>
      </c>
      <c r="T1319" s="5">
        <v>8000</v>
      </c>
      <c r="U1319" s="3">
        <v>0</v>
      </c>
      <c r="V1319" s="5">
        <v>9000</v>
      </c>
      <c r="W1319" s="3">
        <v>0</v>
      </c>
      <c r="X1319" s="5">
        <v>1700</v>
      </c>
      <c r="Y1319" s="3">
        <v>0</v>
      </c>
      <c r="Z1319" s="5">
        <v>2000</v>
      </c>
      <c r="AA1319" s="5">
        <v>16000</v>
      </c>
      <c r="AB1319" s="6">
        <v>202700</v>
      </c>
      <c r="AC1319" s="2" t="str">
        <f>VLOOKUP(F1319,'[1]Detailed Transfer Report (12)'!$L:$Y,12,FALSE)</f>
        <v>Azam Elahi</v>
      </c>
      <c r="AD1319" s="2" t="str">
        <f>VLOOKUP(F1319,'[1]Detailed Transfer Report (12)'!$L:$Y,13,FALSE)</f>
        <v>Sardar Tanveer Ilyas</v>
      </c>
      <c r="AE1319" s="16"/>
    </row>
    <row r="1320" spans="1:31" x14ac:dyDescent="0.25">
      <c r="A1320" s="7">
        <v>690</v>
      </c>
      <c r="B1320" s="4">
        <v>45170</v>
      </c>
      <c r="C1320" s="3" t="s">
        <v>205</v>
      </c>
      <c r="D1320" s="3" t="s">
        <v>822</v>
      </c>
      <c r="E1320" s="3">
        <v>4160</v>
      </c>
      <c r="F1320" s="3">
        <v>24611</v>
      </c>
      <c r="G1320" s="3" t="s">
        <v>1179</v>
      </c>
      <c r="H1320" s="3">
        <v>0</v>
      </c>
      <c r="I1320" s="3">
        <v>0</v>
      </c>
      <c r="J1320" s="5">
        <v>25500</v>
      </c>
      <c r="K1320" s="3">
        <v>0</v>
      </c>
      <c r="L1320" s="3">
        <v>0</v>
      </c>
      <c r="M1320" s="3">
        <v>0</v>
      </c>
      <c r="N1320" s="5">
        <v>6500</v>
      </c>
      <c r="O1320" s="3">
        <v>0</v>
      </c>
      <c r="P1320" s="5">
        <v>7500</v>
      </c>
      <c r="Q1320" s="3">
        <v>0</v>
      </c>
      <c r="R1320" s="5">
        <v>51000</v>
      </c>
      <c r="S1320" s="5">
        <v>2700</v>
      </c>
      <c r="T1320" s="5">
        <v>8000</v>
      </c>
      <c r="U1320" s="3">
        <v>0</v>
      </c>
      <c r="V1320" s="3">
        <v>0</v>
      </c>
      <c r="W1320" s="3">
        <v>0</v>
      </c>
      <c r="X1320" s="5">
        <v>1300</v>
      </c>
      <c r="Y1320" s="3">
        <v>0</v>
      </c>
      <c r="Z1320" s="5">
        <v>2000</v>
      </c>
      <c r="AA1320" s="5">
        <v>16000</v>
      </c>
      <c r="AB1320" s="6">
        <v>120500</v>
      </c>
      <c r="AC1320" s="2" t="str">
        <f>VLOOKUP(E1320,'[1]Detailed Transfer Report (12)'!$K:$Y,13,FALSE)</f>
        <v>Farhat Hayat</v>
      </c>
      <c r="AD1320" s="2" t="str">
        <f>VLOOKUP(E1320,'[1]Detailed Transfer Report (12)'!$K:$Y,14,FALSE)</f>
        <v>Sardar Tanveer Ilyas</v>
      </c>
      <c r="AE1320" s="16">
        <f>VLOOKUP(E1320,'[1]Detailed Transfer Report (12)'!$K:$Y,15,FALSE)</f>
        <v>45192</v>
      </c>
    </row>
    <row r="1321" spans="1:31" x14ac:dyDescent="0.25">
      <c r="A1321" s="9">
        <v>690</v>
      </c>
      <c r="B1321" s="4">
        <v>45170</v>
      </c>
      <c r="C1321" s="3" t="s">
        <v>153</v>
      </c>
      <c r="D1321" s="3" t="s">
        <v>1658</v>
      </c>
      <c r="E1321" s="3">
        <v>4162</v>
      </c>
      <c r="F1321" s="3">
        <v>24610</v>
      </c>
      <c r="G1321" s="3" t="s">
        <v>1179</v>
      </c>
      <c r="H1321" s="3">
        <v>0</v>
      </c>
      <c r="I1321" s="3">
        <v>0</v>
      </c>
      <c r="J1321" s="5">
        <v>21000</v>
      </c>
      <c r="K1321" s="3">
        <v>0</v>
      </c>
      <c r="L1321" s="3">
        <v>0</v>
      </c>
      <c r="M1321" s="3">
        <v>0</v>
      </c>
      <c r="N1321" s="5">
        <v>7000</v>
      </c>
      <c r="O1321" s="3">
        <v>0</v>
      </c>
      <c r="P1321" s="5">
        <v>8000</v>
      </c>
      <c r="Q1321" s="3">
        <v>0</v>
      </c>
      <c r="R1321" s="5">
        <v>42000</v>
      </c>
      <c r="S1321" s="3">
        <v>0</v>
      </c>
      <c r="T1321" s="5">
        <v>1300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5">
        <v>2000</v>
      </c>
      <c r="AA1321" s="5">
        <v>16000</v>
      </c>
      <c r="AB1321" s="6">
        <v>217800</v>
      </c>
      <c r="AC1321" s="2" t="str">
        <f>VLOOKUP(E1321,'[1]Detailed Transfer Report (12)'!$K:$Y,13,FALSE)</f>
        <v>Sadia Iftikhar</v>
      </c>
      <c r="AD1321" s="2" t="str">
        <f>VLOOKUP(E1321,'[1]Detailed Transfer Report (12)'!$K:$Y,14,FALSE)</f>
        <v>Sardar Tanveer Ilyas</v>
      </c>
      <c r="AE1321" s="16">
        <f>VLOOKUP(E1321,'[1]Detailed Transfer Report (12)'!$K:$Y,15,FALSE)</f>
        <v>45189</v>
      </c>
    </row>
    <row r="1322" spans="1:31" x14ac:dyDescent="0.25">
      <c r="A1322" s="10">
        <v>690</v>
      </c>
      <c r="B1322" s="4">
        <v>45170</v>
      </c>
      <c r="C1322" s="3" t="s">
        <v>1659</v>
      </c>
      <c r="D1322" s="3" t="s">
        <v>1651</v>
      </c>
      <c r="E1322" s="3">
        <v>4207</v>
      </c>
      <c r="F1322" s="3">
        <v>23469</v>
      </c>
      <c r="G1322" s="3" t="s">
        <v>1179</v>
      </c>
      <c r="H1322" s="3">
        <v>0</v>
      </c>
      <c r="I1322" s="3">
        <v>0</v>
      </c>
      <c r="J1322" s="5">
        <v>240000</v>
      </c>
      <c r="K1322" s="3">
        <v>0</v>
      </c>
      <c r="L1322" s="3">
        <v>0</v>
      </c>
      <c r="M1322" s="3">
        <v>0</v>
      </c>
      <c r="N1322" s="5">
        <v>80000</v>
      </c>
      <c r="O1322" s="3">
        <v>0</v>
      </c>
      <c r="P1322" s="5">
        <v>81000</v>
      </c>
      <c r="Q1322" s="3">
        <v>0</v>
      </c>
      <c r="R1322" s="5">
        <v>480000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5">
        <v>1300</v>
      </c>
      <c r="Y1322" s="3">
        <v>0</v>
      </c>
      <c r="Z1322" s="5">
        <v>2000</v>
      </c>
      <c r="AA1322" s="5">
        <v>80000</v>
      </c>
      <c r="AB1322" s="6">
        <v>1182100</v>
      </c>
      <c r="AC1322" s="2" t="str">
        <f>VLOOKUP(E1322,'[1]Detailed Transfer Report (12)'!$K:$Y,13,FALSE)</f>
        <v>Farakh Bibi</v>
      </c>
      <c r="AD1322" s="2" t="str">
        <f>VLOOKUP(E1322,'[1]Detailed Transfer Report (12)'!$K:$Y,14,FALSE)</f>
        <v>Sardar Tanveer Ilyas</v>
      </c>
      <c r="AE1322" s="16">
        <f>VLOOKUP(E1322,'[1]Detailed Transfer Report (12)'!$K:$Y,15,FALSE)</f>
        <v>45900</v>
      </c>
    </row>
    <row r="1323" spans="1:31" x14ac:dyDescent="0.25">
      <c r="A1323" s="3">
        <v>691</v>
      </c>
      <c r="B1323" s="4">
        <v>45174</v>
      </c>
      <c r="C1323" s="3" t="s">
        <v>137</v>
      </c>
      <c r="D1323" s="3" t="s">
        <v>1660</v>
      </c>
      <c r="E1323" s="3"/>
      <c r="F1323" s="3">
        <v>29003</v>
      </c>
      <c r="G1323" s="3" t="s">
        <v>30</v>
      </c>
      <c r="H1323" s="3">
        <v>0</v>
      </c>
      <c r="I1323" s="3">
        <v>0</v>
      </c>
      <c r="J1323" s="5">
        <v>22050</v>
      </c>
      <c r="K1323" s="3">
        <v>0</v>
      </c>
      <c r="L1323" s="3">
        <v>0</v>
      </c>
      <c r="M1323" s="3">
        <v>0</v>
      </c>
      <c r="N1323" s="5">
        <v>7350</v>
      </c>
      <c r="O1323" s="3">
        <v>0</v>
      </c>
      <c r="P1323" s="5">
        <v>8350</v>
      </c>
      <c r="Q1323" s="3">
        <v>0</v>
      </c>
      <c r="R1323" s="5">
        <v>44100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5">
        <v>1300</v>
      </c>
      <c r="Y1323" s="3">
        <v>0</v>
      </c>
      <c r="Z1323" s="5">
        <v>2000</v>
      </c>
      <c r="AA1323" s="5">
        <v>16000</v>
      </c>
      <c r="AB1323" s="6">
        <v>101150</v>
      </c>
      <c r="AC1323" s="2" t="str">
        <f>VLOOKUP(F1323,'[1]Detailed Transfer Report (12)'!$L:$Y,12,FALSE)</f>
        <v>Muhammad Iqbal</v>
      </c>
      <c r="AD1323" s="2" t="str">
        <f>VLOOKUP(F1323,'[1]Detailed Transfer Report (12)'!$L:$Y,13,FALSE)</f>
        <v>Sardar Tanveer Ilyas</v>
      </c>
      <c r="AE1323" s="16"/>
    </row>
    <row r="1324" spans="1:31" x14ac:dyDescent="0.25">
      <c r="A1324" s="3">
        <v>692</v>
      </c>
      <c r="B1324" s="4">
        <v>45195</v>
      </c>
      <c r="C1324" s="3" t="s">
        <v>1114</v>
      </c>
      <c r="D1324" s="3" t="s">
        <v>1642</v>
      </c>
      <c r="E1324" s="3">
        <v>6043</v>
      </c>
      <c r="F1324" s="3">
        <v>26221</v>
      </c>
      <c r="G1324" s="3" t="s">
        <v>756</v>
      </c>
      <c r="H1324" s="3">
        <v>0</v>
      </c>
      <c r="I1324" s="3">
        <v>0</v>
      </c>
      <c r="J1324" s="5">
        <v>154500</v>
      </c>
      <c r="K1324" s="3">
        <v>0</v>
      </c>
      <c r="L1324" s="3">
        <v>0</v>
      </c>
      <c r="M1324" s="3">
        <v>0</v>
      </c>
      <c r="N1324" s="5">
        <v>51500</v>
      </c>
      <c r="O1324" s="3">
        <v>0</v>
      </c>
      <c r="P1324" s="5">
        <v>52500</v>
      </c>
      <c r="Q1324" s="3">
        <v>0</v>
      </c>
      <c r="R1324" s="5">
        <v>309000</v>
      </c>
      <c r="S1324" s="3">
        <v>0</v>
      </c>
      <c r="T1324" s="5">
        <v>8000</v>
      </c>
      <c r="U1324" s="3">
        <v>0</v>
      </c>
      <c r="V1324" s="5">
        <v>25650</v>
      </c>
      <c r="W1324" s="3">
        <v>0</v>
      </c>
      <c r="X1324" s="5">
        <v>1300</v>
      </c>
      <c r="Y1324" s="3">
        <v>0</v>
      </c>
      <c r="Z1324" s="5">
        <v>2000</v>
      </c>
      <c r="AA1324" s="5">
        <v>28500</v>
      </c>
      <c r="AB1324" s="6">
        <v>632950</v>
      </c>
      <c r="AC1324" s="2" t="str">
        <f>VLOOKUP(E1324,'[1]Detailed Transfer Report (12)'!$K:$Y,13,FALSE)</f>
        <v>Rukhsana</v>
      </c>
      <c r="AD1324" s="2" t="str">
        <f>VLOOKUP(E1324,'[1]Detailed Transfer Report (12)'!$K:$Y,14,FALSE)</f>
        <v>Sardar Tanveer Ilyas</v>
      </c>
      <c r="AE1324" s="16">
        <f>VLOOKUP(E1324,'[1]Detailed Transfer Report (12)'!$K:$Y,15,FALSE)</f>
        <v>45226</v>
      </c>
    </row>
    <row r="1325" spans="1:31" x14ac:dyDescent="0.25">
      <c r="A1325" s="3">
        <v>693</v>
      </c>
      <c r="B1325" s="4">
        <v>45195</v>
      </c>
      <c r="C1325" s="3" t="s">
        <v>1661</v>
      </c>
      <c r="D1325" s="3" t="s">
        <v>585</v>
      </c>
      <c r="E1325" s="3">
        <v>747</v>
      </c>
      <c r="F1325" s="3">
        <v>26542</v>
      </c>
      <c r="G1325" s="3" t="s">
        <v>41</v>
      </c>
      <c r="H1325" s="3">
        <v>0</v>
      </c>
      <c r="I1325" s="3">
        <v>0</v>
      </c>
      <c r="J1325" s="5">
        <v>54000</v>
      </c>
      <c r="K1325" s="3">
        <v>0</v>
      </c>
      <c r="L1325" s="3">
        <v>0</v>
      </c>
      <c r="M1325" s="3">
        <v>0</v>
      </c>
      <c r="N1325" s="5">
        <v>18000</v>
      </c>
      <c r="O1325" s="3">
        <v>0</v>
      </c>
      <c r="P1325" s="5">
        <v>19000</v>
      </c>
      <c r="Q1325" s="3">
        <v>0</v>
      </c>
      <c r="R1325" s="5">
        <v>108000</v>
      </c>
      <c r="S1325" s="3">
        <v>0</v>
      </c>
      <c r="T1325" s="5">
        <v>1300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5">
        <v>2000</v>
      </c>
      <c r="AA1325" s="5">
        <v>16000</v>
      </c>
      <c r="AB1325" s="6">
        <v>218300</v>
      </c>
      <c r="AC1325" s="2" t="str">
        <f>VLOOKUP(E1325,'[1]Detailed Transfer Report (12)'!$K:$Y,13,FALSE)</f>
        <v>Farzan Bibi</v>
      </c>
      <c r="AD1325" s="2" t="str">
        <f>VLOOKUP(E1325,'[1]Detailed Transfer Report (12)'!$K:$Y,14,FALSE)</f>
        <v>Sardar Tanveer Ilyas</v>
      </c>
      <c r="AE1325" s="16">
        <f>VLOOKUP(E1325,'[1]Detailed Transfer Report (12)'!$K:$Y,15,FALSE)</f>
        <v>45230</v>
      </c>
    </row>
    <row r="1326" spans="1:31" x14ac:dyDescent="0.25">
      <c r="A1326" s="7">
        <v>694</v>
      </c>
      <c r="B1326" s="4">
        <v>45195</v>
      </c>
      <c r="C1326" s="3" t="s">
        <v>153</v>
      </c>
      <c r="D1326" s="3" t="s">
        <v>822</v>
      </c>
      <c r="E1326" s="3"/>
      <c r="F1326" s="3"/>
      <c r="G1326" s="3" t="s">
        <v>756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8">
        <v>0</v>
      </c>
      <c r="AE1326" s="16"/>
    </row>
    <row r="1327" spans="1:31" x14ac:dyDescent="0.25">
      <c r="A1327" s="9">
        <v>694</v>
      </c>
      <c r="B1327" s="4">
        <v>45195</v>
      </c>
      <c r="C1327" s="3" t="s">
        <v>44</v>
      </c>
      <c r="D1327" s="3" t="s">
        <v>822</v>
      </c>
      <c r="E1327" s="3"/>
      <c r="F1327" s="3">
        <v>23314</v>
      </c>
      <c r="G1327" s="3" t="s">
        <v>756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8">
        <v>0</v>
      </c>
      <c r="AC1327" s="2" t="str">
        <f>VLOOKUP(F1327,'[1]Detailed Transfer Report (12)'!$L:$Y,12,FALSE)</f>
        <v>Muswara Shaheen</v>
      </c>
      <c r="AD1327" s="2" t="str">
        <f>VLOOKUP(F1327,'[1]Detailed Transfer Report (12)'!$L:$Y,13,FALSE)</f>
        <v>Sardar Tanveer Ilyas</v>
      </c>
      <c r="AE1327" s="16"/>
    </row>
    <row r="1328" spans="1:31" x14ac:dyDescent="0.25">
      <c r="A1328" s="9">
        <v>694</v>
      </c>
      <c r="B1328" s="4">
        <v>45488</v>
      </c>
      <c r="C1328" s="3" t="s">
        <v>137</v>
      </c>
      <c r="D1328" s="3" t="s">
        <v>1662</v>
      </c>
      <c r="E1328" s="3"/>
      <c r="F1328" s="3">
        <v>11955054</v>
      </c>
      <c r="G1328" s="3" t="s">
        <v>756</v>
      </c>
      <c r="H1328" s="3">
        <v>0</v>
      </c>
      <c r="I1328" s="3">
        <v>0</v>
      </c>
      <c r="J1328" s="5">
        <v>60000</v>
      </c>
      <c r="K1328" s="3">
        <v>0</v>
      </c>
      <c r="L1328" s="3">
        <v>0</v>
      </c>
      <c r="M1328" s="3">
        <v>0</v>
      </c>
      <c r="N1328" s="5">
        <v>10000</v>
      </c>
      <c r="O1328" s="3">
        <v>0</v>
      </c>
      <c r="P1328" s="5">
        <v>11000</v>
      </c>
      <c r="Q1328" s="3">
        <v>0</v>
      </c>
      <c r="R1328" s="5">
        <v>100000</v>
      </c>
      <c r="S1328" s="3">
        <v>0</v>
      </c>
      <c r="T1328" s="5">
        <v>8000</v>
      </c>
      <c r="U1328" s="3">
        <v>0</v>
      </c>
      <c r="V1328" s="3">
        <v>0</v>
      </c>
      <c r="W1328" s="3">
        <v>0</v>
      </c>
      <c r="X1328" s="5">
        <v>1700</v>
      </c>
      <c r="Y1328" s="3">
        <v>0</v>
      </c>
      <c r="Z1328" s="5">
        <v>2000</v>
      </c>
      <c r="AA1328" s="5">
        <v>16000</v>
      </c>
      <c r="AB1328" s="6">
        <v>208700</v>
      </c>
      <c r="AC1328" s="2" t="str">
        <f>VLOOKUP(F1328,'[1]Detailed Transfer Report (12)'!$L:$Y,12,FALSE)</f>
        <v>Ansar Bibi</v>
      </c>
      <c r="AD1328" s="2" t="str">
        <f>VLOOKUP(F1328,'[1]Detailed Transfer Report (12)'!$L:$Y,13,FALSE)</f>
        <v>Sardar Tanveer Ilyas</v>
      </c>
      <c r="AE1328" s="16"/>
    </row>
    <row r="1329" spans="1:31" x14ac:dyDescent="0.25">
      <c r="A1329" s="9">
        <v>694</v>
      </c>
      <c r="B1329" s="4">
        <v>45488</v>
      </c>
      <c r="C1329" s="3" t="s">
        <v>1663</v>
      </c>
      <c r="D1329" s="3" t="s">
        <v>1662</v>
      </c>
      <c r="E1329" s="3"/>
      <c r="F1329" s="3">
        <v>11956885</v>
      </c>
      <c r="G1329" s="3" t="s">
        <v>756</v>
      </c>
      <c r="H1329" s="3">
        <v>0</v>
      </c>
      <c r="I1329" s="5">
        <v>18500</v>
      </c>
      <c r="J1329" s="5">
        <v>110000</v>
      </c>
      <c r="K1329" s="3">
        <v>0</v>
      </c>
      <c r="L1329" s="3">
        <v>0</v>
      </c>
      <c r="M1329" s="3">
        <v>0</v>
      </c>
      <c r="N1329" s="5">
        <v>18500</v>
      </c>
      <c r="O1329" s="3">
        <v>0</v>
      </c>
      <c r="P1329" s="5">
        <v>19500</v>
      </c>
      <c r="Q1329" s="3">
        <v>0</v>
      </c>
      <c r="R1329" s="5">
        <v>120250</v>
      </c>
      <c r="S1329" s="3">
        <v>0</v>
      </c>
      <c r="T1329" s="5">
        <v>8000</v>
      </c>
      <c r="U1329" s="3">
        <v>0</v>
      </c>
      <c r="V1329" s="3">
        <v>0</v>
      </c>
      <c r="W1329" s="3">
        <v>0</v>
      </c>
      <c r="X1329" s="5">
        <v>1700</v>
      </c>
      <c r="Y1329" s="3">
        <v>0</v>
      </c>
      <c r="Z1329" s="5">
        <v>2000</v>
      </c>
      <c r="AA1329" s="5">
        <v>16000</v>
      </c>
      <c r="AB1329" s="6">
        <v>523150</v>
      </c>
      <c r="AC1329" s="2" t="str">
        <f>VLOOKUP(F1329,'[1]Detailed Transfer Report (12)'!$L:$Y,12,FALSE)</f>
        <v>Azka Younas</v>
      </c>
      <c r="AD1329" s="2" t="str">
        <f>VLOOKUP(F1329,'[1]Detailed Transfer Report (12)'!$L:$Y,13,FALSE)</f>
        <v>Sardar Tanveer Ilyas</v>
      </c>
      <c r="AE1329" s="16"/>
    </row>
    <row r="1330" spans="1:31" x14ac:dyDescent="0.25">
      <c r="A1330" s="9">
        <v>694</v>
      </c>
      <c r="B1330" s="4">
        <v>45488</v>
      </c>
      <c r="C1330" s="3" t="s">
        <v>44</v>
      </c>
      <c r="D1330" s="3" t="s">
        <v>1662</v>
      </c>
      <c r="E1330" s="3"/>
      <c r="F1330" s="3">
        <v>11955074</v>
      </c>
      <c r="G1330" s="3" t="s">
        <v>756</v>
      </c>
      <c r="H1330" s="3">
        <v>0</v>
      </c>
      <c r="I1330" s="5">
        <v>19800</v>
      </c>
      <c r="J1330" s="5">
        <v>118800</v>
      </c>
      <c r="K1330" s="3">
        <v>0</v>
      </c>
      <c r="L1330" s="3">
        <v>0</v>
      </c>
      <c r="M1330" s="3">
        <v>0</v>
      </c>
      <c r="N1330" s="5">
        <v>19800</v>
      </c>
      <c r="O1330" s="3">
        <v>0</v>
      </c>
      <c r="P1330" s="5">
        <v>20800</v>
      </c>
      <c r="Q1330" s="3">
        <v>0</v>
      </c>
      <c r="R1330" s="5">
        <v>118800</v>
      </c>
      <c r="S1330" s="3">
        <v>0</v>
      </c>
      <c r="T1330" s="5">
        <v>8000</v>
      </c>
      <c r="U1330" s="3">
        <v>0</v>
      </c>
      <c r="V1330" s="3">
        <v>0</v>
      </c>
      <c r="W1330" s="3">
        <v>0</v>
      </c>
      <c r="X1330" s="5">
        <v>1700</v>
      </c>
      <c r="Y1330" s="3">
        <v>0</v>
      </c>
      <c r="Z1330" s="5">
        <v>2000</v>
      </c>
      <c r="AA1330" s="5">
        <v>16000</v>
      </c>
      <c r="AB1330" s="6">
        <v>848850</v>
      </c>
      <c r="AC1330" s="2" t="str">
        <f>VLOOKUP(F1330,'[1]Detailed Transfer Report (12)'!$L:$Y,12,FALSE)</f>
        <v>Waqas Younis</v>
      </c>
      <c r="AD1330" s="2" t="str">
        <f>VLOOKUP(F1330,'[1]Detailed Transfer Report (12)'!$L:$Y,13,FALSE)</f>
        <v>Sardar Tanveer Ilyas</v>
      </c>
      <c r="AE1330" s="16"/>
    </row>
    <row r="1331" spans="1:31" x14ac:dyDescent="0.25">
      <c r="A1331" s="9">
        <v>694</v>
      </c>
      <c r="B1331" s="4">
        <v>45195</v>
      </c>
      <c r="C1331" s="3" t="s">
        <v>153</v>
      </c>
      <c r="D1331" s="3" t="s">
        <v>1642</v>
      </c>
      <c r="E1331" s="3">
        <v>6061</v>
      </c>
      <c r="F1331" s="3">
        <v>28206</v>
      </c>
      <c r="G1331" s="3" t="s">
        <v>756</v>
      </c>
      <c r="H1331" s="3">
        <v>0</v>
      </c>
      <c r="I1331" s="3">
        <v>0</v>
      </c>
      <c r="J1331" s="5">
        <v>13650</v>
      </c>
      <c r="K1331" s="3">
        <v>0</v>
      </c>
      <c r="L1331" s="3">
        <v>0</v>
      </c>
      <c r="M1331" s="3">
        <v>0</v>
      </c>
      <c r="N1331" s="5">
        <v>4550</v>
      </c>
      <c r="O1331" s="3">
        <v>0</v>
      </c>
      <c r="P1331" s="5">
        <v>5050</v>
      </c>
      <c r="Q1331" s="3">
        <v>0</v>
      </c>
      <c r="R1331" s="5">
        <v>27300</v>
      </c>
      <c r="S1331" s="3">
        <v>0</v>
      </c>
      <c r="T1331" s="5">
        <v>8000</v>
      </c>
      <c r="U1331" s="3">
        <v>0</v>
      </c>
      <c r="V1331" s="5">
        <v>2250</v>
      </c>
      <c r="W1331" s="3">
        <v>0</v>
      </c>
      <c r="X1331" s="5">
        <v>1300</v>
      </c>
      <c r="Y1331" s="3">
        <v>0</v>
      </c>
      <c r="Z1331" s="5">
        <v>2000</v>
      </c>
      <c r="AA1331" s="5">
        <v>16000</v>
      </c>
      <c r="AB1331" s="6">
        <v>928950</v>
      </c>
      <c r="AC1331" s="2" t="str">
        <f>VLOOKUP(E1331,'[1]Detailed Transfer Report (12)'!$K:$Y,13,FALSE)</f>
        <v>Waqar Younis</v>
      </c>
      <c r="AD1331" s="2" t="str">
        <f>VLOOKUP(E1331,'[1]Detailed Transfer Report (12)'!$K:$Y,14,FALSE)</f>
        <v>Sardar Tanveer Ilyas</v>
      </c>
      <c r="AE1331" s="16">
        <f>VLOOKUP(E1331,'[1]Detailed Transfer Report (12)'!$K:$Y,15,FALSE)</f>
        <v>45255</v>
      </c>
    </row>
    <row r="1332" spans="1:31" x14ac:dyDescent="0.25">
      <c r="A1332" s="9">
        <v>694</v>
      </c>
      <c r="B1332" s="4">
        <v>45488</v>
      </c>
      <c r="C1332" s="3" t="s">
        <v>271</v>
      </c>
      <c r="D1332" s="3" t="s">
        <v>1662</v>
      </c>
      <c r="E1332" s="3"/>
      <c r="F1332" s="3">
        <v>11956863</v>
      </c>
      <c r="G1332" s="3" t="s">
        <v>756</v>
      </c>
      <c r="H1332" s="3">
        <v>0</v>
      </c>
      <c r="I1332" s="5">
        <v>6300</v>
      </c>
      <c r="J1332" s="5">
        <v>37800</v>
      </c>
      <c r="K1332" s="3">
        <v>0</v>
      </c>
      <c r="L1332" s="3">
        <v>0</v>
      </c>
      <c r="M1332" s="3">
        <v>0</v>
      </c>
      <c r="N1332" s="5">
        <v>6300</v>
      </c>
      <c r="O1332" s="3">
        <v>0</v>
      </c>
      <c r="P1332" s="5">
        <v>7300</v>
      </c>
      <c r="Q1332" s="3">
        <v>0</v>
      </c>
      <c r="R1332" s="5">
        <v>63000</v>
      </c>
      <c r="S1332" s="3">
        <v>0</v>
      </c>
      <c r="T1332" s="5">
        <v>8000</v>
      </c>
      <c r="U1332" s="3">
        <v>0</v>
      </c>
      <c r="V1332" s="3">
        <v>0</v>
      </c>
      <c r="W1332" s="3">
        <v>0</v>
      </c>
      <c r="X1332" s="5">
        <v>1700</v>
      </c>
      <c r="Y1332" s="3">
        <v>0</v>
      </c>
      <c r="Z1332" s="5">
        <v>2000</v>
      </c>
      <c r="AA1332" s="5">
        <v>16000</v>
      </c>
      <c r="AB1332" s="6">
        <v>1077350</v>
      </c>
      <c r="AC1332" s="2" t="str">
        <f>VLOOKUP(F1332,'[1]Detailed Transfer Report (12)'!$L:$Y,12,FALSE)</f>
        <v>Azka Younas</v>
      </c>
      <c r="AD1332" s="2" t="str">
        <f>VLOOKUP(F1332,'[1]Detailed Transfer Report (12)'!$L:$Y,13,FALSE)</f>
        <v>Sardar Tanveer Ilyas</v>
      </c>
      <c r="AE1332" s="16"/>
    </row>
    <row r="1333" spans="1:31" x14ac:dyDescent="0.25">
      <c r="A1333" s="9">
        <v>694</v>
      </c>
      <c r="B1333" s="4">
        <v>45195</v>
      </c>
      <c r="C1333" s="3" t="s">
        <v>153</v>
      </c>
      <c r="D1333" s="3" t="s">
        <v>1664</v>
      </c>
      <c r="E1333" s="3">
        <v>6045</v>
      </c>
      <c r="F1333" s="3">
        <v>24459</v>
      </c>
      <c r="G1333" s="3" t="s">
        <v>756</v>
      </c>
      <c r="H1333" s="3">
        <v>0</v>
      </c>
      <c r="I1333" s="3">
        <v>0</v>
      </c>
      <c r="J1333" s="5">
        <v>15000</v>
      </c>
      <c r="K1333" s="3">
        <v>0</v>
      </c>
      <c r="L1333" s="3">
        <v>0</v>
      </c>
      <c r="M1333" s="3">
        <v>0</v>
      </c>
      <c r="N1333" s="5">
        <v>5000</v>
      </c>
      <c r="O1333" s="3">
        <v>0</v>
      </c>
      <c r="P1333" s="5">
        <v>5500</v>
      </c>
      <c r="Q1333" s="3">
        <v>0</v>
      </c>
      <c r="R1333" s="5">
        <v>30000</v>
      </c>
      <c r="S1333" s="3">
        <v>0</v>
      </c>
      <c r="T1333" s="5">
        <v>1300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5">
        <v>2000</v>
      </c>
      <c r="AA1333" s="5">
        <v>16000</v>
      </c>
      <c r="AB1333" s="6">
        <v>1152150</v>
      </c>
      <c r="AC1333" s="2" t="str">
        <f>VLOOKUP(E1333,'[1]Detailed Transfer Report (12)'!$K:$Y,13,FALSE)</f>
        <v>Wahnar Shahzad</v>
      </c>
      <c r="AD1333" s="2" t="str">
        <f>VLOOKUP(E1333,'[1]Detailed Transfer Report (12)'!$K:$Y,14,FALSE)</f>
        <v>Sardar Tanveer Ilyas</v>
      </c>
      <c r="AE1333" s="16">
        <f>VLOOKUP(E1333,'[1]Detailed Transfer Report (12)'!$K:$Y,15,FALSE)</f>
        <v>45187</v>
      </c>
    </row>
    <row r="1334" spans="1:31" x14ac:dyDescent="0.25">
      <c r="A1334" s="10">
        <v>694</v>
      </c>
      <c r="B1334" s="4">
        <v>45195</v>
      </c>
      <c r="C1334" s="3" t="s">
        <v>153</v>
      </c>
      <c r="D1334" s="3" t="s">
        <v>1664</v>
      </c>
      <c r="E1334" s="3">
        <v>6044</v>
      </c>
      <c r="F1334" s="3">
        <v>24460</v>
      </c>
      <c r="G1334" s="3" t="s">
        <v>756</v>
      </c>
      <c r="H1334" s="3">
        <v>0</v>
      </c>
      <c r="I1334" s="3">
        <v>0</v>
      </c>
      <c r="J1334" s="5">
        <v>15000</v>
      </c>
      <c r="K1334" s="3">
        <v>0</v>
      </c>
      <c r="L1334" s="3">
        <v>0</v>
      </c>
      <c r="M1334" s="3">
        <v>0</v>
      </c>
      <c r="N1334" s="5">
        <v>5000</v>
      </c>
      <c r="O1334" s="3">
        <v>0</v>
      </c>
      <c r="P1334" s="5">
        <v>5500</v>
      </c>
      <c r="Q1334" s="3">
        <v>0</v>
      </c>
      <c r="R1334" s="5">
        <v>30000</v>
      </c>
      <c r="S1334" s="3">
        <v>0</v>
      </c>
      <c r="T1334" s="5">
        <v>1300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5">
        <v>2000</v>
      </c>
      <c r="AA1334" s="5">
        <v>16000</v>
      </c>
      <c r="AB1334" s="6">
        <v>1226950</v>
      </c>
      <c r="AC1334" s="2" t="str">
        <f>VLOOKUP(E1334,'[1]Detailed Transfer Report (12)'!$K:$Y,13,FALSE)</f>
        <v>Hudaibia Shahzad</v>
      </c>
      <c r="AD1334" s="2" t="str">
        <f>VLOOKUP(E1334,'[1]Detailed Transfer Report (12)'!$K:$Y,14,FALSE)</f>
        <v>Sardar Tanveer Ilyas</v>
      </c>
      <c r="AE1334" s="16">
        <f>VLOOKUP(E1334,'[1]Detailed Transfer Report (12)'!$K:$Y,15,FALSE)</f>
        <v>45187</v>
      </c>
    </row>
    <row r="1335" spans="1:31" x14ac:dyDescent="0.25">
      <c r="A1335" s="3">
        <v>695</v>
      </c>
      <c r="B1335" s="4">
        <v>45195</v>
      </c>
      <c r="C1335" s="3" t="s">
        <v>304</v>
      </c>
      <c r="D1335" s="3" t="s">
        <v>1628</v>
      </c>
      <c r="E1335" s="3"/>
      <c r="F1335" s="3">
        <v>26129</v>
      </c>
      <c r="G1335" s="3" t="s">
        <v>30</v>
      </c>
      <c r="H1335" s="3">
        <v>0</v>
      </c>
      <c r="I1335" s="3">
        <v>0</v>
      </c>
      <c r="J1335" s="5">
        <v>81300</v>
      </c>
      <c r="K1335" s="3">
        <v>0</v>
      </c>
      <c r="L1335" s="3">
        <v>0</v>
      </c>
      <c r="M1335" s="3">
        <v>0</v>
      </c>
      <c r="N1335" s="5">
        <v>27100</v>
      </c>
      <c r="O1335" s="3">
        <v>0</v>
      </c>
      <c r="P1335" s="5">
        <v>28100</v>
      </c>
      <c r="Q1335" s="3">
        <v>0</v>
      </c>
      <c r="R1335" s="5">
        <v>162600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5">
        <v>1300</v>
      </c>
      <c r="Y1335" s="3">
        <v>0</v>
      </c>
      <c r="Z1335" s="5">
        <v>2000</v>
      </c>
      <c r="AA1335" s="5">
        <v>16000</v>
      </c>
      <c r="AB1335" s="6">
        <v>318400</v>
      </c>
      <c r="AC1335" s="2" t="str">
        <f>VLOOKUP(F1335,'[1]Detailed Transfer Report (12)'!$L:$Y,12,FALSE)</f>
        <v>Azam Elahi</v>
      </c>
      <c r="AD1335" s="2" t="str">
        <f>VLOOKUP(F1335,'[1]Detailed Transfer Report (12)'!$L:$Y,13,FALSE)</f>
        <v>Sardar Tanveer Ilyas</v>
      </c>
      <c r="AE1335" s="16"/>
    </row>
    <row r="1336" spans="1:31" x14ac:dyDescent="0.25">
      <c r="A1336" s="7">
        <v>696</v>
      </c>
      <c r="B1336" s="4">
        <v>45196</v>
      </c>
      <c r="C1336" s="3" t="s">
        <v>1665</v>
      </c>
      <c r="D1336" s="3" t="s">
        <v>822</v>
      </c>
      <c r="E1336" s="3"/>
      <c r="F1336" s="3"/>
      <c r="G1336" s="3" t="s">
        <v>756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8">
        <v>0</v>
      </c>
      <c r="AE1336" s="16"/>
    </row>
    <row r="1337" spans="1:31" x14ac:dyDescent="0.25">
      <c r="A1337" s="9">
        <v>696</v>
      </c>
      <c r="B1337" s="4">
        <v>45226</v>
      </c>
      <c r="C1337" s="3" t="s">
        <v>1666</v>
      </c>
      <c r="D1337" s="3" t="s">
        <v>822</v>
      </c>
      <c r="E1337" s="3">
        <v>4218</v>
      </c>
      <c r="F1337" s="3">
        <v>10962</v>
      </c>
      <c r="G1337" s="3" t="s">
        <v>1179</v>
      </c>
      <c r="H1337" s="3">
        <v>0</v>
      </c>
      <c r="I1337" s="3">
        <v>0</v>
      </c>
      <c r="J1337" s="5">
        <v>915600</v>
      </c>
      <c r="K1337" s="3">
        <v>0</v>
      </c>
      <c r="L1337" s="3">
        <v>0</v>
      </c>
      <c r="M1337" s="3">
        <v>0</v>
      </c>
      <c r="N1337" s="5">
        <v>305200</v>
      </c>
      <c r="O1337" s="3">
        <v>0</v>
      </c>
      <c r="P1337" s="5">
        <v>306200</v>
      </c>
      <c r="Q1337" s="3">
        <v>0</v>
      </c>
      <c r="R1337" s="5">
        <v>1831200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5">
        <v>1300</v>
      </c>
      <c r="Y1337" s="3">
        <v>0</v>
      </c>
      <c r="Z1337" s="5">
        <v>2000</v>
      </c>
      <c r="AA1337" s="5">
        <v>112000</v>
      </c>
      <c r="AB1337" s="6">
        <v>3473500</v>
      </c>
      <c r="AC1337" s="2" t="str">
        <f>VLOOKUP(E1337,'[1]Detailed Transfer Report (12)'!$K:$Y,13,FALSE)</f>
        <v>Azmat Khan</v>
      </c>
      <c r="AD1337" s="2" t="str">
        <f>VLOOKUP(E1337,'[1]Detailed Transfer Report (12)'!$K:$Y,14,FALSE)</f>
        <v>Sardar Tanveer Ilyas</v>
      </c>
      <c r="AE1337" s="16">
        <f>VLOOKUP(E1337,'[1]Detailed Transfer Report (12)'!$K:$Y,15,FALSE)</f>
        <v>45238</v>
      </c>
    </row>
    <row r="1338" spans="1:31" x14ac:dyDescent="0.25">
      <c r="A1338" s="10">
        <v>696</v>
      </c>
      <c r="B1338" s="4">
        <v>45265</v>
      </c>
      <c r="C1338" s="3" t="s">
        <v>1667</v>
      </c>
      <c r="D1338" s="3" t="s">
        <v>1638</v>
      </c>
      <c r="E1338" s="3"/>
      <c r="F1338" s="3">
        <v>10848852</v>
      </c>
      <c r="G1338" s="3" t="s">
        <v>1179</v>
      </c>
      <c r="H1338" s="3">
        <v>0</v>
      </c>
      <c r="I1338" s="3">
        <v>0</v>
      </c>
      <c r="J1338" s="5">
        <v>43590</v>
      </c>
      <c r="K1338" s="3">
        <v>0</v>
      </c>
      <c r="L1338" s="3">
        <v>0</v>
      </c>
      <c r="M1338" s="3">
        <v>0</v>
      </c>
      <c r="N1338" s="5">
        <v>14530</v>
      </c>
      <c r="O1338" s="3">
        <v>0</v>
      </c>
      <c r="P1338" s="5">
        <v>15530</v>
      </c>
      <c r="Q1338" s="3">
        <v>0</v>
      </c>
      <c r="R1338" s="5">
        <v>87180</v>
      </c>
      <c r="S1338" s="3">
        <v>0</v>
      </c>
      <c r="T1338" s="5">
        <v>8000</v>
      </c>
      <c r="U1338" s="3">
        <v>0</v>
      </c>
      <c r="V1338" s="5">
        <v>2550</v>
      </c>
      <c r="W1338" s="3">
        <v>0</v>
      </c>
      <c r="X1338" s="5">
        <v>1300</v>
      </c>
      <c r="Y1338" s="3">
        <v>0</v>
      </c>
      <c r="Z1338" s="5">
        <v>2000</v>
      </c>
      <c r="AA1338" s="5">
        <v>16000</v>
      </c>
      <c r="AB1338" s="6">
        <v>3664180</v>
      </c>
      <c r="AC1338" s="2" t="str">
        <f>VLOOKUP(F1338,'[1]Detailed Transfer Report (12)'!$L:$Y,12,FALSE)</f>
        <v>Maroof Bibi</v>
      </c>
      <c r="AD1338" s="2" t="str">
        <f>VLOOKUP(F1338,'[1]Detailed Transfer Report (12)'!$L:$Y,13,FALSE)</f>
        <v>Sardar Tanveer Ilyas</v>
      </c>
      <c r="AE1338" s="16"/>
    </row>
    <row r="1339" spans="1:31" x14ac:dyDescent="0.25">
      <c r="A1339" s="7">
        <v>697</v>
      </c>
      <c r="B1339" s="4">
        <v>45196</v>
      </c>
      <c r="C1339" s="3" t="s">
        <v>159</v>
      </c>
      <c r="D1339" s="3" t="s">
        <v>822</v>
      </c>
      <c r="E1339" s="3"/>
      <c r="F1339" s="3"/>
      <c r="G1339" s="3" t="s">
        <v>30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8">
        <v>0</v>
      </c>
      <c r="AE1339" s="16"/>
    </row>
    <row r="1340" spans="1:31" x14ac:dyDescent="0.25">
      <c r="A1340" s="9">
        <v>697</v>
      </c>
      <c r="B1340" s="4">
        <v>45226</v>
      </c>
      <c r="C1340" s="3" t="s">
        <v>46</v>
      </c>
      <c r="D1340" s="3" t="s">
        <v>1668</v>
      </c>
      <c r="E1340" s="3">
        <v>5751</v>
      </c>
      <c r="F1340" s="3">
        <v>27037</v>
      </c>
      <c r="G1340" s="3" t="s">
        <v>41</v>
      </c>
      <c r="H1340" s="3">
        <v>0</v>
      </c>
      <c r="I1340" s="3">
        <v>0</v>
      </c>
      <c r="J1340" s="5">
        <v>108300</v>
      </c>
      <c r="K1340" s="3">
        <v>0</v>
      </c>
      <c r="L1340" s="3">
        <v>0</v>
      </c>
      <c r="M1340" s="3">
        <v>0</v>
      </c>
      <c r="N1340" s="5">
        <v>36100</v>
      </c>
      <c r="O1340" s="3">
        <v>0</v>
      </c>
      <c r="P1340" s="5">
        <v>37100</v>
      </c>
      <c r="Q1340" s="3">
        <v>0</v>
      </c>
      <c r="R1340" s="5">
        <v>216000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80</v>
      </c>
      <c r="AA1340" s="5">
        <v>20000</v>
      </c>
      <c r="AB1340" s="6">
        <v>417580</v>
      </c>
      <c r="AC1340" s="2" t="str">
        <f>VLOOKUP(E1340,'[1]Detailed Transfer Report (12)'!$K:$Y,13,FALSE)</f>
        <v>Rasheed Begum</v>
      </c>
      <c r="AD1340" s="2" t="str">
        <f>VLOOKUP(E1340,'[1]Detailed Transfer Report (12)'!$K:$Y,14,FALSE)</f>
        <v>Sardar Tanveer Ilyas</v>
      </c>
      <c r="AE1340" s="16">
        <f>VLOOKUP(E1340,'[1]Detailed Transfer Report (12)'!$K:$Y,15,FALSE)</f>
        <v>45241</v>
      </c>
    </row>
    <row r="1341" spans="1:31" x14ac:dyDescent="0.25">
      <c r="A1341" s="9">
        <v>697</v>
      </c>
      <c r="B1341" s="4">
        <v>45240</v>
      </c>
      <c r="C1341" s="3" t="s">
        <v>141</v>
      </c>
      <c r="D1341" s="3" t="s">
        <v>1668</v>
      </c>
      <c r="E1341" s="3">
        <v>5749</v>
      </c>
      <c r="F1341" s="3">
        <v>27028</v>
      </c>
      <c r="G1341" s="3" t="s">
        <v>41</v>
      </c>
      <c r="H1341" s="3">
        <v>0</v>
      </c>
      <c r="I1341" s="3">
        <v>0</v>
      </c>
      <c r="J1341" s="5">
        <v>162450</v>
      </c>
      <c r="K1341" s="3">
        <v>0</v>
      </c>
      <c r="L1341" s="3">
        <v>0</v>
      </c>
      <c r="M1341" s="3">
        <v>0</v>
      </c>
      <c r="N1341" s="5">
        <v>55150</v>
      </c>
      <c r="O1341" s="3">
        <v>0</v>
      </c>
      <c r="P1341" s="5">
        <v>54150</v>
      </c>
      <c r="Q1341" s="3">
        <v>0</v>
      </c>
      <c r="R1341" s="5">
        <v>324900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80</v>
      </c>
      <c r="AA1341" s="5">
        <v>27000</v>
      </c>
      <c r="AB1341" s="6">
        <v>1041310</v>
      </c>
      <c r="AC1341" s="2" t="str">
        <f>VLOOKUP(E1341,'[1]Detailed Transfer Report (12)'!$K:$Y,13,FALSE)</f>
        <v>Bushra Bibi</v>
      </c>
      <c r="AD1341" s="2" t="str">
        <f>VLOOKUP(E1341,'[1]Detailed Transfer Report (12)'!$K:$Y,14,FALSE)</f>
        <v>Sardar Tanveer Ilyas</v>
      </c>
      <c r="AE1341" s="16">
        <f>VLOOKUP(E1341,'[1]Detailed Transfer Report (12)'!$K:$Y,15,FALSE)</f>
        <v>45241</v>
      </c>
    </row>
    <row r="1342" spans="1:31" x14ac:dyDescent="0.25">
      <c r="A1342" s="9">
        <v>697</v>
      </c>
      <c r="B1342" s="4">
        <v>45240</v>
      </c>
      <c r="C1342" s="3" t="s">
        <v>44</v>
      </c>
      <c r="D1342" s="3" t="s">
        <v>1668</v>
      </c>
      <c r="E1342" s="3">
        <v>5750</v>
      </c>
      <c r="F1342" s="3">
        <v>27030</v>
      </c>
      <c r="G1342" s="3" t="s">
        <v>41</v>
      </c>
      <c r="H1342" s="3">
        <v>0</v>
      </c>
      <c r="I1342" s="3">
        <v>0</v>
      </c>
      <c r="J1342" s="5">
        <v>54150</v>
      </c>
      <c r="K1342" s="3">
        <v>0</v>
      </c>
      <c r="L1342" s="3">
        <v>0</v>
      </c>
      <c r="M1342" s="3">
        <v>0</v>
      </c>
      <c r="N1342" s="5">
        <v>18050</v>
      </c>
      <c r="O1342" s="3">
        <v>0</v>
      </c>
      <c r="P1342" s="5">
        <v>19050</v>
      </c>
      <c r="Q1342" s="3">
        <v>0</v>
      </c>
      <c r="R1342" s="5">
        <v>108300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80</v>
      </c>
      <c r="AA1342" s="5">
        <v>10000</v>
      </c>
      <c r="AB1342" s="6">
        <v>1250940</v>
      </c>
      <c r="AC1342" s="2" t="str">
        <f>VLOOKUP(E1342,'[1]Detailed Transfer Report (12)'!$K:$Y,13,FALSE)</f>
        <v>Zarina Begum</v>
      </c>
      <c r="AD1342" s="2" t="str">
        <f>VLOOKUP(E1342,'[1]Detailed Transfer Report (12)'!$K:$Y,14,FALSE)</f>
        <v>Sardar Tanveer Ilyas</v>
      </c>
      <c r="AE1342" s="16">
        <f>VLOOKUP(E1342,'[1]Detailed Transfer Report (12)'!$K:$Y,15,FALSE)</f>
        <v>45241</v>
      </c>
    </row>
    <row r="1343" spans="1:31" x14ac:dyDescent="0.25">
      <c r="A1343" s="9">
        <v>697</v>
      </c>
      <c r="B1343" s="4">
        <v>45904</v>
      </c>
      <c r="C1343" s="3" t="s">
        <v>141</v>
      </c>
      <c r="D1343" s="3" t="s">
        <v>1668</v>
      </c>
      <c r="E1343" s="3">
        <v>5749</v>
      </c>
      <c r="F1343" s="3">
        <v>27028</v>
      </c>
      <c r="G1343" s="3" t="s">
        <v>756</v>
      </c>
      <c r="H1343" s="3">
        <v>0</v>
      </c>
      <c r="I1343" s="3">
        <v>0</v>
      </c>
      <c r="J1343" s="5">
        <v>162450</v>
      </c>
      <c r="K1343" s="3">
        <v>0</v>
      </c>
      <c r="L1343" s="3">
        <v>0</v>
      </c>
      <c r="M1343" s="3">
        <v>0</v>
      </c>
      <c r="N1343" s="5">
        <v>55150</v>
      </c>
      <c r="O1343" s="3">
        <v>0</v>
      </c>
      <c r="P1343" s="5">
        <v>54150</v>
      </c>
      <c r="Q1343" s="3">
        <v>0</v>
      </c>
      <c r="R1343" s="5">
        <v>324900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80</v>
      </c>
      <c r="AA1343" s="5">
        <v>27000</v>
      </c>
      <c r="AB1343" s="6">
        <v>1874670</v>
      </c>
      <c r="AC1343" s="2" t="str">
        <f>VLOOKUP(E1343,'[1]Detailed Transfer Report (12)'!$K:$Y,13,FALSE)</f>
        <v>Bushra Bibi</v>
      </c>
      <c r="AD1343" s="2" t="str">
        <f>VLOOKUP(E1343,'[1]Detailed Transfer Report (12)'!$K:$Y,14,FALSE)</f>
        <v>Sardar Tanveer Ilyas</v>
      </c>
      <c r="AE1343" s="16">
        <f>VLOOKUP(E1343,'[1]Detailed Transfer Report (12)'!$K:$Y,15,FALSE)</f>
        <v>45241</v>
      </c>
    </row>
    <row r="1344" spans="1:31" x14ac:dyDescent="0.25">
      <c r="A1344" s="9">
        <v>697</v>
      </c>
      <c r="B1344" s="4">
        <v>45904</v>
      </c>
      <c r="C1344" s="3" t="s">
        <v>44</v>
      </c>
      <c r="D1344" s="3" t="s">
        <v>1668</v>
      </c>
      <c r="E1344" s="3">
        <v>5750</v>
      </c>
      <c r="F1344" s="3">
        <v>27030</v>
      </c>
      <c r="G1344" s="3" t="s">
        <v>756</v>
      </c>
      <c r="H1344" s="3">
        <v>0</v>
      </c>
      <c r="I1344" s="3">
        <v>0</v>
      </c>
      <c r="J1344" s="5">
        <v>54150</v>
      </c>
      <c r="K1344" s="3">
        <v>0</v>
      </c>
      <c r="L1344" s="3">
        <v>0</v>
      </c>
      <c r="M1344" s="3">
        <v>0</v>
      </c>
      <c r="N1344" s="5">
        <v>18050</v>
      </c>
      <c r="O1344" s="3">
        <v>0</v>
      </c>
      <c r="P1344" s="5">
        <v>19050</v>
      </c>
      <c r="Q1344" s="3">
        <v>0</v>
      </c>
      <c r="R1344" s="5">
        <v>108300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80</v>
      </c>
      <c r="AA1344" s="5">
        <v>10000</v>
      </c>
      <c r="AB1344" s="6">
        <v>2084300</v>
      </c>
      <c r="AC1344" s="2" t="str">
        <f>VLOOKUP(E1344,'[1]Detailed Transfer Report (12)'!$K:$Y,13,FALSE)</f>
        <v>Zarina Begum</v>
      </c>
      <c r="AD1344" s="2" t="str">
        <f>VLOOKUP(E1344,'[1]Detailed Transfer Report (12)'!$K:$Y,14,FALSE)</f>
        <v>Sardar Tanveer Ilyas</v>
      </c>
      <c r="AE1344" s="16">
        <f>VLOOKUP(E1344,'[1]Detailed Transfer Report (12)'!$K:$Y,15,FALSE)</f>
        <v>45241</v>
      </c>
    </row>
    <row r="1345" spans="1:31" x14ac:dyDescent="0.25">
      <c r="A1345" s="10">
        <v>697</v>
      </c>
      <c r="B1345" s="4">
        <v>45904</v>
      </c>
      <c r="C1345" s="3" t="s">
        <v>46</v>
      </c>
      <c r="D1345" s="3" t="s">
        <v>1668</v>
      </c>
      <c r="E1345" s="3">
        <v>5751</v>
      </c>
      <c r="F1345" s="3">
        <v>27037</v>
      </c>
      <c r="G1345" s="3" t="s">
        <v>756</v>
      </c>
      <c r="H1345" s="3">
        <v>0</v>
      </c>
      <c r="I1345" s="3">
        <v>0</v>
      </c>
      <c r="J1345" s="5">
        <v>108300</v>
      </c>
      <c r="K1345" s="3">
        <v>0</v>
      </c>
      <c r="L1345" s="3">
        <v>0</v>
      </c>
      <c r="M1345" s="3">
        <v>0</v>
      </c>
      <c r="N1345" s="5">
        <v>36100</v>
      </c>
      <c r="O1345" s="3">
        <v>0</v>
      </c>
      <c r="P1345" s="5">
        <v>37100</v>
      </c>
      <c r="Q1345" s="3">
        <v>0</v>
      </c>
      <c r="R1345" s="5">
        <v>216000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80</v>
      </c>
      <c r="AA1345" s="5">
        <v>20000</v>
      </c>
      <c r="AB1345" s="6">
        <v>2501880</v>
      </c>
      <c r="AC1345" s="2" t="str">
        <f>VLOOKUP(E1345,'[1]Detailed Transfer Report (12)'!$K:$Y,13,FALSE)</f>
        <v>Rasheed Begum</v>
      </c>
      <c r="AD1345" s="2" t="str">
        <f>VLOOKUP(E1345,'[1]Detailed Transfer Report (12)'!$K:$Y,14,FALSE)</f>
        <v>Sardar Tanveer Ilyas</v>
      </c>
      <c r="AE1345" s="16">
        <f>VLOOKUP(E1345,'[1]Detailed Transfer Report (12)'!$K:$Y,15,FALSE)</f>
        <v>45241</v>
      </c>
    </row>
    <row r="1346" spans="1:31" x14ac:dyDescent="0.25">
      <c r="A1346" s="7">
        <v>698</v>
      </c>
      <c r="B1346" s="4">
        <v>45196</v>
      </c>
      <c r="C1346" s="3" t="s">
        <v>1669</v>
      </c>
      <c r="D1346" s="3" t="s">
        <v>822</v>
      </c>
      <c r="E1346" s="3"/>
      <c r="F1346" s="3"/>
      <c r="G1346" s="3" t="s">
        <v>30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8">
        <v>0</v>
      </c>
      <c r="AE1346" s="16"/>
    </row>
    <row r="1347" spans="1:31" x14ac:dyDescent="0.25">
      <c r="A1347" s="10">
        <v>698</v>
      </c>
      <c r="B1347" s="4">
        <v>45227</v>
      </c>
      <c r="C1347" s="3" t="s">
        <v>456</v>
      </c>
      <c r="D1347" s="3" t="s">
        <v>1660</v>
      </c>
      <c r="E1347" s="3"/>
      <c r="F1347" s="3">
        <v>28939</v>
      </c>
      <c r="G1347" s="3" t="s">
        <v>30</v>
      </c>
      <c r="H1347" s="3">
        <v>0</v>
      </c>
      <c r="I1347" s="3">
        <v>0</v>
      </c>
      <c r="J1347" s="5">
        <v>241650</v>
      </c>
      <c r="K1347" s="3">
        <v>0</v>
      </c>
      <c r="L1347" s="3">
        <v>0</v>
      </c>
      <c r="M1347" s="3">
        <v>0</v>
      </c>
      <c r="N1347" s="5">
        <v>80550</v>
      </c>
      <c r="O1347" s="3">
        <v>0</v>
      </c>
      <c r="P1347" s="5">
        <v>81550</v>
      </c>
      <c r="Q1347" s="3">
        <v>0</v>
      </c>
      <c r="R1347" s="5">
        <v>483300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5">
        <v>1300</v>
      </c>
      <c r="Y1347" s="3">
        <v>0</v>
      </c>
      <c r="Z1347" s="5">
        <v>2000</v>
      </c>
      <c r="AA1347" s="5">
        <v>55000</v>
      </c>
      <c r="AB1347" s="6">
        <v>945350</v>
      </c>
      <c r="AC1347" s="2" t="str">
        <f>VLOOKUP(F1347,'[1]Detailed Transfer Report (12)'!$L:$Y,12,FALSE)</f>
        <v>Zeeshan Ellahi</v>
      </c>
      <c r="AD1347" s="2" t="str">
        <f>VLOOKUP(F1347,'[1]Detailed Transfer Report (12)'!$L:$Y,13,FALSE)</f>
        <v>Sardar Tanveer Ilyas</v>
      </c>
      <c r="AE1347" s="16">
        <f>VLOOKUP(F1347,'[1]Detailed Transfer Report (12)'!$L:$Y,14,FALSE)</f>
        <v>45267</v>
      </c>
    </row>
    <row r="1348" spans="1:31" x14ac:dyDescent="0.25">
      <c r="A1348" s="3">
        <v>699</v>
      </c>
      <c r="B1348" s="4">
        <v>45197</v>
      </c>
      <c r="C1348" s="3" t="s">
        <v>754</v>
      </c>
      <c r="D1348" s="3" t="s">
        <v>1670</v>
      </c>
      <c r="E1348" s="3"/>
      <c r="F1348" s="3">
        <v>25979</v>
      </c>
      <c r="G1348" s="3" t="s">
        <v>41</v>
      </c>
      <c r="H1348" s="3">
        <v>0</v>
      </c>
      <c r="I1348" s="3">
        <v>0</v>
      </c>
      <c r="J1348" s="5">
        <v>483180</v>
      </c>
      <c r="K1348" s="3">
        <v>0</v>
      </c>
      <c r="L1348" s="3">
        <v>0</v>
      </c>
      <c r="M1348" s="3">
        <v>0</v>
      </c>
      <c r="N1348" s="5">
        <v>161060</v>
      </c>
      <c r="O1348" s="3">
        <v>0</v>
      </c>
      <c r="P1348" s="5">
        <v>162060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5">
        <v>161000</v>
      </c>
      <c r="AB1348" s="6">
        <v>967300</v>
      </c>
      <c r="AC1348" s="2" t="str">
        <f>VLOOKUP(F1348,'[1]Detailed Transfer Report (12)'!$L:$Y,12,FALSE)</f>
        <v>Aurangzaib</v>
      </c>
      <c r="AD1348" s="2" t="str">
        <f>VLOOKUP(F1348,'[1]Detailed Transfer Report (12)'!$L:$Y,13,FALSE)</f>
        <v>Sardar Tanveer Ilyas</v>
      </c>
      <c r="AE1348" s="16">
        <f>VLOOKUP(F1348,'[1]Detailed Transfer Report (12)'!$L:$Y,14,FALSE)</f>
        <v>45224</v>
      </c>
    </row>
    <row r="1349" spans="1:31" x14ac:dyDescent="0.25">
      <c r="A1349" s="7">
        <v>700</v>
      </c>
      <c r="B1349" s="4">
        <v>45209</v>
      </c>
      <c r="C1349" s="3" t="s">
        <v>665</v>
      </c>
      <c r="D1349" s="3" t="s">
        <v>822</v>
      </c>
      <c r="E1349" s="3"/>
      <c r="F1349" s="3"/>
      <c r="G1349" s="3" t="s">
        <v>1179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8">
        <v>0</v>
      </c>
      <c r="AE1349" s="16"/>
    </row>
    <row r="1350" spans="1:31" x14ac:dyDescent="0.25">
      <c r="A1350" s="10">
        <v>700</v>
      </c>
      <c r="B1350" s="4">
        <v>45227</v>
      </c>
      <c r="C1350" s="3" t="s">
        <v>46</v>
      </c>
      <c r="D1350" s="3" t="s">
        <v>1671</v>
      </c>
      <c r="E1350" s="3">
        <v>6147</v>
      </c>
      <c r="F1350" s="3">
        <v>1657</v>
      </c>
      <c r="G1350" s="3" t="s">
        <v>756</v>
      </c>
      <c r="H1350" s="3">
        <v>0</v>
      </c>
      <c r="I1350" s="3">
        <v>0</v>
      </c>
      <c r="J1350" s="5">
        <v>108300</v>
      </c>
      <c r="K1350" s="3">
        <v>0</v>
      </c>
      <c r="L1350" s="3">
        <v>0</v>
      </c>
      <c r="M1350" s="3">
        <v>0</v>
      </c>
      <c r="N1350" s="5">
        <v>36100</v>
      </c>
      <c r="O1350" s="3">
        <v>0</v>
      </c>
      <c r="P1350" s="5">
        <v>37100</v>
      </c>
      <c r="Q1350" s="3">
        <v>0</v>
      </c>
      <c r="R1350" s="5">
        <v>216600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5">
        <v>1300</v>
      </c>
      <c r="Y1350" s="3">
        <v>0</v>
      </c>
      <c r="Z1350" s="5">
        <v>2000</v>
      </c>
      <c r="AA1350" s="5">
        <v>20000</v>
      </c>
      <c r="AB1350" s="6">
        <v>421400</v>
      </c>
      <c r="AC1350" s="2" t="str">
        <f>VLOOKUP(E1350,'[1]Detailed Transfer Report (12)'!$K:$Y,13,FALSE)</f>
        <v>Muhammad Imran Shafique</v>
      </c>
      <c r="AD1350" s="2" t="str">
        <f>VLOOKUP(E1350,'[1]Detailed Transfer Report (12)'!$K:$Y,14,FALSE)</f>
        <v>Sardar Tanveer Ilyas</v>
      </c>
      <c r="AE1350" s="16">
        <f>VLOOKUP(E1350,'[1]Detailed Transfer Report (12)'!$K:$Y,15,FALSE)</f>
        <v>45002</v>
      </c>
    </row>
    <row r="1351" spans="1:31" x14ac:dyDescent="0.25">
      <c r="A1351" s="3">
        <v>701</v>
      </c>
      <c r="B1351" s="4">
        <v>45209</v>
      </c>
      <c r="C1351" s="3" t="s">
        <v>68</v>
      </c>
      <c r="D1351" s="3" t="s">
        <v>822</v>
      </c>
      <c r="E1351" s="3">
        <v>6093</v>
      </c>
      <c r="F1351" s="3">
        <v>25066</v>
      </c>
      <c r="G1351" s="3" t="s">
        <v>756</v>
      </c>
      <c r="H1351" s="3">
        <v>0</v>
      </c>
      <c r="I1351" s="3">
        <v>0</v>
      </c>
      <c r="J1351" s="5">
        <v>81300</v>
      </c>
      <c r="K1351" s="3">
        <v>0</v>
      </c>
      <c r="L1351" s="3">
        <v>0</v>
      </c>
      <c r="M1351" s="3">
        <v>0</v>
      </c>
      <c r="N1351" s="5">
        <v>27100</v>
      </c>
      <c r="O1351" s="3">
        <v>0</v>
      </c>
      <c r="P1351" s="5">
        <v>28100</v>
      </c>
      <c r="Q1351" s="3">
        <v>0</v>
      </c>
      <c r="R1351" s="5">
        <v>162600</v>
      </c>
      <c r="S1351" s="5">
        <v>13500</v>
      </c>
      <c r="T1351" s="5">
        <v>8000</v>
      </c>
      <c r="U1351" s="3">
        <v>0</v>
      </c>
      <c r="V1351" s="3">
        <v>0</v>
      </c>
      <c r="W1351" s="3">
        <v>0</v>
      </c>
      <c r="X1351" s="5">
        <v>1700</v>
      </c>
      <c r="Y1351" s="3">
        <v>0</v>
      </c>
      <c r="Z1351" s="5">
        <v>2000</v>
      </c>
      <c r="AA1351" s="5">
        <v>16000</v>
      </c>
      <c r="AB1351" s="6">
        <v>340300</v>
      </c>
      <c r="AC1351" s="2" t="str">
        <f>VLOOKUP(E1351,'[1]Detailed Transfer Report (12)'!$K:$Y,13,FALSE)</f>
        <v>Muhammad Latif Khan</v>
      </c>
      <c r="AD1351" s="2" t="str">
        <f>VLOOKUP(E1351,'[1]Detailed Transfer Report (12)'!$K:$Y,14,FALSE)</f>
        <v>Sardar Tanveer Ilyas</v>
      </c>
      <c r="AE1351" s="16">
        <f>VLOOKUP(E1351,'[1]Detailed Transfer Report (12)'!$K:$Y,15,FALSE)</f>
        <v>45197</v>
      </c>
    </row>
    <row r="1352" spans="1:31" x14ac:dyDescent="0.25">
      <c r="A1352" s="3">
        <v>702</v>
      </c>
      <c r="B1352" s="4">
        <v>45220</v>
      </c>
      <c r="C1352" s="3" t="s">
        <v>44</v>
      </c>
      <c r="D1352" s="3" t="s">
        <v>1672</v>
      </c>
      <c r="E1352" s="3">
        <v>6053</v>
      </c>
      <c r="F1352" s="3">
        <v>26635</v>
      </c>
      <c r="G1352" s="3" t="s">
        <v>756</v>
      </c>
      <c r="H1352" s="3">
        <v>0</v>
      </c>
      <c r="I1352" s="3">
        <v>0</v>
      </c>
      <c r="J1352" s="5">
        <v>54300</v>
      </c>
      <c r="K1352" s="3">
        <v>0</v>
      </c>
      <c r="L1352" s="5">
        <v>100000</v>
      </c>
      <c r="M1352" s="3">
        <v>0</v>
      </c>
      <c r="N1352" s="5">
        <v>18100</v>
      </c>
      <c r="O1352" s="3">
        <v>0</v>
      </c>
      <c r="P1352" s="5">
        <v>19100</v>
      </c>
      <c r="Q1352" s="3">
        <v>0</v>
      </c>
      <c r="R1352" s="5">
        <v>108600</v>
      </c>
      <c r="S1352" s="5">
        <v>9000</v>
      </c>
      <c r="T1352" s="5">
        <v>1300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5">
        <v>2000</v>
      </c>
      <c r="AA1352" s="5">
        <v>16000</v>
      </c>
      <c r="AB1352" s="6">
        <v>328400</v>
      </c>
      <c r="AC1352" s="2" t="str">
        <f>VLOOKUP(E1352,'[1]Detailed Transfer Report (12)'!$K:$Y,13,FALSE)</f>
        <v>Adnan Afzal</v>
      </c>
      <c r="AD1352" s="2" t="str">
        <f>VLOOKUP(E1352,'[1]Detailed Transfer Report (12)'!$K:$Y,14,FALSE)</f>
        <v>Sardar Tanveer Ilyas</v>
      </c>
      <c r="AE1352" s="16">
        <f>VLOOKUP(E1352,'[1]Detailed Transfer Report (12)'!$K:$Y,15,FALSE)</f>
        <v>45231</v>
      </c>
    </row>
    <row r="1353" spans="1:31" x14ac:dyDescent="0.25">
      <c r="A1353" s="7">
        <v>703</v>
      </c>
      <c r="B1353" s="4">
        <v>45236</v>
      </c>
      <c r="C1353" s="3" t="s">
        <v>46</v>
      </c>
      <c r="D1353" s="3" t="s">
        <v>1673</v>
      </c>
      <c r="E1353" s="3"/>
      <c r="F1353" s="3">
        <v>11824215</v>
      </c>
      <c r="G1353" s="3" t="s">
        <v>41</v>
      </c>
      <c r="H1353" s="3">
        <v>0</v>
      </c>
      <c r="I1353" s="3">
        <v>0</v>
      </c>
      <c r="J1353" s="5">
        <v>118500</v>
      </c>
      <c r="K1353" s="3">
        <v>0</v>
      </c>
      <c r="L1353" s="3">
        <v>0</v>
      </c>
      <c r="M1353" s="3">
        <v>0</v>
      </c>
      <c r="N1353" s="5">
        <v>73850</v>
      </c>
      <c r="O1353" s="3">
        <v>0</v>
      </c>
      <c r="P1353" s="5">
        <v>2000</v>
      </c>
      <c r="Q1353" s="3">
        <v>0</v>
      </c>
      <c r="R1353" s="5">
        <v>738500</v>
      </c>
      <c r="S1353" s="3">
        <v>0</v>
      </c>
      <c r="T1353" s="5">
        <v>36000</v>
      </c>
      <c r="U1353" s="3">
        <v>0</v>
      </c>
      <c r="V1353" s="5">
        <v>443100</v>
      </c>
      <c r="W1353" s="3">
        <v>0</v>
      </c>
      <c r="X1353" s="5">
        <v>1700</v>
      </c>
      <c r="Y1353" s="3">
        <v>0</v>
      </c>
      <c r="Z1353" s="5">
        <v>74850</v>
      </c>
      <c r="AA1353" s="5">
        <v>40000</v>
      </c>
      <c r="AB1353" s="6">
        <v>1528500</v>
      </c>
      <c r="AC1353" s="2" t="str">
        <f>VLOOKUP(F1353,'[1]Detailed Transfer Report (12)'!$L:$Y,12,FALSE)</f>
        <v>Khuda Dad</v>
      </c>
      <c r="AD1353" s="2" t="str">
        <f>VLOOKUP(F1353,'[1]Detailed Transfer Report (12)'!$L:$Y,13,FALSE)</f>
        <v>Sardar Tanveer Ilyas</v>
      </c>
      <c r="AE1353" s="16"/>
    </row>
    <row r="1354" spans="1:31" x14ac:dyDescent="0.25">
      <c r="A1354" s="10">
        <v>703</v>
      </c>
      <c r="B1354" s="4">
        <v>45236</v>
      </c>
      <c r="C1354" s="3" t="s">
        <v>46</v>
      </c>
      <c r="D1354" s="3" t="s">
        <v>822</v>
      </c>
      <c r="E1354" s="3"/>
      <c r="F1354" s="3">
        <v>11850420</v>
      </c>
      <c r="G1354" s="3" t="s">
        <v>41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6">
        <v>1528500</v>
      </c>
      <c r="AC1354" s="2" t="str">
        <f>VLOOKUP(F1354,'[1]Detailed Transfer Report (12)'!$L:$Y,12,FALSE)</f>
        <v>Nighat Shaheen</v>
      </c>
      <c r="AD1354" s="2" t="str">
        <f>VLOOKUP(F1354,'[1]Detailed Transfer Report (12)'!$L:$Y,13,FALSE)</f>
        <v>Sardar Tanveer Ilyas</v>
      </c>
      <c r="AE1354" s="16"/>
    </row>
    <row r="1355" spans="1:31" x14ac:dyDescent="0.25">
      <c r="A1355" s="7">
        <v>704</v>
      </c>
      <c r="B1355" s="4">
        <v>45236</v>
      </c>
      <c r="C1355" s="3" t="s">
        <v>153</v>
      </c>
      <c r="D1355" s="3" t="s">
        <v>822</v>
      </c>
      <c r="E1355" s="3"/>
      <c r="F1355" s="3">
        <v>11955054</v>
      </c>
      <c r="G1355" s="3" t="s">
        <v>756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8">
        <v>0</v>
      </c>
      <c r="AC1355" s="2" t="str">
        <f>VLOOKUP(F1355,'[1]Detailed Transfer Report (12)'!$L:$Y,12,FALSE)</f>
        <v>Ansar Bibi</v>
      </c>
      <c r="AD1355" s="2" t="str">
        <f>VLOOKUP(F1355,'[1]Detailed Transfer Report (12)'!$L:$Y,13,FALSE)</f>
        <v>Sardar Tanveer Ilyas</v>
      </c>
      <c r="AE1355" s="16"/>
    </row>
    <row r="1356" spans="1:31" x14ac:dyDescent="0.25">
      <c r="A1356" s="10">
        <v>704</v>
      </c>
      <c r="B1356" s="4">
        <v>45236</v>
      </c>
      <c r="C1356" s="3" t="s">
        <v>807</v>
      </c>
      <c r="D1356" s="3" t="s">
        <v>1674</v>
      </c>
      <c r="E1356" s="3">
        <v>6239</v>
      </c>
      <c r="F1356" s="3">
        <v>27436</v>
      </c>
      <c r="G1356" s="3" t="s">
        <v>756</v>
      </c>
      <c r="H1356" s="3">
        <v>0</v>
      </c>
      <c r="I1356" s="3">
        <v>0</v>
      </c>
      <c r="J1356" s="5">
        <v>178800</v>
      </c>
      <c r="K1356" s="3">
        <v>0</v>
      </c>
      <c r="L1356" s="3">
        <v>0</v>
      </c>
      <c r="M1356" s="3">
        <v>0</v>
      </c>
      <c r="N1356" s="5">
        <v>59600</v>
      </c>
      <c r="O1356" s="3">
        <v>0</v>
      </c>
      <c r="P1356" s="5">
        <v>60600</v>
      </c>
      <c r="Q1356" s="3">
        <v>0</v>
      </c>
      <c r="R1356" s="5">
        <v>357600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5">
        <v>1300</v>
      </c>
      <c r="Y1356" s="3">
        <v>0</v>
      </c>
      <c r="Z1356" s="5">
        <v>2000</v>
      </c>
      <c r="AA1356" s="5">
        <v>33000</v>
      </c>
      <c r="AB1356" s="6">
        <v>692900</v>
      </c>
      <c r="AC1356" s="2" t="str">
        <f>VLOOKUP(E1356,'[1]Detailed Transfer Report (12)'!$K:$Y,13,FALSE)</f>
        <v>M Yousaf Noman</v>
      </c>
      <c r="AD1356" s="2" t="str">
        <f>VLOOKUP(E1356,'[1]Detailed Transfer Report (12)'!$K:$Y,14,FALSE)</f>
        <v>Sardar Tanveer Ilyas</v>
      </c>
      <c r="AE1356" s="16">
        <f>VLOOKUP(E1356,'[1]Detailed Transfer Report (12)'!$K:$Y,15,FALSE)</f>
        <v>45244</v>
      </c>
    </row>
    <row r="1357" spans="1:31" x14ac:dyDescent="0.25">
      <c r="A1357" s="7">
        <v>705</v>
      </c>
      <c r="B1357" s="4">
        <v>45268</v>
      </c>
      <c r="C1357" s="3" t="s">
        <v>44</v>
      </c>
      <c r="D1357" s="3" t="s">
        <v>822</v>
      </c>
      <c r="E1357" s="3">
        <v>6055</v>
      </c>
      <c r="F1357" s="3">
        <v>1692</v>
      </c>
      <c r="G1357" s="3" t="s">
        <v>756</v>
      </c>
      <c r="H1357" s="3">
        <v>0</v>
      </c>
      <c r="I1357" s="3">
        <v>0</v>
      </c>
      <c r="J1357" s="5">
        <v>54150</v>
      </c>
      <c r="K1357" s="3">
        <v>0</v>
      </c>
      <c r="L1357" s="3">
        <v>0</v>
      </c>
      <c r="M1357" s="3">
        <v>0</v>
      </c>
      <c r="N1357" s="5">
        <v>18050</v>
      </c>
      <c r="O1357" s="3">
        <v>0</v>
      </c>
      <c r="P1357" s="5">
        <v>19050</v>
      </c>
      <c r="Q1357" s="3">
        <v>0</v>
      </c>
      <c r="R1357" s="5">
        <v>108300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5">
        <v>1300</v>
      </c>
      <c r="Y1357" s="3">
        <v>0</v>
      </c>
      <c r="Z1357" s="5">
        <v>2000</v>
      </c>
      <c r="AA1357" s="5">
        <v>16000</v>
      </c>
      <c r="AB1357" s="6">
        <v>218850</v>
      </c>
      <c r="AC1357" s="2" t="str">
        <f>VLOOKUP(E1357,'[1]Detailed Transfer Report (12)'!$K:$Y,13,FALSE)</f>
        <v>Maria Malik</v>
      </c>
      <c r="AD1357" s="2" t="str">
        <f>VLOOKUP(E1357,'[1]Detailed Transfer Report (12)'!$K:$Y,14,FALSE)</f>
        <v>Sardar Tanveer Ilyas</v>
      </c>
      <c r="AE1357" s="16">
        <f>VLOOKUP(E1357,'[1]Detailed Transfer Report (12)'!$K:$Y,15,FALSE)</f>
        <v>45313</v>
      </c>
    </row>
    <row r="1358" spans="1:31" x14ac:dyDescent="0.25">
      <c r="A1358" s="9">
        <v>705</v>
      </c>
      <c r="B1358" s="4">
        <v>45237</v>
      </c>
      <c r="C1358" s="3" t="s">
        <v>46</v>
      </c>
      <c r="D1358" s="3" t="s">
        <v>1675</v>
      </c>
      <c r="E1358" s="3">
        <v>6056</v>
      </c>
      <c r="F1358" s="3">
        <v>1708</v>
      </c>
      <c r="G1358" s="3" t="s">
        <v>756</v>
      </c>
      <c r="H1358" s="3">
        <v>0</v>
      </c>
      <c r="I1358" s="3">
        <v>0</v>
      </c>
      <c r="J1358" s="5">
        <v>108300</v>
      </c>
      <c r="K1358" s="3">
        <v>0</v>
      </c>
      <c r="L1358" s="5">
        <v>500000</v>
      </c>
      <c r="M1358" s="3">
        <v>0</v>
      </c>
      <c r="N1358" s="5">
        <v>36100</v>
      </c>
      <c r="O1358" s="3">
        <v>0</v>
      </c>
      <c r="P1358" s="5">
        <v>37100</v>
      </c>
      <c r="Q1358" s="3">
        <v>0</v>
      </c>
      <c r="R1358" s="5">
        <v>216600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5">
        <v>1300</v>
      </c>
      <c r="Y1358" s="3">
        <v>0</v>
      </c>
      <c r="Z1358" s="5">
        <v>2000</v>
      </c>
      <c r="AA1358" s="5">
        <v>16000</v>
      </c>
      <c r="AB1358" s="6">
        <v>1136250</v>
      </c>
      <c r="AC1358" s="2" t="str">
        <f>VLOOKUP(E1358,'[1]Detailed Transfer Report (12)'!$K:$Y,13,FALSE)</f>
        <v>Javed Anjum</v>
      </c>
      <c r="AD1358" s="2" t="str">
        <f>VLOOKUP(E1358,'[1]Detailed Transfer Report (12)'!$K:$Y,14,FALSE)</f>
        <v>Sardar Tanveer Ilyas</v>
      </c>
      <c r="AE1358" s="16">
        <f>VLOOKUP(E1358,'[1]Detailed Transfer Report (12)'!$K:$Y,15,FALSE)</f>
        <v>45313</v>
      </c>
    </row>
    <row r="1359" spans="1:31" x14ac:dyDescent="0.25">
      <c r="A1359" s="10">
        <v>705</v>
      </c>
      <c r="B1359" s="4">
        <v>45268</v>
      </c>
      <c r="C1359" s="3" t="s">
        <v>46</v>
      </c>
      <c r="D1359" s="3" t="s">
        <v>822</v>
      </c>
      <c r="E1359" s="3">
        <v>6048</v>
      </c>
      <c r="F1359" s="3">
        <v>2321</v>
      </c>
      <c r="G1359" s="3" t="s">
        <v>756</v>
      </c>
      <c r="H1359" s="3">
        <v>0</v>
      </c>
      <c r="I1359" s="3">
        <v>0</v>
      </c>
      <c r="J1359" s="5">
        <v>108300</v>
      </c>
      <c r="K1359" s="3">
        <v>0</v>
      </c>
      <c r="L1359" s="3">
        <v>0</v>
      </c>
      <c r="M1359" s="3">
        <v>0</v>
      </c>
      <c r="N1359" s="5">
        <v>36100</v>
      </c>
      <c r="O1359" s="3">
        <v>0</v>
      </c>
      <c r="P1359" s="5">
        <v>37100</v>
      </c>
      <c r="Q1359" s="3">
        <v>0</v>
      </c>
      <c r="R1359" s="5">
        <v>108300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5">
        <v>1300</v>
      </c>
      <c r="Y1359" s="3">
        <v>0</v>
      </c>
      <c r="Z1359" s="5">
        <v>2000</v>
      </c>
      <c r="AA1359" s="5">
        <v>20000</v>
      </c>
      <c r="AB1359" s="6">
        <v>1449350</v>
      </c>
      <c r="AC1359" s="2" t="str">
        <f>VLOOKUP(E1359,'[1]Detailed Transfer Report (12)'!$K:$Y,13,FALSE)</f>
        <v>Saeeda</v>
      </c>
      <c r="AD1359" s="2" t="str">
        <f>VLOOKUP(E1359,'[1]Detailed Transfer Report (12)'!$K:$Y,14,FALSE)</f>
        <v>Sardar Tanveer Ilyas</v>
      </c>
      <c r="AE1359" s="16">
        <f>VLOOKUP(E1359,'[1]Detailed Transfer Report (12)'!$K:$Y,15,FALSE)</f>
        <v>45311</v>
      </c>
    </row>
    <row r="1360" spans="1:31" x14ac:dyDescent="0.25">
      <c r="A1360" s="7">
        <v>706</v>
      </c>
      <c r="B1360" s="4">
        <v>45237</v>
      </c>
      <c r="C1360" s="3" t="s">
        <v>137</v>
      </c>
      <c r="D1360" s="3" t="s">
        <v>1676</v>
      </c>
      <c r="E1360" s="3">
        <v>744</v>
      </c>
      <c r="F1360" s="3">
        <v>2322</v>
      </c>
      <c r="G1360" s="3" t="s">
        <v>41</v>
      </c>
      <c r="H1360" s="3">
        <v>0</v>
      </c>
      <c r="I1360" s="3">
        <v>0</v>
      </c>
      <c r="J1360" s="5">
        <v>27150</v>
      </c>
      <c r="K1360" s="3">
        <v>0</v>
      </c>
      <c r="L1360" s="5">
        <v>100000</v>
      </c>
      <c r="M1360" s="3">
        <v>0</v>
      </c>
      <c r="N1360" s="5">
        <v>9050</v>
      </c>
      <c r="O1360" s="3">
        <v>0</v>
      </c>
      <c r="P1360" s="5">
        <v>10050</v>
      </c>
      <c r="Q1360" s="3">
        <v>0</v>
      </c>
      <c r="R1360" s="5">
        <v>54300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5">
        <v>1300</v>
      </c>
      <c r="Y1360" s="3">
        <v>0</v>
      </c>
      <c r="Z1360" s="5">
        <v>2000</v>
      </c>
      <c r="AA1360" s="5">
        <v>16000</v>
      </c>
      <c r="AB1360" s="6">
        <v>219850</v>
      </c>
      <c r="AC1360" s="2" t="str">
        <f>VLOOKUP(E1360,'[1]Detailed Transfer Report (12)'!$K:$Y,13,FALSE)</f>
        <v>Makhmal Jan</v>
      </c>
      <c r="AD1360" s="2" t="str">
        <f>VLOOKUP(E1360,'[1]Detailed Transfer Report (12)'!$K:$Y,14,FALSE)</f>
        <v>Sardar Tanveer Ilyas</v>
      </c>
      <c r="AE1360" s="16">
        <f>VLOOKUP(E1360,'[1]Detailed Transfer Report (12)'!$K:$Y,15,FALSE)</f>
        <v>45313</v>
      </c>
    </row>
    <row r="1361" spans="1:31" x14ac:dyDescent="0.25">
      <c r="A1361" s="10">
        <v>706</v>
      </c>
      <c r="B1361" s="4">
        <v>45266</v>
      </c>
      <c r="C1361" s="3" t="s">
        <v>137</v>
      </c>
      <c r="D1361" s="3" t="s">
        <v>1676</v>
      </c>
      <c r="E1361" s="3">
        <v>745</v>
      </c>
      <c r="F1361" s="3">
        <v>1693</v>
      </c>
      <c r="G1361" s="3" t="s">
        <v>41</v>
      </c>
      <c r="H1361" s="3">
        <v>0</v>
      </c>
      <c r="I1361" s="3">
        <v>0</v>
      </c>
      <c r="J1361" s="5">
        <v>24300</v>
      </c>
      <c r="K1361" s="3">
        <v>0</v>
      </c>
      <c r="L1361" s="3">
        <v>0</v>
      </c>
      <c r="M1361" s="3">
        <v>0</v>
      </c>
      <c r="N1361" s="5">
        <v>8100</v>
      </c>
      <c r="O1361" s="3">
        <v>0</v>
      </c>
      <c r="P1361" s="5">
        <v>9100</v>
      </c>
      <c r="Q1361" s="3">
        <v>0</v>
      </c>
      <c r="R1361" s="5">
        <v>48600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5">
        <v>1300</v>
      </c>
      <c r="Y1361" s="3">
        <v>0</v>
      </c>
      <c r="Z1361" s="5">
        <v>2000</v>
      </c>
      <c r="AA1361" s="5">
        <v>16000</v>
      </c>
      <c r="AB1361" s="6">
        <v>329250</v>
      </c>
      <c r="AC1361" s="2" t="str">
        <f>VLOOKUP(E1361,'[1]Detailed Transfer Report (12)'!$K:$Y,13,FALSE)</f>
        <v>Alleha Hameed</v>
      </c>
      <c r="AD1361" s="2" t="str">
        <f>VLOOKUP(E1361,'[1]Detailed Transfer Report (12)'!$K:$Y,14,FALSE)</f>
        <v>Sardar Tanveer Ilyas</v>
      </c>
      <c r="AE1361" s="16">
        <f>VLOOKUP(E1361,'[1]Detailed Transfer Report (12)'!$K:$Y,15,FALSE)</f>
        <v>45313</v>
      </c>
    </row>
    <row r="1362" spans="1:31" x14ac:dyDescent="0.25">
      <c r="A1362" s="3">
        <v>707</v>
      </c>
      <c r="B1362" s="4">
        <v>45237</v>
      </c>
      <c r="C1362" s="3" t="s">
        <v>153</v>
      </c>
      <c r="D1362" s="3" t="s">
        <v>1676</v>
      </c>
      <c r="E1362" s="3">
        <v>6003</v>
      </c>
      <c r="F1362" s="3">
        <v>143</v>
      </c>
      <c r="G1362" s="3" t="s">
        <v>756</v>
      </c>
      <c r="H1362" s="3">
        <v>0</v>
      </c>
      <c r="I1362" s="3">
        <v>0</v>
      </c>
      <c r="J1362" s="5">
        <v>13560</v>
      </c>
      <c r="K1362" s="3">
        <v>0</v>
      </c>
      <c r="L1362" s="5">
        <v>25000</v>
      </c>
      <c r="M1362" s="3">
        <v>0</v>
      </c>
      <c r="N1362" s="5">
        <v>4520</v>
      </c>
      <c r="O1362" s="3">
        <v>0</v>
      </c>
      <c r="P1362" s="5">
        <v>5020</v>
      </c>
      <c r="Q1362" s="3">
        <v>0</v>
      </c>
      <c r="R1362" s="5">
        <v>27120</v>
      </c>
      <c r="S1362" s="5">
        <v>2250</v>
      </c>
      <c r="T1362" s="3">
        <v>0</v>
      </c>
      <c r="U1362" s="3">
        <v>0</v>
      </c>
      <c r="V1362" s="3">
        <v>0</v>
      </c>
      <c r="W1362" s="3">
        <v>0</v>
      </c>
      <c r="X1362" s="5">
        <v>1300</v>
      </c>
      <c r="Y1362" s="3">
        <v>0</v>
      </c>
      <c r="Z1362" s="5">
        <v>2000</v>
      </c>
      <c r="AA1362" s="5">
        <v>16000</v>
      </c>
      <c r="AB1362" s="6">
        <v>96770</v>
      </c>
      <c r="AC1362" s="2" t="str">
        <f>VLOOKUP(E1362,'[1]Detailed Transfer Report (12)'!$K:$Y,13,FALSE)</f>
        <v>Tahir Khan</v>
      </c>
      <c r="AD1362" s="2" t="str">
        <f>VLOOKUP(E1362,'[1]Detailed Transfer Report (12)'!$K:$Y,14,FALSE)</f>
        <v>Sardar Tanveer Ilyas</v>
      </c>
      <c r="AE1362" s="16">
        <f>VLOOKUP(E1362,'[1]Detailed Transfer Report (12)'!$K:$Y,15,FALSE)</f>
        <v>45294</v>
      </c>
    </row>
    <row r="1363" spans="1:31" x14ac:dyDescent="0.25">
      <c r="A1363" s="3">
        <v>708</v>
      </c>
      <c r="B1363" s="4">
        <v>45244</v>
      </c>
      <c r="C1363" s="3" t="s">
        <v>264</v>
      </c>
      <c r="D1363" s="3" t="s">
        <v>1677</v>
      </c>
      <c r="E1363" s="3"/>
      <c r="F1363" s="3">
        <v>27352</v>
      </c>
      <c r="G1363" s="3" t="s">
        <v>756</v>
      </c>
      <c r="H1363" s="3">
        <v>0</v>
      </c>
      <c r="I1363" s="3">
        <v>0</v>
      </c>
      <c r="J1363" s="5">
        <v>90270</v>
      </c>
      <c r="K1363" s="3">
        <v>0</v>
      </c>
      <c r="L1363" s="3">
        <v>0</v>
      </c>
      <c r="M1363" s="3">
        <v>0</v>
      </c>
      <c r="N1363" s="5">
        <v>30090</v>
      </c>
      <c r="O1363" s="3">
        <v>0</v>
      </c>
      <c r="P1363" s="5">
        <v>31090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5">
        <v>30000</v>
      </c>
      <c r="AB1363" s="6">
        <v>181450</v>
      </c>
      <c r="AC1363" s="2" t="str">
        <f>VLOOKUP(F1363,'[1]Detailed Transfer Report (12)'!$L:$Y,12,FALSE)</f>
        <v>Muhammad Najib Khan</v>
      </c>
      <c r="AD1363" s="2" t="str">
        <f>VLOOKUP(F1363,'[1]Detailed Transfer Report (12)'!$L:$Y,13,FALSE)</f>
        <v>Sardar Tanveer Ilyas</v>
      </c>
      <c r="AE1363" s="16">
        <f>VLOOKUP(F1363,'[1]Detailed Transfer Report (12)'!$L:$Y,14,FALSE)</f>
        <v>45276</v>
      </c>
    </row>
    <row r="1364" spans="1:31" x14ac:dyDescent="0.25">
      <c r="A1364" s="7">
        <v>709</v>
      </c>
      <c r="B1364" s="4">
        <v>45244</v>
      </c>
      <c r="C1364" s="3" t="s">
        <v>46</v>
      </c>
      <c r="D1364" s="3" t="s">
        <v>1628</v>
      </c>
      <c r="E1364" s="3">
        <v>5732</v>
      </c>
      <c r="F1364" s="3">
        <v>28773</v>
      </c>
      <c r="G1364" s="3" t="s">
        <v>756</v>
      </c>
      <c r="H1364" s="3">
        <v>0</v>
      </c>
      <c r="I1364" s="3">
        <v>0</v>
      </c>
      <c r="J1364" s="5">
        <v>108300</v>
      </c>
      <c r="K1364" s="3">
        <v>0</v>
      </c>
      <c r="L1364" s="3">
        <v>0</v>
      </c>
      <c r="M1364" s="3">
        <v>0</v>
      </c>
      <c r="N1364" s="5">
        <v>36100</v>
      </c>
      <c r="O1364" s="3">
        <v>0</v>
      </c>
      <c r="P1364" s="5">
        <v>37100</v>
      </c>
      <c r="Q1364" s="3">
        <v>0</v>
      </c>
      <c r="R1364" s="5">
        <v>216600</v>
      </c>
      <c r="S1364" s="3">
        <v>0</v>
      </c>
      <c r="T1364" s="5">
        <v>1300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5">
        <v>2000</v>
      </c>
      <c r="AA1364" s="5">
        <v>16000</v>
      </c>
      <c r="AB1364" s="6">
        <v>417400</v>
      </c>
      <c r="AC1364" s="2" t="str">
        <f>VLOOKUP(E1364,'[1]Detailed Transfer Report (12)'!$K:$Y,13,FALSE)</f>
        <v>Arsalan ahmed</v>
      </c>
      <c r="AD1364" s="2" t="str">
        <f>VLOOKUP(E1364,'[1]Detailed Transfer Report (12)'!$K:$Y,14,FALSE)</f>
        <v>Sardar Tanveer Ilyas</v>
      </c>
      <c r="AE1364" s="16">
        <f>VLOOKUP(E1364,'[1]Detailed Transfer Report (12)'!$K:$Y,15,FALSE)</f>
        <v>45265</v>
      </c>
    </row>
    <row r="1365" spans="1:31" x14ac:dyDescent="0.25">
      <c r="A1365" s="10">
        <v>709</v>
      </c>
      <c r="B1365" s="4">
        <v>45244</v>
      </c>
      <c r="C1365" s="3" t="s">
        <v>137</v>
      </c>
      <c r="D1365" s="3" t="s">
        <v>1628</v>
      </c>
      <c r="E1365" s="3">
        <v>6041</v>
      </c>
      <c r="F1365" s="3">
        <v>27972</v>
      </c>
      <c r="G1365" s="3" t="s">
        <v>756</v>
      </c>
      <c r="H1365" s="3">
        <v>0</v>
      </c>
      <c r="I1365" s="3">
        <v>0</v>
      </c>
      <c r="J1365" s="5">
        <v>27150</v>
      </c>
      <c r="K1365" s="3">
        <v>0</v>
      </c>
      <c r="L1365" s="3">
        <v>0</v>
      </c>
      <c r="M1365" s="3">
        <v>0</v>
      </c>
      <c r="N1365" s="5">
        <v>9050</v>
      </c>
      <c r="O1365" s="3">
        <v>0</v>
      </c>
      <c r="P1365" s="5">
        <v>10050</v>
      </c>
      <c r="Q1365" s="3">
        <v>0</v>
      </c>
      <c r="R1365" s="5">
        <v>54300</v>
      </c>
      <c r="S1365" s="3">
        <v>0</v>
      </c>
      <c r="T1365" s="5">
        <v>1300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5">
        <v>2000</v>
      </c>
      <c r="AA1365" s="5">
        <v>16000</v>
      </c>
      <c r="AB1365" s="6">
        <v>537250</v>
      </c>
      <c r="AC1365" s="2" t="str">
        <f>VLOOKUP(E1365,'[1]Detailed Transfer Report (12)'!$K:$Y,13,FALSE)</f>
        <v>Arsalan ahmed</v>
      </c>
      <c r="AD1365" s="2" t="str">
        <f>VLOOKUP(E1365,'[1]Detailed Transfer Report (12)'!$K:$Y,14,FALSE)</f>
        <v>Sardar Tanveer Ilyas</v>
      </c>
      <c r="AE1365" s="16">
        <f>VLOOKUP(E1365,'[1]Detailed Transfer Report (12)'!$K:$Y,15,FALSE)</f>
        <v>45252</v>
      </c>
    </row>
    <row r="1366" spans="1:31" x14ac:dyDescent="0.25">
      <c r="A1366" s="3">
        <v>710</v>
      </c>
      <c r="B1366" s="4">
        <v>45273</v>
      </c>
      <c r="C1366" s="3" t="s">
        <v>68</v>
      </c>
      <c r="D1366" s="3" t="s">
        <v>1677</v>
      </c>
      <c r="E1366" s="3">
        <v>5731</v>
      </c>
      <c r="F1366" s="3">
        <v>28786</v>
      </c>
      <c r="G1366" s="3" t="s">
        <v>756</v>
      </c>
      <c r="H1366" s="3">
        <v>0</v>
      </c>
      <c r="I1366" s="3">
        <v>0</v>
      </c>
      <c r="J1366" s="5">
        <v>81450</v>
      </c>
      <c r="K1366" s="3">
        <v>0</v>
      </c>
      <c r="L1366" s="3">
        <v>0</v>
      </c>
      <c r="M1366" s="3">
        <v>0</v>
      </c>
      <c r="N1366" s="5">
        <v>27150</v>
      </c>
      <c r="O1366" s="3">
        <v>0</v>
      </c>
      <c r="P1366" s="5">
        <v>28150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5">
        <v>45000</v>
      </c>
      <c r="AB1366" s="6">
        <v>181750</v>
      </c>
      <c r="AC1366" s="2" t="str">
        <f>VLOOKUP(E1366,'[1]Detailed Transfer Report (12)'!$K:$Y,13,FALSE)</f>
        <v>Muhammad Faizan Chaudhary</v>
      </c>
      <c r="AD1366" s="2" t="str">
        <f>VLOOKUP(E1366,'[1]Detailed Transfer Report (12)'!$K:$Y,14,FALSE)</f>
        <v>Sardar Tanveer Ilyas</v>
      </c>
      <c r="AE1366" s="16">
        <f>VLOOKUP(E1366,'[1]Detailed Transfer Report (12)'!$K:$Y,15,FALSE)</f>
        <v>45290</v>
      </c>
    </row>
    <row r="1367" spans="1:31" x14ac:dyDescent="0.25">
      <c r="A1367" s="3">
        <v>711</v>
      </c>
      <c r="B1367" s="4">
        <v>45273</v>
      </c>
      <c r="C1367" s="3" t="s">
        <v>72</v>
      </c>
      <c r="D1367" s="3" t="s">
        <v>1677</v>
      </c>
      <c r="E1367" s="3" t="s">
        <v>1678</v>
      </c>
      <c r="F1367" s="3">
        <v>28904</v>
      </c>
      <c r="G1367" s="3" t="s">
        <v>756</v>
      </c>
      <c r="H1367" s="3">
        <v>0</v>
      </c>
      <c r="I1367" s="3">
        <v>0</v>
      </c>
      <c r="J1367" s="5">
        <v>325800</v>
      </c>
      <c r="K1367" s="3">
        <v>0</v>
      </c>
      <c r="L1367" s="3">
        <v>0</v>
      </c>
      <c r="M1367" s="3">
        <v>0</v>
      </c>
      <c r="N1367" s="5">
        <v>109000</v>
      </c>
      <c r="O1367" s="3">
        <v>0</v>
      </c>
      <c r="P1367" s="5">
        <v>110000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5">
        <v>100000</v>
      </c>
      <c r="AB1367" s="6">
        <v>644800</v>
      </c>
      <c r="AC1367" s="2" t="str">
        <f>VLOOKUP(E1367,'[1]Detailed Transfer Report (12)'!$K:$Y,13,FALSE)</f>
        <v>Raja Muhammad Yasin</v>
      </c>
      <c r="AD1367" s="2" t="str">
        <f>VLOOKUP(E1367,'[1]Detailed Transfer Report (12)'!$K:$Y,14,FALSE)</f>
        <v>Sardar Tanveer Ilyas</v>
      </c>
      <c r="AE1367" s="16">
        <f>VLOOKUP(E1367,'[1]Detailed Transfer Report (12)'!$K:$Y,15,FALSE)</f>
        <v>45290</v>
      </c>
    </row>
    <row r="1368" spans="1:31" x14ac:dyDescent="0.25">
      <c r="A1368" s="3">
        <v>712</v>
      </c>
      <c r="B1368" s="4">
        <v>45246</v>
      </c>
      <c r="C1368" s="3" t="s">
        <v>264</v>
      </c>
      <c r="D1368" s="3" t="s">
        <v>1677</v>
      </c>
      <c r="E1368" s="3"/>
      <c r="F1368" s="3"/>
      <c r="G1368" s="3" t="s">
        <v>756</v>
      </c>
      <c r="H1368" s="3">
        <v>0</v>
      </c>
      <c r="I1368" s="3">
        <v>0</v>
      </c>
      <c r="J1368" s="5">
        <v>90270</v>
      </c>
      <c r="K1368" s="3">
        <v>0</v>
      </c>
      <c r="L1368" s="3">
        <v>0</v>
      </c>
      <c r="M1368" s="3">
        <v>0</v>
      </c>
      <c r="N1368" s="5">
        <v>30090</v>
      </c>
      <c r="O1368" s="3">
        <v>0</v>
      </c>
      <c r="P1368" s="5">
        <v>31090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5">
        <v>30000</v>
      </c>
      <c r="AB1368" s="6">
        <v>181450</v>
      </c>
      <c r="AE1368" s="16"/>
    </row>
    <row r="1369" spans="1:31" x14ac:dyDescent="0.25">
      <c r="A1369" s="3">
        <v>713</v>
      </c>
      <c r="B1369" s="4">
        <v>45272</v>
      </c>
      <c r="C1369" s="3" t="s">
        <v>46</v>
      </c>
      <c r="D1369" s="3" t="s">
        <v>1677</v>
      </c>
      <c r="E1369" s="3">
        <v>5732</v>
      </c>
      <c r="F1369" s="3">
        <v>28787</v>
      </c>
      <c r="G1369" s="3" t="s">
        <v>756</v>
      </c>
      <c r="H1369" s="3">
        <v>0</v>
      </c>
      <c r="I1369" s="3">
        <v>0</v>
      </c>
      <c r="J1369" s="5">
        <v>108300</v>
      </c>
      <c r="K1369" s="3">
        <v>0</v>
      </c>
      <c r="L1369" s="3">
        <v>0</v>
      </c>
      <c r="M1369" s="3">
        <v>0</v>
      </c>
      <c r="N1369" s="5">
        <v>36200</v>
      </c>
      <c r="O1369" s="3">
        <v>0</v>
      </c>
      <c r="P1369" s="5">
        <v>37010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5">
        <v>60000</v>
      </c>
      <c r="AB1369" s="6">
        <v>241510</v>
      </c>
      <c r="AC1369" s="2" t="str">
        <f>VLOOKUP(E1369,'[1]Detailed Transfer Report (12)'!$K:$Y,13,FALSE)</f>
        <v>Arsalan ahmed</v>
      </c>
      <c r="AD1369" s="2" t="str">
        <f>VLOOKUP(E1369,'[1]Detailed Transfer Report (12)'!$K:$Y,14,FALSE)</f>
        <v>Sardar Tanveer Ilyas</v>
      </c>
      <c r="AE1369" s="16">
        <f>VLOOKUP(E1369,'[1]Detailed Transfer Report (12)'!$K:$Y,15,FALSE)</f>
        <v>45265</v>
      </c>
    </row>
    <row r="1370" spans="1:31" x14ac:dyDescent="0.25">
      <c r="A1370" s="7">
        <v>714</v>
      </c>
      <c r="B1370" s="4">
        <v>45252</v>
      </c>
      <c r="C1370" s="3" t="s">
        <v>1221</v>
      </c>
      <c r="D1370" s="3" t="s">
        <v>1679</v>
      </c>
      <c r="E1370" s="3"/>
      <c r="F1370" s="3">
        <v>28642</v>
      </c>
      <c r="G1370" s="3" t="s">
        <v>756</v>
      </c>
      <c r="H1370" s="3">
        <v>0</v>
      </c>
      <c r="I1370" s="3">
        <v>0</v>
      </c>
      <c r="J1370" s="5">
        <v>317000</v>
      </c>
      <c r="K1370" s="3">
        <v>0</v>
      </c>
      <c r="L1370" s="3">
        <v>0</v>
      </c>
      <c r="M1370" s="3">
        <v>0</v>
      </c>
      <c r="N1370" s="5">
        <v>106000</v>
      </c>
      <c r="O1370" s="3">
        <v>0</v>
      </c>
      <c r="P1370" s="5">
        <v>106440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5">
        <v>2000</v>
      </c>
      <c r="AA1370" s="5">
        <v>30000</v>
      </c>
      <c r="AB1370" s="6">
        <v>561440</v>
      </c>
      <c r="AC1370" s="2" t="str">
        <f>VLOOKUP(F1370,'[1]Detailed Transfer Report (12)'!$L:$Y,12,FALSE)</f>
        <v>Shahid Iqbal</v>
      </c>
      <c r="AD1370" s="2" t="str">
        <f>VLOOKUP(F1370,'[1]Detailed Transfer Report (12)'!$L:$Y,13,FALSE)</f>
        <v>Sardar Tanveer Ilyas</v>
      </c>
      <c r="AE1370" s="16">
        <f>VLOOKUP(F1370,'[1]Detailed Transfer Report (12)'!$L:$Y,14,FALSE)</f>
        <v>45264</v>
      </c>
    </row>
    <row r="1371" spans="1:31" x14ac:dyDescent="0.25">
      <c r="A1371" s="10">
        <v>714</v>
      </c>
      <c r="B1371" s="4">
        <v>45904</v>
      </c>
      <c r="C1371" s="3" t="s">
        <v>1680</v>
      </c>
      <c r="D1371" s="3" t="s">
        <v>1681</v>
      </c>
      <c r="E1371" s="3"/>
      <c r="F1371" s="3">
        <v>9272</v>
      </c>
      <c r="G1371" s="3" t="s">
        <v>756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6">
        <v>561440</v>
      </c>
      <c r="AC1371" s="2" t="str">
        <f>VLOOKUP(F1371,'[1]Detailed Transfer Report (12)'!$L:$Y,12,FALSE)</f>
        <v>Hayat Muhammad</v>
      </c>
      <c r="AD1371" s="2" t="str">
        <f>VLOOKUP(F1371,'[1]Detailed Transfer Report (12)'!$L:$Y,13,FALSE)</f>
        <v>Sardar Tanveer Ilyas</v>
      </c>
      <c r="AE1371" s="16">
        <f>VLOOKUP(F1371,'[1]Detailed Transfer Report (12)'!$L:$Y,14,FALSE)</f>
        <v>45521</v>
      </c>
    </row>
    <row r="1372" spans="1:31" x14ac:dyDescent="0.25">
      <c r="A1372" s="3">
        <v>715</v>
      </c>
      <c r="B1372" s="4">
        <v>45252</v>
      </c>
      <c r="C1372" s="3" t="s">
        <v>159</v>
      </c>
      <c r="D1372" s="3" t="s">
        <v>1679</v>
      </c>
      <c r="E1372" s="3"/>
      <c r="F1372" s="3">
        <v>28633</v>
      </c>
      <c r="G1372" s="3" t="s">
        <v>30</v>
      </c>
      <c r="H1372" s="3">
        <v>0</v>
      </c>
      <c r="I1372" s="3">
        <v>0</v>
      </c>
      <c r="J1372" s="5">
        <v>100000</v>
      </c>
      <c r="K1372" s="3">
        <v>0</v>
      </c>
      <c r="L1372" s="3">
        <v>0</v>
      </c>
      <c r="M1372" s="3">
        <v>0</v>
      </c>
      <c r="N1372" s="5">
        <v>34000</v>
      </c>
      <c r="O1372" s="3">
        <v>0</v>
      </c>
      <c r="P1372" s="5">
        <v>35000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5">
        <v>2000</v>
      </c>
      <c r="AA1372" s="5">
        <v>20000</v>
      </c>
      <c r="AB1372" s="6">
        <v>191000</v>
      </c>
      <c r="AC1372" s="2" t="str">
        <f>VLOOKUP(F1372,'[1]Detailed Transfer Report (12)'!$L:$Y,12,FALSE)</f>
        <v>Muhammad Rasheed Khan</v>
      </c>
      <c r="AD1372" s="2" t="str">
        <f>VLOOKUP(F1372,'[1]Detailed Transfer Report (12)'!$L:$Y,13,FALSE)</f>
        <v>Sardar Tanveer Ilyas</v>
      </c>
      <c r="AE1372" s="16">
        <f>VLOOKUP(F1372,'[1]Detailed Transfer Report (12)'!$L:$Y,14,FALSE)</f>
        <v>44930</v>
      </c>
    </row>
    <row r="1373" spans="1:31" x14ac:dyDescent="0.25">
      <c r="A1373" s="3">
        <v>716</v>
      </c>
      <c r="B1373" s="4">
        <v>45258</v>
      </c>
      <c r="C1373" s="3" t="s">
        <v>44</v>
      </c>
      <c r="D1373" s="3" t="s">
        <v>1671</v>
      </c>
      <c r="E1373" s="3">
        <v>6094</v>
      </c>
      <c r="F1373" s="3">
        <v>29245</v>
      </c>
      <c r="G1373" s="3" t="s">
        <v>756</v>
      </c>
      <c r="H1373" s="3">
        <v>0</v>
      </c>
      <c r="I1373" s="3">
        <v>0</v>
      </c>
      <c r="J1373" s="5">
        <v>54300</v>
      </c>
      <c r="K1373" s="3">
        <v>0</v>
      </c>
      <c r="L1373" s="5">
        <v>100000</v>
      </c>
      <c r="M1373" s="3">
        <v>0</v>
      </c>
      <c r="N1373" s="5">
        <v>18100</v>
      </c>
      <c r="O1373" s="3">
        <v>0</v>
      </c>
      <c r="P1373" s="5">
        <v>19100</v>
      </c>
      <c r="Q1373" s="3">
        <v>0</v>
      </c>
      <c r="R1373" s="5">
        <v>108600</v>
      </c>
      <c r="S1373" s="5">
        <v>9000</v>
      </c>
      <c r="T1373" s="3">
        <v>0</v>
      </c>
      <c r="U1373" s="3">
        <v>0</v>
      </c>
      <c r="V1373" s="3">
        <v>0</v>
      </c>
      <c r="W1373" s="3">
        <v>0</v>
      </c>
      <c r="X1373" s="5">
        <v>1300</v>
      </c>
      <c r="Y1373" s="3">
        <v>0</v>
      </c>
      <c r="Z1373" s="5">
        <v>2000</v>
      </c>
      <c r="AA1373" s="5">
        <v>16000</v>
      </c>
      <c r="AB1373" s="6">
        <v>328400</v>
      </c>
      <c r="AC1373" s="2" t="str">
        <f>VLOOKUP(E1373,'[1]Detailed Transfer Report (12)'!$K:$Y,13,FALSE)</f>
        <v>Waqar Younis</v>
      </c>
      <c r="AD1373" s="2" t="str">
        <f>VLOOKUP(E1373,'[1]Detailed Transfer Report (12)'!$K:$Y,14,FALSE)</f>
        <v>Sardar Tanveer Ilyas</v>
      </c>
      <c r="AE1373" s="16">
        <f>VLOOKUP(E1373,'[1]Detailed Transfer Report (12)'!$K:$Y,15,FALSE)</f>
        <v>45272</v>
      </c>
    </row>
    <row r="1374" spans="1:31" x14ac:dyDescent="0.25">
      <c r="A1374" s="7">
        <v>717</v>
      </c>
      <c r="B1374" s="4">
        <v>45258</v>
      </c>
      <c r="C1374" s="3" t="s">
        <v>153</v>
      </c>
      <c r="D1374" s="3" t="s">
        <v>1660</v>
      </c>
      <c r="E1374" s="3"/>
      <c r="F1374" s="3"/>
      <c r="G1374" s="3" t="s">
        <v>756</v>
      </c>
      <c r="H1374" s="3">
        <v>0</v>
      </c>
      <c r="I1374" s="3">
        <v>0</v>
      </c>
      <c r="J1374" s="5">
        <v>13560</v>
      </c>
      <c r="K1374" s="3">
        <v>0</v>
      </c>
      <c r="L1374" s="5">
        <v>25000</v>
      </c>
      <c r="M1374" s="3">
        <v>0</v>
      </c>
      <c r="N1374" s="5">
        <v>4520</v>
      </c>
      <c r="O1374" s="3">
        <v>0</v>
      </c>
      <c r="P1374" s="5">
        <v>5020</v>
      </c>
      <c r="Q1374" s="3">
        <v>0</v>
      </c>
      <c r="R1374" s="5">
        <v>27120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5">
        <v>1300</v>
      </c>
      <c r="Y1374" s="3">
        <v>0</v>
      </c>
      <c r="Z1374" s="5">
        <v>2000</v>
      </c>
      <c r="AA1374" s="5">
        <v>16000</v>
      </c>
      <c r="AB1374" s="6">
        <v>94520</v>
      </c>
      <c r="AE1374" s="16"/>
    </row>
    <row r="1375" spans="1:31" x14ac:dyDescent="0.25">
      <c r="A1375" s="9">
        <v>717</v>
      </c>
      <c r="B1375" s="4">
        <v>45539</v>
      </c>
      <c r="C1375" s="3" t="s">
        <v>137</v>
      </c>
      <c r="D1375" s="3" t="s">
        <v>1682</v>
      </c>
      <c r="E1375" s="3"/>
      <c r="F1375" s="3">
        <v>11758591</v>
      </c>
      <c r="G1375" s="3" t="s">
        <v>756</v>
      </c>
      <c r="H1375" s="3">
        <v>0</v>
      </c>
      <c r="I1375" s="3">
        <v>0</v>
      </c>
      <c r="J1375" s="5">
        <v>59400</v>
      </c>
      <c r="K1375" s="3">
        <v>0</v>
      </c>
      <c r="L1375" s="3">
        <v>0</v>
      </c>
      <c r="M1375" s="3">
        <v>0</v>
      </c>
      <c r="N1375" s="5">
        <v>9900</v>
      </c>
      <c r="O1375" s="3">
        <v>0</v>
      </c>
      <c r="P1375" s="5">
        <v>2000</v>
      </c>
      <c r="Q1375" s="3">
        <v>0</v>
      </c>
      <c r="R1375" s="5">
        <v>99000</v>
      </c>
      <c r="S1375" s="3">
        <v>0</v>
      </c>
      <c r="T1375" s="5">
        <v>8000</v>
      </c>
      <c r="U1375" s="3">
        <v>0</v>
      </c>
      <c r="V1375" s="5">
        <v>4500</v>
      </c>
      <c r="W1375" s="3">
        <v>0</v>
      </c>
      <c r="X1375" s="5">
        <v>1700</v>
      </c>
      <c r="Y1375" s="3">
        <v>0</v>
      </c>
      <c r="Z1375" s="5">
        <v>10900</v>
      </c>
      <c r="AA1375" s="5">
        <v>25900</v>
      </c>
      <c r="AB1375" s="6">
        <v>315820</v>
      </c>
      <c r="AC1375" s="2" t="str">
        <f>VLOOKUP(F1375,'[1]Detailed Transfer Report (12)'!$L:$Y,12,FALSE)</f>
        <v>Rab NAwaz</v>
      </c>
      <c r="AD1375" s="2" t="str">
        <f>VLOOKUP(F1375,'[1]Detailed Transfer Report (12)'!$L:$Y,13,FALSE)</f>
        <v>Sardar Tanveer Ilyas</v>
      </c>
      <c r="AE1375" s="16"/>
    </row>
    <row r="1376" spans="1:31" x14ac:dyDescent="0.25">
      <c r="A1376" s="9">
        <v>717</v>
      </c>
      <c r="B1376" s="4">
        <v>45539</v>
      </c>
      <c r="C1376" s="3" t="s">
        <v>44</v>
      </c>
      <c r="D1376" s="3" t="s">
        <v>1683</v>
      </c>
      <c r="E1376" s="3">
        <v>6238</v>
      </c>
      <c r="F1376" s="3">
        <v>8572</v>
      </c>
      <c r="G1376" s="3" t="s">
        <v>756</v>
      </c>
      <c r="H1376" s="3">
        <v>0</v>
      </c>
      <c r="I1376" s="3">
        <v>0</v>
      </c>
      <c r="J1376" s="5">
        <v>118500</v>
      </c>
      <c r="K1376" s="3">
        <v>0</v>
      </c>
      <c r="L1376" s="3">
        <v>0</v>
      </c>
      <c r="M1376" s="3">
        <v>0</v>
      </c>
      <c r="N1376" s="5">
        <v>19750</v>
      </c>
      <c r="O1376" s="3">
        <v>0</v>
      </c>
      <c r="P1376" s="5">
        <v>20750</v>
      </c>
      <c r="Q1376" s="3">
        <v>0</v>
      </c>
      <c r="R1376" s="5">
        <v>59250</v>
      </c>
      <c r="S1376" s="3">
        <v>0</v>
      </c>
      <c r="T1376" s="5">
        <v>8000</v>
      </c>
      <c r="U1376" s="3">
        <v>0</v>
      </c>
      <c r="V1376" s="5">
        <v>9000</v>
      </c>
      <c r="W1376" s="3">
        <v>0</v>
      </c>
      <c r="X1376" s="5">
        <v>1700</v>
      </c>
      <c r="Y1376" s="3">
        <v>0</v>
      </c>
      <c r="Z1376" s="5">
        <v>2000</v>
      </c>
      <c r="AA1376" s="5">
        <v>35750</v>
      </c>
      <c r="AB1376" s="6">
        <v>590520</v>
      </c>
      <c r="AC1376" s="2" t="str">
        <f>VLOOKUP(E1376,'[1]Detailed Transfer Report (12)'!$K:$Y,13,FALSE)</f>
        <v>Nazim Khan</v>
      </c>
      <c r="AD1376" s="2" t="str">
        <f>VLOOKUP(E1376,'[1]Detailed Transfer Report (12)'!$K:$Y,14,FALSE)</f>
        <v>Sardar Tanveer Ilyas</v>
      </c>
      <c r="AE1376" s="16">
        <f>VLOOKUP(E1376,'[1]Detailed Transfer Report (12)'!$K:$Y,15,FALSE)</f>
        <v>45539</v>
      </c>
    </row>
    <row r="1377" spans="1:31" x14ac:dyDescent="0.25">
      <c r="A1377" s="9">
        <v>717</v>
      </c>
      <c r="B1377" s="4">
        <v>45539</v>
      </c>
      <c r="C1377" s="3" t="s">
        <v>153</v>
      </c>
      <c r="D1377" s="3" t="s">
        <v>1684</v>
      </c>
      <c r="E1377" s="3">
        <v>5998</v>
      </c>
      <c r="F1377" s="3">
        <v>7201</v>
      </c>
      <c r="G1377" s="3" t="s">
        <v>756</v>
      </c>
      <c r="H1377" s="3">
        <v>0</v>
      </c>
      <c r="I1377" s="3">
        <v>0</v>
      </c>
      <c r="J1377" s="5">
        <v>30000</v>
      </c>
      <c r="K1377" s="3">
        <v>0</v>
      </c>
      <c r="L1377" s="3">
        <v>0</v>
      </c>
      <c r="M1377" s="3">
        <v>0</v>
      </c>
      <c r="N1377" s="5">
        <v>5000</v>
      </c>
      <c r="O1377" s="3">
        <v>0</v>
      </c>
      <c r="P1377" s="5">
        <v>2000</v>
      </c>
      <c r="Q1377" s="3">
        <v>0</v>
      </c>
      <c r="R1377" s="5">
        <v>50000</v>
      </c>
      <c r="S1377" s="3">
        <v>0</v>
      </c>
      <c r="T1377" s="5">
        <v>8000</v>
      </c>
      <c r="U1377" s="3">
        <v>0</v>
      </c>
      <c r="V1377" s="5">
        <v>2250</v>
      </c>
      <c r="W1377" s="3">
        <v>0</v>
      </c>
      <c r="X1377" s="5">
        <v>1700</v>
      </c>
      <c r="Y1377" s="3">
        <v>0</v>
      </c>
      <c r="Z1377" s="5">
        <v>5500</v>
      </c>
      <c r="AA1377" s="5">
        <v>21000</v>
      </c>
      <c r="AB1377" s="6">
        <v>715970</v>
      </c>
      <c r="AC1377" s="2" t="str">
        <f>VLOOKUP(E1377,'[1]Detailed Transfer Report (12)'!$K:$Y,13,FALSE)</f>
        <v>Nadeem Sajid</v>
      </c>
      <c r="AD1377" s="2" t="str">
        <f>VLOOKUP(E1377,'[1]Detailed Transfer Report (12)'!$K:$Y,14,FALSE)</f>
        <v>Sardar Tanveer Ilyas</v>
      </c>
      <c r="AE1377" s="16">
        <f>VLOOKUP(E1377,'[1]Detailed Transfer Report (12)'!$K:$Y,15,FALSE)</f>
        <v>45533</v>
      </c>
    </row>
    <row r="1378" spans="1:31" x14ac:dyDescent="0.25">
      <c r="A1378" s="9">
        <v>717</v>
      </c>
      <c r="B1378" s="4">
        <v>45539</v>
      </c>
      <c r="C1378" s="3" t="s">
        <v>44</v>
      </c>
      <c r="D1378" s="3" t="s">
        <v>822</v>
      </c>
      <c r="E1378" s="3">
        <v>6238</v>
      </c>
      <c r="F1378" s="3">
        <v>8034</v>
      </c>
      <c r="G1378" s="3" t="s">
        <v>756</v>
      </c>
      <c r="H1378" s="3">
        <v>0</v>
      </c>
      <c r="I1378" s="3">
        <v>0</v>
      </c>
      <c r="J1378" s="5">
        <v>118500</v>
      </c>
      <c r="K1378" s="3">
        <v>0</v>
      </c>
      <c r="L1378" s="3">
        <v>0</v>
      </c>
      <c r="M1378" s="3">
        <v>0</v>
      </c>
      <c r="N1378" s="5">
        <v>19750</v>
      </c>
      <c r="O1378" s="3">
        <v>0</v>
      </c>
      <c r="P1378" s="5">
        <v>20750</v>
      </c>
      <c r="Q1378" s="3">
        <v>0</v>
      </c>
      <c r="R1378" s="5">
        <v>59250</v>
      </c>
      <c r="S1378" s="3">
        <v>0</v>
      </c>
      <c r="T1378" s="5">
        <v>9000</v>
      </c>
      <c r="U1378" s="3">
        <v>0</v>
      </c>
      <c r="V1378" s="5">
        <v>8000</v>
      </c>
      <c r="W1378" s="3">
        <v>0</v>
      </c>
      <c r="X1378" s="5">
        <v>1700</v>
      </c>
      <c r="Y1378" s="3">
        <v>0</v>
      </c>
      <c r="Z1378" s="5">
        <v>2000</v>
      </c>
      <c r="AA1378" s="5">
        <v>35750</v>
      </c>
      <c r="AB1378" s="6">
        <v>990670</v>
      </c>
      <c r="AC1378" s="2" t="str">
        <f>VLOOKUP(E1378,'[1]Detailed Transfer Report (12)'!$K:$Y,13,FALSE)</f>
        <v>Nazim Khan</v>
      </c>
      <c r="AD1378" s="2" t="str">
        <f>VLOOKUP(E1378,'[1]Detailed Transfer Report (12)'!$K:$Y,14,FALSE)</f>
        <v>Sardar Tanveer Ilyas</v>
      </c>
      <c r="AE1378" s="16">
        <f>VLOOKUP(E1378,'[1]Detailed Transfer Report (12)'!$K:$Y,15,FALSE)</f>
        <v>45539</v>
      </c>
    </row>
    <row r="1379" spans="1:31" x14ac:dyDescent="0.25">
      <c r="A1379" s="9">
        <v>717</v>
      </c>
      <c r="B1379" s="4">
        <v>45539</v>
      </c>
      <c r="C1379" s="3" t="s">
        <v>137</v>
      </c>
      <c r="D1379" s="3" t="s">
        <v>1683</v>
      </c>
      <c r="E1379" s="3">
        <v>6289</v>
      </c>
      <c r="F1379" s="3">
        <v>8033</v>
      </c>
      <c r="G1379" s="3" t="s">
        <v>756</v>
      </c>
      <c r="H1379" s="3">
        <v>0</v>
      </c>
      <c r="I1379" s="3">
        <v>0</v>
      </c>
      <c r="J1379" s="5">
        <v>59400</v>
      </c>
      <c r="K1379" s="3">
        <v>0</v>
      </c>
      <c r="L1379" s="3">
        <v>0</v>
      </c>
      <c r="M1379" s="3">
        <v>0</v>
      </c>
      <c r="N1379" s="5">
        <v>9900</v>
      </c>
      <c r="O1379" s="3">
        <v>0</v>
      </c>
      <c r="P1379" s="5">
        <v>10900</v>
      </c>
      <c r="Q1379" s="3">
        <v>0</v>
      </c>
      <c r="R1379" s="5">
        <v>99000</v>
      </c>
      <c r="S1379" s="3">
        <v>0</v>
      </c>
      <c r="T1379" s="5">
        <v>8000</v>
      </c>
      <c r="U1379" s="3">
        <v>0</v>
      </c>
      <c r="V1379" s="5">
        <v>4500</v>
      </c>
      <c r="W1379" s="3">
        <v>0</v>
      </c>
      <c r="X1379" s="5">
        <v>1700</v>
      </c>
      <c r="Y1379" s="3">
        <v>0</v>
      </c>
      <c r="Z1379" s="5">
        <v>2000</v>
      </c>
      <c r="AA1379" s="5">
        <v>25900</v>
      </c>
      <c r="AB1379" s="6">
        <v>1211970</v>
      </c>
      <c r="AC1379" s="2" t="str">
        <f>VLOOKUP(E1379,'[1]Detailed Transfer Report (12)'!$K:$Y,13,FALSE)</f>
        <v>Thana Dar Khan</v>
      </c>
      <c r="AD1379" s="2" t="str">
        <f>VLOOKUP(E1379,'[1]Detailed Transfer Report (12)'!$K:$Y,14,FALSE)</f>
        <v>Sardar Tanveer Ilyas</v>
      </c>
      <c r="AE1379" s="16">
        <f>VLOOKUP(E1379,'[1]Detailed Transfer Report (12)'!$K:$Y,15,FALSE)</f>
        <v>45539</v>
      </c>
    </row>
    <row r="1380" spans="1:31" x14ac:dyDescent="0.25">
      <c r="A1380" s="9">
        <v>717</v>
      </c>
      <c r="B1380" s="4">
        <v>45520</v>
      </c>
      <c r="C1380" s="3" t="s">
        <v>153</v>
      </c>
      <c r="D1380" s="3" t="s">
        <v>1682</v>
      </c>
      <c r="E1380" s="3">
        <v>5999</v>
      </c>
      <c r="F1380" s="3">
        <v>7039</v>
      </c>
      <c r="G1380" s="3" t="s">
        <v>756</v>
      </c>
      <c r="H1380" s="3">
        <v>0</v>
      </c>
      <c r="I1380" s="3">
        <v>0</v>
      </c>
      <c r="J1380" s="5">
        <v>30000</v>
      </c>
      <c r="K1380" s="3">
        <v>0</v>
      </c>
      <c r="L1380" s="3">
        <v>0</v>
      </c>
      <c r="M1380" s="3">
        <v>0</v>
      </c>
      <c r="N1380" s="5">
        <v>5000</v>
      </c>
      <c r="O1380" s="3">
        <v>0</v>
      </c>
      <c r="P1380" s="5">
        <v>2000</v>
      </c>
      <c r="Q1380" s="3">
        <v>0</v>
      </c>
      <c r="R1380" s="5">
        <v>50000</v>
      </c>
      <c r="S1380" s="3">
        <v>0</v>
      </c>
      <c r="T1380" s="5">
        <v>8000</v>
      </c>
      <c r="U1380" s="3">
        <v>0</v>
      </c>
      <c r="V1380" s="5">
        <v>2250</v>
      </c>
      <c r="W1380" s="3">
        <v>0</v>
      </c>
      <c r="X1380" s="5">
        <v>1700</v>
      </c>
      <c r="Y1380" s="3">
        <v>0</v>
      </c>
      <c r="Z1380" s="5">
        <v>5500</v>
      </c>
      <c r="AA1380" s="5">
        <v>21000</v>
      </c>
      <c r="AB1380" s="6">
        <v>1337420</v>
      </c>
      <c r="AC1380" s="2" t="str">
        <f>VLOOKUP(E1380,'[1]Detailed Transfer Report (12)'!$K:$Y,13,FALSE)</f>
        <v>Khan Muhammad</v>
      </c>
      <c r="AD1380" s="2" t="str">
        <f>VLOOKUP(E1380,'[1]Detailed Transfer Report (12)'!$K:$Y,14,FALSE)</f>
        <v>Sardar Tanveer Ilyas</v>
      </c>
      <c r="AE1380" s="16">
        <f>VLOOKUP(E1380,'[1]Detailed Transfer Report (12)'!$K:$Y,15,FALSE)</f>
        <v>45533</v>
      </c>
    </row>
    <row r="1381" spans="1:31" x14ac:dyDescent="0.25">
      <c r="A1381" s="10">
        <v>717</v>
      </c>
      <c r="B1381" s="4">
        <v>45539</v>
      </c>
      <c r="C1381" s="3" t="s">
        <v>153</v>
      </c>
      <c r="D1381" s="3" t="s">
        <v>1684</v>
      </c>
      <c r="E1381" s="3">
        <v>5998</v>
      </c>
      <c r="F1381" s="3">
        <v>7497</v>
      </c>
      <c r="G1381" s="3" t="s">
        <v>756</v>
      </c>
      <c r="H1381" s="5">
        <v>50000</v>
      </c>
      <c r="I1381" s="3">
        <v>0</v>
      </c>
      <c r="J1381" s="5">
        <v>30000</v>
      </c>
      <c r="K1381" s="3">
        <v>0</v>
      </c>
      <c r="L1381" s="3">
        <v>0</v>
      </c>
      <c r="M1381" s="3">
        <v>0</v>
      </c>
      <c r="N1381" s="5">
        <v>5000</v>
      </c>
      <c r="O1381" s="3">
        <v>0</v>
      </c>
      <c r="P1381" s="5">
        <v>2000</v>
      </c>
      <c r="Q1381" s="3">
        <v>0</v>
      </c>
      <c r="R1381" s="3">
        <v>0</v>
      </c>
      <c r="S1381" s="3">
        <v>0</v>
      </c>
      <c r="T1381" s="5">
        <v>8000</v>
      </c>
      <c r="U1381" s="3">
        <v>0</v>
      </c>
      <c r="V1381" s="5">
        <v>2250</v>
      </c>
      <c r="W1381" s="3">
        <v>0</v>
      </c>
      <c r="X1381" s="5">
        <v>1700</v>
      </c>
      <c r="Y1381" s="3">
        <v>0</v>
      </c>
      <c r="Z1381" s="5">
        <v>5500</v>
      </c>
      <c r="AA1381" s="5">
        <v>21000</v>
      </c>
      <c r="AB1381" s="6">
        <v>1462870</v>
      </c>
      <c r="AC1381" s="2" t="str">
        <f>VLOOKUP(E1381,'[1]Detailed Transfer Report (12)'!$K:$Y,13,FALSE)</f>
        <v>Nadeem Sajid</v>
      </c>
      <c r="AD1381" s="2" t="str">
        <f>VLOOKUP(E1381,'[1]Detailed Transfer Report (12)'!$K:$Y,14,FALSE)</f>
        <v>Sardar Tanveer Ilyas</v>
      </c>
      <c r="AE1381" s="16">
        <f>VLOOKUP(E1381,'[1]Detailed Transfer Report (12)'!$K:$Y,15,FALSE)</f>
        <v>45533</v>
      </c>
    </row>
    <row r="1382" spans="1:31" x14ac:dyDescent="0.25">
      <c r="A1382" s="3">
        <v>718</v>
      </c>
      <c r="B1382" s="4">
        <v>45258</v>
      </c>
      <c r="C1382" s="3" t="s">
        <v>44</v>
      </c>
      <c r="D1382" s="3" t="s">
        <v>1660</v>
      </c>
      <c r="E1382" s="3"/>
      <c r="F1382" s="3"/>
      <c r="G1382" s="3" t="s">
        <v>756</v>
      </c>
      <c r="H1382" s="3">
        <v>0</v>
      </c>
      <c r="I1382" s="3">
        <v>0</v>
      </c>
      <c r="J1382" s="5">
        <v>54300</v>
      </c>
      <c r="K1382" s="3">
        <v>0</v>
      </c>
      <c r="L1382" s="5">
        <v>100000</v>
      </c>
      <c r="M1382" s="3">
        <v>0</v>
      </c>
      <c r="N1382" s="5">
        <v>18100</v>
      </c>
      <c r="O1382" s="3">
        <v>0</v>
      </c>
      <c r="P1382" s="5">
        <v>19100</v>
      </c>
      <c r="Q1382" s="3">
        <v>0</v>
      </c>
      <c r="R1382" s="5">
        <v>108600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5">
        <v>1300</v>
      </c>
      <c r="Y1382" s="3">
        <v>0</v>
      </c>
      <c r="Z1382" s="5">
        <v>2000</v>
      </c>
      <c r="AA1382" s="5">
        <v>16000</v>
      </c>
      <c r="AB1382" s="6">
        <v>319400</v>
      </c>
      <c r="AE1382" s="16"/>
    </row>
    <row r="1383" spans="1:31" x14ac:dyDescent="0.25">
      <c r="A1383" s="3">
        <v>719</v>
      </c>
      <c r="B1383" s="4">
        <v>45258</v>
      </c>
      <c r="C1383" s="3" t="s">
        <v>137</v>
      </c>
      <c r="D1383" s="3" t="s">
        <v>822</v>
      </c>
      <c r="E1383" s="3"/>
      <c r="F1383" s="3"/>
      <c r="G1383" s="3" t="s">
        <v>756</v>
      </c>
      <c r="H1383" s="3">
        <v>0</v>
      </c>
      <c r="I1383" s="3">
        <v>0</v>
      </c>
      <c r="J1383" s="3">
        <v>0</v>
      </c>
      <c r="K1383" s="3">
        <v>0</v>
      </c>
      <c r="L1383" s="5">
        <v>50000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6">
        <v>50000</v>
      </c>
      <c r="AE1383" s="16"/>
    </row>
    <row r="1384" spans="1:31" x14ac:dyDescent="0.25">
      <c r="A1384" s="3">
        <v>720</v>
      </c>
      <c r="B1384" s="4">
        <v>45258</v>
      </c>
      <c r="C1384" s="3" t="s">
        <v>323</v>
      </c>
      <c r="D1384" s="3" t="s">
        <v>822</v>
      </c>
      <c r="E1384" s="3"/>
      <c r="F1384" s="3"/>
      <c r="G1384" s="3" t="s">
        <v>1469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8">
        <v>0</v>
      </c>
      <c r="AE1384" s="16"/>
    </row>
    <row r="1385" spans="1:31" x14ac:dyDescent="0.25">
      <c r="A1385" s="7">
        <v>721</v>
      </c>
      <c r="B1385" s="4">
        <v>45258</v>
      </c>
      <c r="C1385" s="3" t="s">
        <v>46</v>
      </c>
      <c r="D1385" s="3" t="s">
        <v>1685</v>
      </c>
      <c r="E1385" s="3">
        <v>4026</v>
      </c>
      <c r="F1385" s="3" t="s">
        <v>1686</v>
      </c>
      <c r="G1385" s="3" t="s">
        <v>1179</v>
      </c>
      <c r="H1385" s="3">
        <v>0</v>
      </c>
      <c r="I1385" s="3">
        <v>0</v>
      </c>
      <c r="J1385" s="5">
        <v>175200</v>
      </c>
      <c r="K1385" s="3">
        <v>0</v>
      </c>
      <c r="L1385" s="3">
        <v>0</v>
      </c>
      <c r="M1385" s="3">
        <v>0</v>
      </c>
      <c r="N1385" s="5">
        <v>58400</v>
      </c>
      <c r="O1385" s="3">
        <v>0</v>
      </c>
      <c r="P1385" s="3">
        <v>0</v>
      </c>
      <c r="Q1385" s="3">
        <v>0</v>
      </c>
      <c r="R1385" s="5">
        <v>350400</v>
      </c>
      <c r="S1385" s="3">
        <v>0</v>
      </c>
      <c r="T1385" s="3">
        <v>0</v>
      </c>
      <c r="U1385" s="3">
        <v>0</v>
      </c>
      <c r="V1385" s="5">
        <v>1000</v>
      </c>
      <c r="W1385" s="3">
        <v>0</v>
      </c>
      <c r="X1385" s="3">
        <v>0</v>
      </c>
      <c r="Y1385" s="3">
        <v>0</v>
      </c>
      <c r="Z1385" s="5">
        <v>59400</v>
      </c>
      <c r="AA1385" s="5">
        <v>30000</v>
      </c>
      <c r="AB1385" s="6">
        <v>674400</v>
      </c>
      <c r="AC1385" s="2" t="str">
        <f>VLOOKUP(E1385,'[1]Detailed Transfer Report (12)'!$K:$Y,13,FALSE)</f>
        <v>Muhammad Arif</v>
      </c>
      <c r="AD1385" s="2" t="str">
        <f>VLOOKUP(E1385,'[1]Detailed Transfer Report (12)'!$K:$Y,14,FALSE)</f>
        <v>Sardar Tanveer Ilyas</v>
      </c>
      <c r="AE1385" s="16">
        <f>VLOOKUP(E1385,'[1]Detailed Transfer Report (12)'!$K:$Y,15,FALSE)</f>
        <v>45253</v>
      </c>
    </row>
    <row r="1386" spans="1:31" x14ac:dyDescent="0.25">
      <c r="A1386" s="10">
        <v>721</v>
      </c>
      <c r="B1386" s="4">
        <v>45258</v>
      </c>
      <c r="C1386" s="3" t="s">
        <v>137</v>
      </c>
      <c r="D1386" s="3" t="s">
        <v>822</v>
      </c>
      <c r="E1386" s="3">
        <v>4025</v>
      </c>
      <c r="F1386" s="3" t="s">
        <v>1687</v>
      </c>
      <c r="G1386" s="3" t="s">
        <v>1179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6">
        <v>674400</v>
      </c>
      <c r="AC1386" s="2" t="str">
        <f>VLOOKUP(E1386,'[1]Detailed Transfer Report (12)'!$K:$Y,13,FALSE)</f>
        <v>Waqar Ahmed</v>
      </c>
      <c r="AD1386" s="2" t="str">
        <f>VLOOKUP(E1386,'[1]Detailed Transfer Report (12)'!$K:$Y,14,FALSE)</f>
        <v>Sardar Tanveer Ilyas</v>
      </c>
      <c r="AE1386" s="16">
        <f>VLOOKUP(E1386,'[1]Detailed Transfer Report (12)'!$K:$Y,15,FALSE)</f>
        <v>45253</v>
      </c>
    </row>
    <row r="1387" spans="1:31" x14ac:dyDescent="0.25">
      <c r="A1387" s="3">
        <v>722</v>
      </c>
      <c r="B1387" s="4">
        <v>45258</v>
      </c>
      <c r="C1387" s="3" t="s">
        <v>137</v>
      </c>
      <c r="D1387" s="3" t="s">
        <v>822</v>
      </c>
      <c r="E1387" s="3">
        <v>5656</v>
      </c>
      <c r="F1387" s="3">
        <v>22437</v>
      </c>
      <c r="G1387" s="3" t="s">
        <v>756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8">
        <v>0</v>
      </c>
      <c r="AC1387" s="2" t="str">
        <f>VLOOKUP(E1387,'[1]Detailed Transfer Report (12)'!$K:$Y,13,FALSE)</f>
        <v>Khurram Shahzad</v>
      </c>
      <c r="AD1387" s="2" t="str">
        <f>VLOOKUP(E1387,'[1]Detailed Transfer Report (12)'!$K:$Y,14,FALSE)</f>
        <v>Sardar Tanveer Ilyas</v>
      </c>
      <c r="AE1387" s="16"/>
    </row>
    <row r="1388" spans="1:31" x14ac:dyDescent="0.25">
      <c r="A1388" s="3">
        <v>723</v>
      </c>
      <c r="B1388" s="4">
        <v>45262</v>
      </c>
      <c r="C1388" s="3" t="s">
        <v>44</v>
      </c>
      <c r="D1388" s="3" t="s">
        <v>1685</v>
      </c>
      <c r="E1388" s="3">
        <v>679</v>
      </c>
      <c r="F1388" s="3">
        <v>24697</v>
      </c>
      <c r="G1388" s="3" t="s">
        <v>41</v>
      </c>
      <c r="H1388" s="3">
        <v>0</v>
      </c>
      <c r="I1388" s="3">
        <v>0</v>
      </c>
      <c r="J1388" s="5">
        <v>48330</v>
      </c>
      <c r="K1388" s="3">
        <v>0</v>
      </c>
      <c r="L1388" s="3">
        <v>0</v>
      </c>
      <c r="M1388" s="3">
        <v>0</v>
      </c>
      <c r="N1388" s="5">
        <v>16110</v>
      </c>
      <c r="O1388" s="3">
        <v>0</v>
      </c>
      <c r="P1388" s="3">
        <v>0</v>
      </c>
      <c r="Q1388" s="3">
        <v>0</v>
      </c>
      <c r="R1388" s="5">
        <v>96660</v>
      </c>
      <c r="S1388" s="3">
        <v>0</v>
      </c>
      <c r="T1388" s="3">
        <v>0</v>
      </c>
      <c r="U1388" s="3">
        <v>0</v>
      </c>
      <c r="V1388" s="5">
        <v>1000</v>
      </c>
      <c r="W1388" s="3">
        <v>0</v>
      </c>
      <c r="X1388" s="3">
        <v>0</v>
      </c>
      <c r="Y1388" s="3">
        <v>0</v>
      </c>
      <c r="Z1388" s="5">
        <v>17110</v>
      </c>
      <c r="AA1388" s="5">
        <v>17000</v>
      </c>
      <c r="AB1388" s="6">
        <v>196210</v>
      </c>
      <c r="AC1388" s="2" t="str">
        <f>VLOOKUP(E1388,'[1]Detailed Transfer Report (12)'!$K:$Y,13,FALSE)</f>
        <v>Toseef Ahmed</v>
      </c>
      <c r="AD1388" s="2" t="str">
        <f>VLOOKUP(E1388,'[1]Detailed Transfer Report (12)'!$K:$Y,14,FALSE)</f>
        <v>Sardar Tanveer Ilyas</v>
      </c>
      <c r="AE1388" s="16">
        <f>VLOOKUP(E1388,'[1]Detailed Transfer Report (12)'!$K:$Y,15,FALSE)</f>
        <v>45190</v>
      </c>
    </row>
    <row r="1389" spans="1:31" x14ac:dyDescent="0.25">
      <c r="A1389" s="3">
        <v>724</v>
      </c>
      <c r="B1389" s="4">
        <v>45262</v>
      </c>
      <c r="C1389" s="3" t="s">
        <v>1688</v>
      </c>
      <c r="D1389" s="3" t="s">
        <v>822</v>
      </c>
      <c r="E1389" s="3">
        <v>4905</v>
      </c>
      <c r="F1389" s="3">
        <v>24582</v>
      </c>
      <c r="G1389" s="3" t="s">
        <v>30</v>
      </c>
      <c r="H1389" s="3">
        <v>0</v>
      </c>
      <c r="I1389" s="3">
        <v>0</v>
      </c>
      <c r="J1389" s="5">
        <v>76980</v>
      </c>
      <c r="K1389" s="3">
        <v>0</v>
      </c>
      <c r="L1389" s="3">
        <v>0</v>
      </c>
      <c r="M1389" s="3">
        <v>0</v>
      </c>
      <c r="N1389" s="5">
        <v>25660</v>
      </c>
      <c r="O1389" s="3">
        <v>0</v>
      </c>
      <c r="P1389" s="3">
        <v>0</v>
      </c>
      <c r="Q1389" s="3">
        <v>0</v>
      </c>
      <c r="R1389" s="5">
        <v>153960</v>
      </c>
      <c r="S1389" s="3">
        <v>0</v>
      </c>
      <c r="T1389" s="5">
        <v>1000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5">
        <v>26660</v>
      </c>
      <c r="AA1389" s="5">
        <v>22000</v>
      </c>
      <c r="AB1389" s="6">
        <v>306260</v>
      </c>
      <c r="AC1389" s="2" t="str">
        <f>VLOOKUP(E1389,'[1]Detailed Transfer Report (12)'!$K:$Y,13,FALSE)</f>
        <v>Junaid Qamar</v>
      </c>
      <c r="AD1389" s="2" t="str">
        <f>VLOOKUP(E1389,'[1]Detailed Transfer Report (12)'!$K:$Y,14,FALSE)</f>
        <v>Sardar Tanveer Ilyas</v>
      </c>
      <c r="AE1389" s="16">
        <f>VLOOKUP(E1389,'[1]Detailed Transfer Report (12)'!$K:$Y,15,FALSE)</f>
        <v>45192</v>
      </c>
    </row>
    <row r="1390" spans="1:31" x14ac:dyDescent="0.25">
      <c r="A1390" s="3">
        <v>725</v>
      </c>
      <c r="B1390" s="4">
        <v>45267</v>
      </c>
      <c r="C1390" s="3" t="s">
        <v>1689</v>
      </c>
      <c r="D1390" s="3" t="s">
        <v>1685</v>
      </c>
      <c r="E1390" s="3"/>
      <c r="F1390" s="3">
        <v>26115</v>
      </c>
      <c r="G1390" s="3" t="s">
        <v>756</v>
      </c>
      <c r="H1390" s="3">
        <v>0</v>
      </c>
      <c r="I1390" s="3">
        <v>0</v>
      </c>
      <c r="J1390" s="5">
        <v>166500</v>
      </c>
      <c r="K1390" s="3">
        <v>0</v>
      </c>
      <c r="L1390" s="3">
        <v>0</v>
      </c>
      <c r="M1390" s="3">
        <v>0</v>
      </c>
      <c r="N1390" s="5">
        <v>55500</v>
      </c>
      <c r="O1390" s="3">
        <v>0</v>
      </c>
      <c r="P1390" s="3">
        <v>0</v>
      </c>
      <c r="Q1390" s="3">
        <v>0</v>
      </c>
      <c r="R1390" s="5">
        <v>166500</v>
      </c>
      <c r="S1390" s="3">
        <v>0</v>
      </c>
      <c r="T1390" s="5">
        <v>1000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5">
        <v>56500</v>
      </c>
      <c r="AA1390" s="5">
        <v>35000</v>
      </c>
      <c r="AB1390" s="6">
        <v>481000</v>
      </c>
      <c r="AC1390" s="2" t="str">
        <f>VLOOKUP(F1390,'[1]Detailed Transfer Report (12)'!$L:$Y,12,FALSE)</f>
        <v>Faheem Sarwar</v>
      </c>
      <c r="AD1390" s="2" t="str">
        <f>VLOOKUP(F1390,'[1]Detailed Transfer Report (12)'!$L:$Y,13,FALSE)</f>
        <v>Sardar Tanveer Ilyas</v>
      </c>
      <c r="AE1390" s="16">
        <f>VLOOKUP(F1390,'[1]Detailed Transfer Report (12)'!$L:$Y,14,FALSE)</f>
        <v>45225</v>
      </c>
    </row>
    <row r="1391" spans="1:31" x14ac:dyDescent="0.25">
      <c r="A1391" s="7">
        <v>726</v>
      </c>
      <c r="B1391" s="4">
        <v>45271</v>
      </c>
      <c r="C1391" s="3" t="s">
        <v>1690</v>
      </c>
      <c r="D1391" s="3" t="s">
        <v>1691</v>
      </c>
      <c r="E1391" s="3"/>
      <c r="F1391" s="3">
        <v>11900106</v>
      </c>
      <c r="G1391" s="3" t="s">
        <v>41</v>
      </c>
      <c r="H1391" s="3">
        <v>0</v>
      </c>
      <c r="I1391" s="3">
        <v>0</v>
      </c>
      <c r="J1391" s="5">
        <v>87000</v>
      </c>
      <c r="K1391" s="3">
        <v>0</v>
      </c>
      <c r="L1391" s="3">
        <v>0</v>
      </c>
      <c r="M1391" s="3">
        <v>0</v>
      </c>
      <c r="N1391" s="5">
        <v>14500</v>
      </c>
      <c r="O1391" s="3">
        <v>0</v>
      </c>
      <c r="P1391" s="5">
        <v>15500</v>
      </c>
      <c r="Q1391" s="3">
        <v>0</v>
      </c>
      <c r="R1391" s="5">
        <v>43500</v>
      </c>
      <c r="S1391" s="5">
        <v>7020</v>
      </c>
      <c r="T1391" s="5">
        <v>8000</v>
      </c>
      <c r="U1391" s="3">
        <v>0</v>
      </c>
      <c r="V1391" s="3">
        <v>0</v>
      </c>
      <c r="W1391" s="3">
        <v>0</v>
      </c>
      <c r="X1391" s="5">
        <v>1700</v>
      </c>
      <c r="Y1391" s="3">
        <v>0</v>
      </c>
      <c r="Z1391" s="5">
        <v>2000</v>
      </c>
      <c r="AA1391" s="5">
        <v>16000</v>
      </c>
      <c r="AB1391" s="6">
        <v>195220</v>
      </c>
      <c r="AC1391" s="2" t="str">
        <f>VLOOKUP(F1391,'[1]Detailed Transfer Report (12)'!$L:$Y,12,FALSE)</f>
        <v>Tariq Mehmood</v>
      </c>
      <c r="AD1391" s="2" t="str">
        <f>VLOOKUP(F1391,'[1]Detailed Transfer Report (12)'!$L:$Y,13,FALSE)</f>
        <v>Sardar Tanveer Ilyas</v>
      </c>
      <c r="AE1391" s="16"/>
    </row>
    <row r="1392" spans="1:31" x14ac:dyDescent="0.25">
      <c r="A1392" s="10">
        <v>726</v>
      </c>
      <c r="B1392" s="4">
        <v>45546</v>
      </c>
      <c r="C1392" s="3" t="s">
        <v>1692</v>
      </c>
      <c r="D1392" s="3" t="s">
        <v>1691</v>
      </c>
      <c r="E1392" s="3"/>
      <c r="F1392" s="3">
        <v>11900264</v>
      </c>
      <c r="G1392" s="3" t="s">
        <v>41</v>
      </c>
      <c r="H1392" s="3">
        <v>0</v>
      </c>
      <c r="I1392" s="3">
        <v>0</v>
      </c>
      <c r="J1392" s="5">
        <v>15000</v>
      </c>
      <c r="K1392" s="3">
        <v>0</v>
      </c>
      <c r="L1392" s="3">
        <v>0</v>
      </c>
      <c r="M1392" s="3">
        <v>0</v>
      </c>
      <c r="N1392" s="5">
        <v>2500</v>
      </c>
      <c r="O1392" s="3">
        <v>0</v>
      </c>
      <c r="P1392" s="5">
        <v>3000</v>
      </c>
      <c r="Q1392" s="3">
        <v>0</v>
      </c>
      <c r="R1392" s="5">
        <v>25000</v>
      </c>
      <c r="S1392" s="5">
        <v>1350</v>
      </c>
      <c r="T1392" s="5">
        <v>8000</v>
      </c>
      <c r="U1392" s="3">
        <v>0</v>
      </c>
      <c r="V1392" s="3">
        <v>0</v>
      </c>
      <c r="W1392" s="3">
        <v>0</v>
      </c>
      <c r="X1392" s="5">
        <v>1700</v>
      </c>
      <c r="Y1392" s="3">
        <v>0</v>
      </c>
      <c r="Z1392" s="5">
        <v>2000</v>
      </c>
      <c r="AA1392" s="5">
        <v>16000</v>
      </c>
      <c r="AB1392" s="6">
        <v>269770</v>
      </c>
      <c r="AC1392" s="2" t="str">
        <f>VLOOKUP(F1392,'[1]Detailed Transfer Report (12)'!$L:$Y,12,FALSE)</f>
        <v>Malik Azhar Mehmood Awan</v>
      </c>
      <c r="AD1392" s="2" t="str">
        <f>VLOOKUP(F1392,'[1]Detailed Transfer Report (12)'!$L:$Y,13,FALSE)</f>
        <v>Sardar Tanveer Ilyas</v>
      </c>
      <c r="AE1392" s="16"/>
    </row>
    <row r="1393" spans="1:31" x14ac:dyDescent="0.25">
      <c r="A1393" s="3">
        <v>727</v>
      </c>
      <c r="B1393" s="4">
        <v>45544</v>
      </c>
      <c r="C1393" s="3" t="s">
        <v>673</v>
      </c>
      <c r="D1393" s="3" t="s">
        <v>1645</v>
      </c>
      <c r="E1393" s="3">
        <v>4134</v>
      </c>
      <c r="F1393" s="3">
        <v>614</v>
      </c>
      <c r="G1393" s="3" t="s">
        <v>1179</v>
      </c>
      <c r="H1393" s="3">
        <v>0</v>
      </c>
      <c r="I1393" s="3">
        <v>0</v>
      </c>
      <c r="J1393" s="5">
        <v>33000</v>
      </c>
      <c r="K1393" s="3">
        <v>0</v>
      </c>
      <c r="L1393" s="3">
        <v>0</v>
      </c>
      <c r="M1393" s="3">
        <v>0</v>
      </c>
      <c r="N1393" s="5">
        <v>5500</v>
      </c>
      <c r="O1393" s="3">
        <v>0</v>
      </c>
      <c r="P1393" s="5">
        <v>6500</v>
      </c>
      <c r="Q1393" s="3">
        <v>0</v>
      </c>
      <c r="R1393" s="5">
        <v>55000</v>
      </c>
      <c r="S1393" s="3">
        <v>0</v>
      </c>
      <c r="T1393" s="5">
        <v>5500</v>
      </c>
      <c r="U1393" s="3">
        <v>0</v>
      </c>
      <c r="V1393" s="5">
        <v>8000</v>
      </c>
      <c r="W1393" s="3">
        <v>0</v>
      </c>
      <c r="X1393" s="5">
        <v>1700</v>
      </c>
      <c r="Y1393" s="3">
        <v>0</v>
      </c>
      <c r="Z1393" s="5">
        <v>2000</v>
      </c>
      <c r="AA1393" s="5">
        <v>16000</v>
      </c>
      <c r="AB1393" s="6">
        <v>133200</v>
      </c>
      <c r="AC1393" s="2" t="str">
        <f>VLOOKUP(E1393,'[1]Detailed Transfer Report (12)'!$K:$Y,13,FALSE)</f>
        <v>Abid</v>
      </c>
      <c r="AD1393" s="2" t="str">
        <f>VLOOKUP(E1393,'[1]Detailed Transfer Report (12)'!$K:$Y,14,FALSE)</f>
        <v>Sardar Tanveer Ilyas</v>
      </c>
      <c r="AE1393" s="16">
        <f>VLOOKUP(E1393,'[1]Detailed Transfer Report (12)'!$K:$Y,15,FALSE)</f>
        <v>45533</v>
      </c>
    </row>
    <row r="1394" spans="1:31" x14ac:dyDescent="0.25">
      <c r="A1394" s="3">
        <v>728</v>
      </c>
      <c r="B1394" s="4">
        <v>45272</v>
      </c>
      <c r="C1394" s="3" t="s">
        <v>205</v>
      </c>
      <c r="D1394" s="3" t="s">
        <v>1693</v>
      </c>
      <c r="E1394" s="3">
        <v>5998</v>
      </c>
      <c r="F1394" s="3">
        <v>7036</v>
      </c>
      <c r="G1394" s="3" t="s">
        <v>756</v>
      </c>
      <c r="H1394" s="3">
        <v>0</v>
      </c>
      <c r="I1394" s="3">
        <v>0</v>
      </c>
      <c r="J1394" s="5">
        <v>16350</v>
      </c>
      <c r="K1394" s="3">
        <v>0</v>
      </c>
      <c r="L1394" s="3">
        <v>0</v>
      </c>
      <c r="M1394" s="3">
        <v>0</v>
      </c>
      <c r="N1394" s="5">
        <v>5450</v>
      </c>
      <c r="O1394" s="3">
        <v>0</v>
      </c>
      <c r="P1394" s="5">
        <v>6450</v>
      </c>
      <c r="Q1394" s="3">
        <v>0</v>
      </c>
      <c r="R1394" s="5">
        <v>32700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5">
        <v>1300</v>
      </c>
      <c r="Y1394" s="3">
        <v>0</v>
      </c>
      <c r="Z1394" s="5">
        <v>2000</v>
      </c>
      <c r="AA1394" s="5">
        <v>16000</v>
      </c>
      <c r="AB1394" s="6">
        <v>80250</v>
      </c>
      <c r="AC1394" s="2" t="str">
        <f>VLOOKUP(E1394,'[1]Detailed Transfer Report (12)'!$K:$Y,13,FALSE)</f>
        <v>Nadeem Sajid</v>
      </c>
      <c r="AD1394" s="2" t="str">
        <f>VLOOKUP(E1394,'[1]Detailed Transfer Report (12)'!$K:$Y,14,FALSE)</f>
        <v>Sardar Tanveer Ilyas</v>
      </c>
      <c r="AE1394" s="16">
        <f>VLOOKUP(E1394,'[1]Detailed Transfer Report (12)'!$K:$Y,15,FALSE)</f>
        <v>45533</v>
      </c>
    </row>
    <row r="1395" spans="1:31" x14ac:dyDescent="0.25">
      <c r="A1395" s="3">
        <v>729</v>
      </c>
      <c r="B1395" s="4">
        <v>45544</v>
      </c>
      <c r="C1395" s="3" t="s">
        <v>153</v>
      </c>
      <c r="D1395" s="3" t="s">
        <v>1664</v>
      </c>
      <c r="E1395" s="3"/>
      <c r="F1395" s="3">
        <v>11785273</v>
      </c>
      <c r="G1395" s="3" t="s">
        <v>1179</v>
      </c>
      <c r="H1395" s="3">
        <v>0</v>
      </c>
      <c r="I1395" s="3">
        <v>0</v>
      </c>
      <c r="J1395" s="5">
        <v>20550</v>
      </c>
      <c r="K1395" s="3">
        <v>0</v>
      </c>
      <c r="L1395" s="3">
        <v>0</v>
      </c>
      <c r="M1395" s="3">
        <v>0</v>
      </c>
      <c r="N1395" s="5">
        <v>6850</v>
      </c>
      <c r="O1395" s="3">
        <v>0</v>
      </c>
      <c r="P1395" s="5">
        <v>7850</v>
      </c>
      <c r="Q1395" s="3">
        <v>0</v>
      </c>
      <c r="R1395" s="5">
        <v>41100</v>
      </c>
      <c r="S1395" s="3">
        <v>0</v>
      </c>
      <c r="T1395" s="5">
        <v>1300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5">
        <v>2000</v>
      </c>
      <c r="AA1395" s="5">
        <v>16000</v>
      </c>
      <c r="AB1395" s="6">
        <v>95650</v>
      </c>
      <c r="AC1395" s="2" t="str">
        <f>VLOOKUP(F1395,'[1]Detailed Transfer Report (12)'!$L:$Y,12,FALSE)</f>
        <v>Muhammad Altaf</v>
      </c>
      <c r="AD1395" s="2" t="str">
        <f>VLOOKUP(F1395,'[1]Detailed Transfer Report (12)'!$L:$Y,13,FALSE)</f>
        <v>Sardar Tanveer Ilyas</v>
      </c>
      <c r="AE1395" s="16"/>
    </row>
    <row r="1396" spans="1:31" x14ac:dyDescent="0.25">
      <c r="A1396" s="3">
        <v>730</v>
      </c>
      <c r="B1396" s="4">
        <v>45272</v>
      </c>
      <c r="C1396" s="3" t="s">
        <v>271</v>
      </c>
      <c r="D1396" s="3" t="s">
        <v>1694</v>
      </c>
      <c r="E1396" s="3">
        <v>5996</v>
      </c>
      <c r="F1396" s="3">
        <v>7034</v>
      </c>
      <c r="G1396" s="3" t="s">
        <v>756</v>
      </c>
      <c r="H1396" s="3">
        <v>0</v>
      </c>
      <c r="I1396" s="3">
        <v>0</v>
      </c>
      <c r="J1396" s="5">
        <v>17190</v>
      </c>
      <c r="K1396" s="3">
        <v>0</v>
      </c>
      <c r="L1396" s="3">
        <v>0</v>
      </c>
      <c r="M1396" s="3">
        <v>0</v>
      </c>
      <c r="N1396" s="5">
        <v>5730</v>
      </c>
      <c r="O1396" s="3">
        <v>0</v>
      </c>
      <c r="P1396" s="5">
        <v>6730</v>
      </c>
      <c r="Q1396" s="3">
        <v>0</v>
      </c>
      <c r="R1396" s="5">
        <v>34380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5">
        <v>1300</v>
      </c>
      <c r="Y1396" s="3">
        <v>0</v>
      </c>
      <c r="Z1396" s="5">
        <v>2000</v>
      </c>
      <c r="AA1396" s="5">
        <v>16000</v>
      </c>
      <c r="AB1396" s="6">
        <v>83330</v>
      </c>
      <c r="AC1396" s="2" t="str">
        <f>VLOOKUP(E1396,'[1]Detailed Transfer Report (12)'!$K:$Y,13,FALSE)</f>
        <v>Muhammad Qasim</v>
      </c>
      <c r="AD1396" s="2" t="str">
        <f>VLOOKUP(E1396,'[1]Detailed Transfer Report (12)'!$K:$Y,14,FALSE)</f>
        <v>Sardar Tanveer Ilyas</v>
      </c>
      <c r="AE1396" s="16">
        <f>VLOOKUP(E1396,'[1]Detailed Transfer Report (12)'!$K:$Y,15,FALSE)</f>
        <v>45533</v>
      </c>
    </row>
    <row r="1397" spans="1:31" x14ac:dyDescent="0.25">
      <c r="A1397" s="3">
        <v>731</v>
      </c>
      <c r="B1397" s="4">
        <v>45272</v>
      </c>
      <c r="C1397" s="3" t="s">
        <v>308</v>
      </c>
      <c r="D1397" s="3" t="s">
        <v>1677</v>
      </c>
      <c r="E1397" s="3"/>
      <c r="F1397" s="3"/>
      <c r="G1397" s="3" t="s">
        <v>756</v>
      </c>
      <c r="H1397" s="3">
        <v>0</v>
      </c>
      <c r="I1397" s="3">
        <v>0</v>
      </c>
      <c r="J1397" s="5">
        <v>19005</v>
      </c>
      <c r="K1397" s="3">
        <v>0</v>
      </c>
      <c r="L1397" s="3">
        <v>0</v>
      </c>
      <c r="M1397" s="3">
        <v>0</v>
      </c>
      <c r="N1397" s="5">
        <v>6500</v>
      </c>
      <c r="O1397" s="3">
        <v>0</v>
      </c>
      <c r="P1397" s="5">
        <v>7335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5">
        <v>31000</v>
      </c>
      <c r="AB1397" s="6">
        <v>63840</v>
      </c>
      <c r="AE1397" s="16"/>
    </row>
    <row r="1398" spans="1:31" x14ac:dyDescent="0.25">
      <c r="A1398" s="3">
        <v>732</v>
      </c>
      <c r="B1398" s="4">
        <v>45272</v>
      </c>
      <c r="C1398" s="3" t="s">
        <v>521</v>
      </c>
      <c r="D1398" s="3" t="s">
        <v>1677</v>
      </c>
      <c r="E1398" s="3"/>
      <c r="F1398" s="3">
        <v>3792</v>
      </c>
      <c r="G1398" s="3" t="s">
        <v>1179</v>
      </c>
      <c r="H1398" s="3">
        <v>0</v>
      </c>
      <c r="I1398" s="3">
        <v>0</v>
      </c>
      <c r="J1398" s="5">
        <v>57330</v>
      </c>
      <c r="K1398" s="3">
        <v>0</v>
      </c>
      <c r="L1398" s="3">
        <v>0</v>
      </c>
      <c r="M1398" s="3">
        <v>0</v>
      </c>
      <c r="N1398" s="5">
        <v>19110</v>
      </c>
      <c r="O1398" s="3">
        <v>0</v>
      </c>
      <c r="P1398" s="5">
        <v>20110</v>
      </c>
      <c r="Q1398" s="3">
        <v>0</v>
      </c>
      <c r="R1398" s="3">
        <v>0</v>
      </c>
      <c r="S1398" s="3">
        <v>0</v>
      </c>
      <c r="T1398" s="5">
        <v>1500</v>
      </c>
      <c r="U1398" s="3">
        <v>0</v>
      </c>
      <c r="V1398" s="3">
        <v>0</v>
      </c>
      <c r="W1398" s="3">
        <v>0</v>
      </c>
      <c r="X1398" s="5">
        <v>1300</v>
      </c>
      <c r="Y1398" s="3">
        <v>0</v>
      </c>
      <c r="Z1398" s="3">
        <v>0</v>
      </c>
      <c r="AA1398" s="5">
        <v>35000</v>
      </c>
      <c r="AB1398" s="6">
        <v>134350</v>
      </c>
      <c r="AC1398" s="2" t="str">
        <f>VLOOKUP(F1398,'[1]Detailed Transfer Report (12)'!$L:$Y,12,FALSE)</f>
        <v>Khush Naseeb Khan</v>
      </c>
      <c r="AD1398" s="2" t="str">
        <f>VLOOKUP(F1398,'[1]Detailed Transfer Report (12)'!$L:$Y,13,FALSE)</f>
        <v>Sardar Tanveer Ilyas</v>
      </c>
      <c r="AE1398" s="16">
        <f>VLOOKUP(F1398,'[1]Detailed Transfer Report (12)'!$L:$Y,14,FALSE)</f>
        <v>45415</v>
      </c>
    </row>
    <row r="1399" spans="1:31" x14ac:dyDescent="0.25">
      <c r="A1399" s="3">
        <v>733</v>
      </c>
      <c r="B1399" s="4">
        <v>45272</v>
      </c>
      <c r="C1399" s="3" t="s">
        <v>137</v>
      </c>
      <c r="D1399" s="3" t="s">
        <v>1677</v>
      </c>
      <c r="E1399" s="3"/>
      <c r="F1399" s="3"/>
      <c r="G1399" s="3" t="s">
        <v>756</v>
      </c>
      <c r="H1399" s="3">
        <v>0</v>
      </c>
      <c r="I1399" s="3">
        <v>0</v>
      </c>
      <c r="J1399" s="5">
        <v>27150</v>
      </c>
      <c r="K1399" s="3">
        <v>0</v>
      </c>
      <c r="L1399" s="3">
        <v>0</v>
      </c>
      <c r="M1399" s="3">
        <v>0</v>
      </c>
      <c r="N1399" s="5">
        <v>9050</v>
      </c>
      <c r="O1399" s="3">
        <v>0</v>
      </c>
      <c r="P1399" s="5">
        <v>10050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5">
        <v>36700</v>
      </c>
      <c r="AB1399" s="6">
        <v>82950</v>
      </c>
      <c r="AE1399" s="16"/>
    </row>
    <row r="1400" spans="1:31" x14ac:dyDescent="0.25">
      <c r="A1400" s="3">
        <v>734</v>
      </c>
      <c r="B1400" s="4">
        <v>45272</v>
      </c>
      <c r="C1400" s="3" t="s">
        <v>377</v>
      </c>
      <c r="D1400" s="3" t="s">
        <v>1677</v>
      </c>
      <c r="E1400" s="3"/>
      <c r="F1400" s="3">
        <v>3550</v>
      </c>
      <c r="G1400" s="3" t="s">
        <v>756</v>
      </c>
      <c r="H1400" s="3">
        <v>0</v>
      </c>
      <c r="I1400" s="3">
        <v>0</v>
      </c>
      <c r="J1400" s="5">
        <v>21720</v>
      </c>
      <c r="K1400" s="3">
        <v>0</v>
      </c>
      <c r="L1400" s="3">
        <v>0</v>
      </c>
      <c r="M1400" s="3">
        <v>0</v>
      </c>
      <c r="N1400" s="5">
        <v>7500</v>
      </c>
      <c r="O1400" s="3">
        <v>0</v>
      </c>
      <c r="P1400" s="5">
        <v>8240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5">
        <v>32000</v>
      </c>
      <c r="AB1400" s="6">
        <v>69460</v>
      </c>
      <c r="AC1400" s="2" t="str">
        <f>VLOOKUP(F1400,'[1]Detailed Transfer Report (12)'!$L:$Y,12,FALSE)</f>
        <v>Shoukat Hayat Khan</v>
      </c>
      <c r="AD1400" s="2" t="str">
        <f>VLOOKUP(F1400,'[1]Detailed Transfer Report (12)'!$L:$Y,13,FALSE)</f>
        <v>Sardar Tanveer Ilyas</v>
      </c>
      <c r="AE1400" s="16">
        <f>VLOOKUP(F1400,'[1]Detailed Transfer Report (12)'!$L:$Y,14,FALSE)</f>
        <v>45478</v>
      </c>
    </row>
    <row r="1401" spans="1:31" x14ac:dyDescent="0.25">
      <c r="A1401" s="3">
        <v>735</v>
      </c>
      <c r="B1401" s="4">
        <v>45272</v>
      </c>
      <c r="C1401" s="3" t="s">
        <v>44</v>
      </c>
      <c r="D1401" s="3" t="s">
        <v>1677</v>
      </c>
      <c r="E1401" s="3"/>
      <c r="F1401" s="3"/>
      <c r="G1401" s="3" t="s">
        <v>756</v>
      </c>
      <c r="H1401" s="3">
        <v>0</v>
      </c>
      <c r="I1401" s="3">
        <v>0</v>
      </c>
      <c r="J1401" s="5">
        <v>54300</v>
      </c>
      <c r="K1401" s="3">
        <v>0</v>
      </c>
      <c r="L1401" s="3">
        <v>0</v>
      </c>
      <c r="M1401" s="3">
        <v>0</v>
      </c>
      <c r="N1401" s="5">
        <v>18100</v>
      </c>
      <c r="O1401" s="3">
        <v>0</v>
      </c>
      <c r="P1401" s="5">
        <v>19100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5">
        <v>48000</v>
      </c>
      <c r="AB1401" s="6">
        <v>139500</v>
      </c>
      <c r="AE1401" s="16"/>
    </row>
    <row r="1402" spans="1:31" x14ac:dyDescent="0.25">
      <c r="A1402" s="3">
        <v>736</v>
      </c>
      <c r="B1402" s="4">
        <v>45273</v>
      </c>
      <c r="C1402" s="3" t="s">
        <v>153</v>
      </c>
      <c r="D1402" s="3" t="s">
        <v>1677</v>
      </c>
      <c r="E1402" s="3">
        <v>4919</v>
      </c>
      <c r="F1402" s="3">
        <v>28596</v>
      </c>
      <c r="G1402" s="3" t="s">
        <v>30</v>
      </c>
      <c r="H1402" s="3">
        <v>0</v>
      </c>
      <c r="I1402" s="3">
        <v>0</v>
      </c>
      <c r="J1402" s="5">
        <v>11025</v>
      </c>
      <c r="K1402" s="3">
        <v>0</v>
      </c>
      <c r="L1402" s="3">
        <v>0</v>
      </c>
      <c r="M1402" s="3">
        <v>0</v>
      </c>
      <c r="N1402" s="5">
        <v>3675</v>
      </c>
      <c r="O1402" s="3">
        <v>0</v>
      </c>
      <c r="P1402" s="5">
        <v>3765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5">
        <v>30000</v>
      </c>
      <c r="AB1402" s="6">
        <v>48465</v>
      </c>
      <c r="AC1402" s="2" t="str">
        <f>VLOOKUP(E1402,'[1]Detailed Transfer Report (12)'!$K:$Y,13,FALSE)</f>
        <v>Umer Rehman</v>
      </c>
      <c r="AD1402" s="2" t="str">
        <f>VLOOKUP(E1402,'[1]Detailed Transfer Report (12)'!$K:$Y,14,FALSE)</f>
        <v>Sardar Tanveer Ilyas</v>
      </c>
      <c r="AE1402" s="16">
        <f>VLOOKUP(E1402,'[1]Detailed Transfer Report (12)'!$K:$Y,15,FALSE)</f>
        <v>45290</v>
      </c>
    </row>
    <row r="1403" spans="1:31" x14ac:dyDescent="0.25">
      <c r="A1403" s="3">
        <v>737</v>
      </c>
      <c r="B1403" s="4">
        <v>45273</v>
      </c>
      <c r="C1403" s="3" t="s">
        <v>137</v>
      </c>
      <c r="D1403" s="3" t="s">
        <v>1677</v>
      </c>
      <c r="E1403" s="3">
        <v>4920</v>
      </c>
      <c r="F1403" s="3">
        <v>28389</v>
      </c>
      <c r="G1403" s="3" t="s">
        <v>30</v>
      </c>
      <c r="H1403" s="3">
        <v>0</v>
      </c>
      <c r="I1403" s="3">
        <v>0</v>
      </c>
      <c r="J1403" s="5">
        <v>22050</v>
      </c>
      <c r="K1403" s="3">
        <v>0</v>
      </c>
      <c r="L1403" s="3">
        <v>0</v>
      </c>
      <c r="M1403" s="3">
        <v>0</v>
      </c>
      <c r="N1403" s="5">
        <v>7350</v>
      </c>
      <c r="O1403" s="3">
        <v>0</v>
      </c>
      <c r="P1403" s="5">
        <v>8350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5">
        <v>40000</v>
      </c>
      <c r="AB1403" s="6">
        <v>77750</v>
      </c>
      <c r="AC1403" s="2" t="str">
        <f>VLOOKUP(E1403,'[1]Detailed Transfer Report (12)'!$K:$Y,13,FALSE)</f>
        <v>Zubair Bin farooq</v>
      </c>
      <c r="AD1403" s="2" t="str">
        <f>VLOOKUP(E1403,'[1]Detailed Transfer Report (12)'!$K:$Y,14,FALSE)</f>
        <v>Sardar Tanveer Ilyas</v>
      </c>
      <c r="AE1403" s="16">
        <f>VLOOKUP(E1403,'[1]Detailed Transfer Report (12)'!$K:$Y,15,FALSE)</f>
        <v>45290</v>
      </c>
    </row>
    <row r="1404" spans="1:31" x14ac:dyDescent="0.25">
      <c r="A1404" s="7">
        <v>738</v>
      </c>
      <c r="B1404" s="4">
        <v>45308</v>
      </c>
      <c r="C1404" s="3" t="s">
        <v>137</v>
      </c>
      <c r="D1404" s="3" t="s">
        <v>822</v>
      </c>
      <c r="E1404" s="3">
        <v>5267</v>
      </c>
      <c r="F1404" s="3">
        <v>1030</v>
      </c>
      <c r="G1404" s="3" t="s">
        <v>30</v>
      </c>
      <c r="H1404" s="3">
        <v>0</v>
      </c>
      <c r="I1404" s="3">
        <v>0</v>
      </c>
      <c r="J1404" s="5">
        <v>21990</v>
      </c>
      <c r="K1404" s="3">
        <v>0</v>
      </c>
      <c r="L1404" s="3">
        <v>0</v>
      </c>
      <c r="M1404" s="3">
        <v>0</v>
      </c>
      <c r="N1404" s="5">
        <v>7330</v>
      </c>
      <c r="O1404" s="3">
        <v>0</v>
      </c>
      <c r="P1404" s="3">
        <v>0</v>
      </c>
      <c r="Q1404" s="3">
        <v>0</v>
      </c>
      <c r="R1404" s="5">
        <v>43980</v>
      </c>
      <c r="S1404" s="3">
        <v>0</v>
      </c>
      <c r="T1404" s="5">
        <v>1000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5">
        <v>8330</v>
      </c>
      <c r="AA1404" s="5">
        <v>12000</v>
      </c>
      <c r="AB1404" s="6">
        <v>94630</v>
      </c>
      <c r="AC1404" s="2" t="str">
        <f>VLOOKUP(E1404,'[1]Detailed Transfer Report (12)'!$K:$Y,13,FALSE)</f>
        <v>Umer Mehmood</v>
      </c>
      <c r="AD1404" s="2" t="str">
        <f>VLOOKUP(E1404,'[1]Detailed Transfer Report (12)'!$K:$Y,14,FALSE)</f>
        <v>Sardar Tanveer Ilyas</v>
      </c>
      <c r="AE1404" s="16">
        <f>VLOOKUP(E1404,'[1]Detailed Transfer Report (12)'!$K:$Y,15,FALSE)</f>
        <v>45307</v>
      </c>
    </row>
    <row r="1405" spans="1:31" x14ac:dyDescent="0.25">
      <c r="A1405" s="10">
        <v>738</v>
      </c>
      <c r="B1405" s="4">
        <v>45308</v>
      </c>
      <c r="C1405" s="3" t="s">
        <v>137</v>
      </c>
      <c r="D1405" s="3" t="s">
        <v>1695</v>
      </c>
      <c r="E1405" s="3">
        <v>5268</v>
      </c>
      <c r="F1405" s="3">
        <v>1191</v>
      </c>
      <c r="G1405" s="3" t="s">
        <v>30</v>
      </c>
      <c r="H1405" s="3">
        <v>0</v>
      </c>
      <c r="I1405" s="3">
        <v>0</v>
      </c>
      <c r="J1405" s="5">
        <v>21990</v>
      </c>
      <c r="K1405" s="3">
        <v>0</v>
      </c>
      <c r="L1405" s="3">
        <v>0</v>
      </c>
      <c r="M1405" s="3">
        <v>0</v>
      </c>
      <c r="N1405" s="5">
        <v>8330</v>
      </c>
      <c r="O1405" s="3">
        <v>0</v>
      </c>
      <c r="P1405" s="3">
        <v>0</v>
      </c>
      <c r="Q1405" s="3">
        <v>0</v>
      </c>
      <c r="R1405" s="5">
        <v>43980</v>
      </c>
      <c r="S1405" s="3">
        <v>0</v>
      </c>
      <c r="T1405" s="5">
        <v>1000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5">
        <v>7330</v>
      </c>
      <c r="AA1405" s="5">
        <v>12000</v>
      </c>
      <c r="AB1405" s="6">
        <v>189260</v>
      </c>
      <c r="AC1405" s="2" t="str">
        <f>VLOOKUP(E1405,'[1]Detailed Transfer Report (12)'!$K:$Y,13,FALSE)</f>
        <v>Amir Mehmood</v>
      </c>
      <c r="AD1405" s="2" t="str">
        <f>VLOOKUP(E1405,'[1]Detailed Transfer Report (12)'!$K:$Y,14,FALSE)</f>
        <v>Sardar Tanveer Ilyas</v>
      </c>
      <c r="AE1405" s="16">
        <f>VLOOKUP(E1405,'[1]Detailed Transfer Report (12)'!$K:$Y,15,FALSE)</f>
        <v>45307</v>
      </c>
    </row>
    <row r="1406" spans="1:31" x14ac:dyDescent="0.25">
      <c r="A1406" s="3">
        <v>739</v>
      </c>
      <c r="B1406" s="4">
        <v>45357</v>
      </c>
      <c r="C1406" s="3" t="s">
        <v>153</v>
      </c>
      <c r="D1406" s="3" t="s">
        <v>1696</v>
      </c>
      <c r="E1406" s="3">
        <v>5997</v>
      </c>
      <c r="F1406" s="3">
        <v>10612</v>
      </c>
      <c r="G1406" s="3" t="s">
        <v>756</v>
      </c>
      <c r="H1406" s="3">
        <v>0</v>
      </c>
      <c r="I1406" s="3">
        <v>0</v>
      </c>
      <c r="J1406" s="5">
        <v>13560</v>
      </c>
      <c r="K1406" s="3">
        <v>0</v>
      </c>
      <c r="L1406" s="3">
        <v>0</v>
      </c>
      <c r="M1406" s="3">
        <v>0</v>
      </c>
      <c r="N1406" s="5">
        <v>4520</v>
      </c>
      <c r="O1406" s="3">
        <v>0</v>
      </c>
      <c r="P1406" s="5">
        <v>5020</v>
      </c>
      <c r="Q1406" s="3">
        <v>0</v>
      </c>
      <c r="R1406" s="5">
        <v>27120</v>
      </c>
      <c r="S1406" s="5">
        <v>2250</v>
      </c>
      <c r="T1406" s="3">
        <v>0</v>
      </c>
      <c r="U1406" s="3">
        <v>0</v>
      </c>
      <c r="V1406" s="3">
        <v>0</v>
      </c>
      <c r="W1406" s="3">
        <v>0</v>
      </c>
      <c r="X1406" s="5">
        <v>1300</v>
      </c>
      <c r="Y1406" s="3">
        <v>0</v>
      </c>
      <c r="Z1406" s="5">
        <v>2000</v>
      </c>
      <c r="AA1406" s="5">
        <v>16000</v>
      </c>
      <c r="AB1406" s="6">
        <v>71770</v>
      </c>
      <c r="AC1406" s="2" t="str">
        <f>VLOOKUP(E1406,'[1]Detailed Transfer Report (12)'!$K:$Y,13,FALSE)</f>
        <v>M Younis Khan</v>
      </c>
      <c r="AD1406" s="2" t="str">
        <f>VLOOKUP(E1406,'[1]Detailed Transfer Report (12)'!$K:$Y,14,FALSE)</f>
        <v>Sardar Tanveer Ilyas</v>
      </c>
      <c r="AE1406" s="16">
        <f>VLOOKUP(E1406,'[1]Detailed Transfer Report (12)'!$K:$Y,15,FALSE)</f>
        <v>45379</v>
      </c>
    </row>
    <row r="1407" spans="1:31" x14ac:dyDescent="0.25">
      <c r="A1407" s="7">
        <v>740</v>
      </c>
      <c r="B1407" s="4">
        <v>45450</v>
      </c>
      <c r="C1407" s="3" t="s">
        <v>1697</v>
      </c>
      <c r="D1407" s="3" t="s">
        <v>1681</v>
      </c>
      <c r="E1407" s="3">
        <v>4080</v>
      </c>
      <c r="F1407" s="3">
        <v>7268</v>
      </c>
      <c r="G1407" s="3" t="s">
        <v>1179</v>
      </c>
      <c r="H1407" s="3">
        <v>0</v>
      </c>
      <c r="I1407" s="3">
        <v>0</v>
      </c>
      <c r="J1407" s="5">
        <v>960000</v>
      </c>
      <c r="K1407" s="3">
        <v>0</v>
      </c>
      <c r="L1407" s="3">
        <v>0</v>
      </c>
      <c r="M1407" s="3">
        <v>0</v>
      </c>
      <c r="N1407" s="5">
        <v>320000</v>
      </c>
      <c r="O1407" s="3">
        <v>0</v>
      </c>
      <c r="P1407" s="5">
        <v>320000</v>
      </c>
      <c r="Q1407" s="3">
        <v>0</v>
      </c>
      <c r="R1407" s="3">
        <v>0</v>
      </c>
      <c r="S1407" s="3">
        <v>0</v>
      </c>
      <c r="T1407" s="5">
        <v>200000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5">
        <v>30000</v>
      </c>
      <c r="AA1407" s="5">
        <v>200000</v>
      </c>
      <c r="AB1407" s="6">
        <v>2030000</v>
      </c>
      <c r="AC1407" s="2" t="str">
        <f>VLOOKUP(E1407,'[1]Detailed Transfer Report (12)'!$K:$Y,13,FALSE)</f>
        <v>Raja Muhammad Irfan</v>
      </c>
      <c r="AD1407" s="2" t="str">
        <f>VLOOKUP(E1407,'[1]Detailed Transfer Report (12)'!$K:$Y,14,FALSE)</f>
        <v>Sardar Tanveer Ilyas</v>
      </c>
      <c r="AE1407" s="16">
        <f>VLOOKUP(E1407,'[1]Detailed Transfer Report (12)'!$K:$Y,15,FALSE)</f>
        <v>45450</v>
      </c>
    </row>
    <row r="1408" spans="1:31" x14ac:dyDescent="0.25">
      <c r="A1408" s="9">
        <v>740</v>
      </c>
      <c r="B1408" s="4">
        <v>45450</v>
      </c>
      <c r="C1408" s="3" t="s">
        <v>194</v>
      </c>
      <c r="D1408" s="3" t="s">
        <v>1681</v>
      </c>
      <c r="E1408" s="3">
        <v>4081</v>
      </c>
      <c r="F1408" s="3">
        <v>7523</v>
      </c>
      <c r="G1408" s="3" t="s">
        <v>1179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6">
        <v>2030000</v>
      </c>
      <c r="AC1408" s="2" t="str">
        <f>VLOOKUP(E1408,'[1]Detailed Transfer Report (12)'!$K:$Y,13,FALSE)</f>
        <v>Maqsood Bibi</v>
      </c>
      <c r="AD1408" s="2" t="str">
        <f>VLOOKUP(E1408,'[1]Detailed Transfer Report (12)'!$K:$Y,14,FALSE)</f>
        <v>Sardar Tanveer Ilyas</v>
      </c>
      <c r="AE1408" s="16">
        <f>VLOOKUP(E1408,'[1]Detailed Transfer Report (12)'!$K:$Y,15,FALSE)</f>
        <v>45470</v>
      </c>
    </row>
    <row r="1409" spans="1:31" x14ac:dyDescent="0.25">
      <c r="A1409" s="10">
        <v>740</v>
      </c>
      <c r="B1409" s="4">
        <v>45450</v>
      </c>
      <c r="C1409" s="3" t="s">
        <v>290</v>
      </c>
      <c r="D1409" s="3" t="s">
        <v>1681</v>
      </c>
      <c r="E1409" s="3">
        <v>4079</v>
      </c>
      <c r="F1409" s="3">
        <v>7204</v>
      </c>
      <c r="G1409" s="3" t="s">
        <v>1179</v>
      </c>
      <c r="H1409" s="3">
        <v>0</v>
      </c>
      <c r="I1409" s="3">
        <v>0</v>
      </c>
      <c r="J1409" s="5">
        <v>990000</v>
      </c>
      <c r="K1409" s="3">
        <v>0</v>
      </c>
      <c r="L1409" s="3">
        <v>0</v>
      </c>
      <c r="M1409" s="3">
        <v>0</v>
      </c>
      <c r="N1409" s="5">
        <v>326000</v>
      </c>
      <c r="O1409" s="3">
        <v>0</v>
      </c>
      <c r="P1409" s="5">
        <v>326000</v>
      </c>
      <c r="Q1409" s="3">
        <v>0</v>
      </c>
      <c r="R1409" s="3">
        <v>0</v>
      </c>
      <c r="S1409" s="3">
        <v>0</v>
      </c>
      <c r="T1409" s="5">
        <v>250000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5">
        <v>32500</v>
      </c>
      <c r="AA1409" s="5">
        <v>200000</v>
      </c>
      <c r="AB1409" s="6">
        <v>4154500</v>
      </c>
      <c r="AC1409" s="2" t="str">
        <f>VLOOKUP(E1409,'[1]Detailed Transfer Report (12)'!$K:$Y,13,FALSE)</f>
        <v>Muhammad Ramzan</v>
      </c>
      <c r="AD1409" s="2" t="str">
        <f>VLOOKUP(E1409,'[1]Detailed Transfer Report (12)'!$K:$Y,14,FALSE)</f>
        <v>Sardar Tanveer Ilyas</v>
      </c>
      <c r="AE1409" s="16">
        <f>VLOOKUP(E1409,'[1]Detailed Transfer Report (12)'!$K:$Y,15,FALSE)</f>
        <v>45458</v>
      </c>
    </row>
    <row r="1410" spans="1:31" x14ac:dyDescent="0.25">
      <c r="A1410" s="7">
        <v>741</v>
      </c>
      <c r="B1410" s="4">
        <v>45456</v>
      </c>
      <c r="C1410" s="3" t="s">
        <v>323</v>
      </c>
      <c r="D1410" s="3" t="s">
        <v>822</v>
      </c>
      <c r="E1410" s="3"/>
      <c r="F1410" s="3">
        <v>21526</v>
      </c>
      <c r="G1410" s="3" t="s">
        <v>1179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8">
        <v>0</v>
      </c>
      <c r="AC1410" s="2" t="str">
        <f>VLOOKUP(F1410,'[1]Detailed Transfer Report (12)'!$L:$Y,12,FALSE)</f>
        <v>Maqsood Begum</v>
      </c>
      <c r="AD1410" s="2" t="str">
        <f>VLOOKUP(F1410,'[1]Detailed Transfer Report (12)'!$L:$Y,13,FALSE)</f>
        <v>Sardar Tanveer Ilyas</v>
      </c>
      <c r="AE1410" s="16"/>
    </row>
    <row r="1411" spans="1:31" x14ac:dyDescent="0.25">
      <c r="A1411" s="9">
        <v>741</v>
      </c>
      <c r="B1411" s="4">
        <v>45456</v>
      </c>
      <c r="C1411" s="3" t="s">
        <v>137</v>
      </c>
      <c r="D1411" s="3" t="s">
        <v>1698</v>
      </c>
      <c r="E1411" s="3">
        <v>6141</v>
      </c>
      <c r="F1411" s="3">
        <v>28054</v>
      </c>
      <c r="G1411" s="3" t="s">
        <v>756</v>
      </c>
      <c r="H1411" s="3">
        <v>0</v>
      </c>
      <c r="I1411" s="3">
        <v>0</v>
      </c>
      <c r="J1411" s="5">
        <v>27150</v>
      </c>
      <c r="K1411" s="3">
        <v>0</v>
      </c>
      <c r="L1411" s="3">
        <v>0</v>
      </c>
      <c r="M1411" s="3">
        <v>0</v>
      </c>
      <c r="N1411" s="5">
        <v>9050</v>
      </c>
      <c r="O1411" s="3">
        <v>0</v>
      </c>
      <c r="P1411" s="5">
        <v>10050</v>
      </c>
      <c r="Q1411" s="3">
        <v>0</v>
      </c>
      <c r="R1411" s="5">
        <v>54300</v>
      </c>
      <c r="S1411" s="3">
        <v>0</v>
      </c>
      <c r="T1411" s="5">
        <v>8000</v>
      </c>
      <c r="U1411" s="3">
        <v>0</v>
      </c>
      <c r="V1411" s="5">
        <v>4500</v>
      </c>
      <c r="W1411" s="3">
        <v>0</v>
      </c>
      <c r="X1411" s="5">
        <v>1300</v>
      </c>
      <c r="Y1411" s="3">
        <v>0</v>
      </c>
      <c r="Z1411" s="5">
        <v>2000</v>
      </c>
      <c r="AA1411" s="5">
        <v>16000</v>
      </c>
      <c r="AB1411" s="6">
        <v>132350</v>
      </c>
      <c r="AC1411" s="2" t="str">
        <f>VLOOKUP(E1411,'[1]Detailed Transfer Report (12)'!$K:$Y,13,FALSE)</f>
        <v>Yasmeen</v>
      </c>
      <c r="AD1411" s="2" t="str">
        <f>VLOOKUP(E1411,'[1]Detailed Transfer Report (12)'!$K:$Y,14,FALSE)</f>
        <v>Sardar Tanveer Ilyas</v>
      </c>
      <c r="AE1411" s="16">
        <f>VLOOKUP(E1411,'[1]Detailed Transfer Report (12)'!$K:$Y,15,FALSE)</f>
        <v>45253</v>
      </c>
    </row>
    <row r="1412" spans="1:31" x14ac:dyDescent="0.25">
      <c r="A1412" s="9">
        <v>741</v>
      </c>
      <c r="B1412" s="4">
        <v>45456</v>
      </c>
      <c r="C1412" s="3" t="s">
        <v>44</v>
      </c>
      <c r="D1412" s="3" t="s">
        <v>1645</v>
      </c>
      <c r="E1412" s="3">
        <v>6095</v>
      </c>
      <c r="F1412" s="3">
        <v>28056</v>
      </c>
      <c r="G1412" s="3" t="s">
        <v>756</v>
      </c>
      <c r="H1412" s="3">
        <v>0</v>
      </c>
      <c r="I1412" s="3">
        <v>0</v>
      </c>
      <c r="J1412" s="5">
        <v>54300</v>
      </c>
      <c r="K1412" s="3">
        <v>0</v>
      </c>
      <c r="L1412" s="3">
        <v>0</v>
      </c>
      <c r="M1412" s="3">
        <v>0</v>
      </c>
      <c r="N1412" s="5">
        <v>18100</v>
      </c>
      <c r="O1412" s="3">
        <v>0</v>
      </c>
      <c r="P1412" s="5">
        <v>19100</v>
      </c>
      <c r="Q1412" s="3">
        <v>0</v>
      </c>
      <c r="R1412" s="5">
        <v>108600</v>
      </c>
      <c r="S1412" s="3">
        <v>0</v>
      </c>
      <c r="T1412" s="5">
        <v>1300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5">
        <v>2000</v>
      </c>
      <c r="AA1412" s="5">
        <v>16000</v>
      </c>
      <c r="AB1412" s="6">
        <v>351750</v>
      </c>
      <c r="AC1412" s="2" t="str">
        <f>VLOOKUP(E1412,'[1]Detailed Transfer Report (12)'!$K:$Y,13,FALSE)</f>
        <v>Muswara Shaheen</v>
      </c>
      <c r="AD1412" s="2" t="str">
        <f>VLOOKUP(E1412,'[1]Detailed Transfer Report (12)'!$K:$Y,14,FALSE)</f>
        <v>Sardar Tanveer Ilyas</v>
      </c>
      <c r="AE1412" s="16">
        <f>VLOOKUP(E1412,'[1]Detailed Transfer Report (12)'!$K:$Y,15,FALSE)</f>
        <v>45253</v>
      </c>
    </row>
    <row r="1413" spans="1:31" x14ac:dyDescent="0.25">
      <c r="A1413" s="9">
        <v>741</v>
      </c>
      <c r="B1413" s="4">
        <v>45456</v>
      </c>
      <c r="C1413" s="3" t="s">
        <v>308</v>
      </c>
      <c r="D1413" s="3" t="s">
        <v>1579</v>
      </c>
      <c r="E1413" s="3"/>
      <c r="F1413" s="3">
        <v>8935</v>
      </c>
      <c r="G1413" s="3" t="s">
        <v>756</v>
      </c>
      <c r="H1413" s="3">
        <v>0</v>
      </c>
      <c r="I1413" s="3">
        <v>0</v>
      </c>
      <c r="J1413" s="5">
        <v>12000</v>
      </c>
      <c r="K1413" s="3">
        <v>0</v>
      </c>
      <c r="L1413" s="3">
        <v>0</v>
      </c>
      <c r="M1413" s="3">
        <v>0</v>
      </c>
      <c r="N1413" s="5">
        <v>6000</v>
      </c>
      <c r="O1413" s="3">
        <v>0</v>
      </c>
      <c r="P1413" s="5">
        <v>7000</v>
      </c>
      <c r="Q1413" s="3">
        <v>0</v>
      </c>
      <c r="R1413" s="5">
        <v>24000</v>
      </c>
      <c r="S1413" s="3">
        <v>0</v>
      </c>
      <c r="T1413" s="5">
        <v>8000</v>
      </c>
      <c r="U1413" s="3">
        <v>0</v>
      </c>
      <c r="V1413" s="5">
        <v>3150</v>
      </c>
      <c r="W1413" s="3">
        <v>0</v>
      </c>
      <c r="X1413" s="5">
        <v>1100</v>
      </c>
      <c r="Y1413" s="3">
        <v>0</v>
      </c>
      <c r="Z1413" s="5">
        <v>2000</v>
      </c>
      <c r="AA1413" s="5">
        <v>16000</v>
      </c>
      <c r="AB1413" s="6">
        <v>431000</v>
      </c>
      <c r="AC1413" s="2" t="str">
        <f>VLOOKUP(F1413,'[1]Detailed Transfer Report (12)'!$L:$Y,12,FALSE)</f>
        <v>Taimoor Younis</v>
      </c>
      <c r="AD1413" s="2" t="str">
        <f>VLOOKUP(F1413,'[1]Detailed Transfer Report (12)'!$L:$Y,13,FALSE)</f>
        <v>Sardar Tanveer Ilyas</v>
      </c>
      <c r="AE1413" s="16"/>
    </row>
    <row r="1414" spans="1:31" x14ac:dyDescent="0.25">
      <c r="A1414" s="9">
        <v>741</v>
      </c>
      <c r="B1414" s="4">
        <v>45456</v>
      </c>
      <c r="C1414" s="3" t="s">
        <v>521</v>
      </c>
      <c r="D1414" s="3" t="s">
        <v>1575</v>
      </c>
      <c r="E1414" s="3">
        <v>6063</v>
      </c>
      <c r="F1414" s="3">
        <v>28055</v>
      </c>
      <c r="G1414" s="3" t="s">
        <v>756</v>
      </c>
      <c r="H1414" s="3">
        <v>0</v>
      </c>
      <c r="I1414" s="3">
        <v>0</v>
      </c>
      <c r="J1414" s="5">
        <v>40800</v>
      </c>
      <c r="K1414" s="3">
        <v>0</v>
      </c>
      <c r="L1414" s="3">
        <v>0</v>
      </c>
      <c r="M1414" s="3">
        <v>0</v>
      </c>
      <c r="N1414" s="5">
        <v>13600</v>
      </c>
      <c r="O1414" s="3">
        <v>0</v>
      </c>
      <c r="P1414" s="5">
        <v>14600</v>
      </c>
      <c r="Q1414" s="3">
        <v>0</v>
      </c>
      <c r="R1414" s="5">
        <v>81600</v>
      </c>
      <c r="S1414" s="3">
        <v>0</v>
      </c>
      <c r="T1414" s="5">
        <v>8000</v>
      </c>
      <c r="U1414" s="3">
        <v>0</v>
      </c>
      <c r="V1414" s="5">
        <v>6750</v>
      </c>
      <c r="W1414" s="3">
        <v>0</v>
      </c>
      <c r="X1414" s="5">
        <v>1300</v>
      </c>
      <c r="Y1414" s="3">
        <v>0</v>
      </c>
      <c r="Z1414" s="5">
        <v>2000</v>
      </c>
      <c r="AA1414" s="5">
        <v>16000</v>
      </c>
      <c r="AB1414" s="6">
        <v>615650</v>
      </c>
      <c r="AC1414" s="2" t="str">
        <f>VLOOKUP(E1414,'[1]Detailed Transfer Report (12)'!$K:$Y,13,FALSE)</f>
        <v>Yasmeen</v>
      </c>
      <c r="AD1414" s="2" t="str">
        <f>VLOOKUP(E1414,'[1]Detailed Transfer Report (12)'!$K:$Y,14,FALSE)</f>
        <v>Sardar Tanveer Ilyas</v>
      </c>
      <c r="AE1414" s="16">
        <f>VLOOKUP(E1414,'[1]Detailed Transfer Report (12)'!$K:$Y,15,FALSE)</f>
        <v>45253</v>
      </c>
    </row>
    <row r="1415" spans="1:31" x14ac:dyDescent="0.25">
      <c r="A1415" s="10">
        <v>741</v>
      </c>
      <c r="B1415" s="4">
        <v>45456</v>
      </c>
      <c r="C1415" s="3" t="s">
        <v>1690</v>
      </c>
      <c r="D1415" s="3" t="s">
        <v>1573</v>
      </c>
      <c r="E1415" s="3">
        <v>756</v>
      </c>
      <c r="F1415" s="3">
        <v>29044</v>
      </c>
      <c r="G1415" s="3" t="s">
        <v>41</v>
      </c>
      <c r="H1415" s="3">
        <v>0</v>
      </c>
      <c r="I1415" s="3">
        <v>0</v>
      </c>
      <c r="J1415" s="5">
        <v>38100</v>
      </c>
      <c r="K1415" s="3">
        <v>0</v>
      </c>
      <c r="L1415" s="3">
        <v>0</v>
      </c>
      <c r="M1415" s="3">
        <v>0</v>
      </c>
      <c r="N1415" s="5">
        <v>12700</v>
      </c>
      <c r="O1415" s="3">
        <v>0</v>
      </c>
      <c r="P1415" s="5">
        <v>13700</v>
      </c>
      <c r="Q1415" s="3">
        <v>0</v>
      </c>
      <c r="R1415" s="5">
        <v>76200</v>
      </c>
      <c r="S1415" s="3">
        <v>0</v>
      </c>
      <c r="T1415" s="5">
        <v>8000</v>
      </c>
      <c r="U1415" s="3">
        <v>0</v>
      </c>
      <c r="V1415" s="5">
        <v>7000</v>
      </c>
      <c r="W1415" s="3">
        <v>0</v>
      </c>
      <c r="X1415" s="5">
        <v>1700</v>
      </c>
      <c r="Y1415" s="3">
        <v>0</v>
      </c>
      <c r="Z1415" s="5">
        <v>2000</v>
      </c>
      <c r="AA1415" s="5">
        <v>16000</v>
      </c>
      <c r="AB1415" s="6">
        <v>791050</v>
      </c>
      <c r="AC1415" s="2" t="str">
        <f>VLOOKUP(E1415,'[1]Detailed Transfer Report (12)'!$K:$Y,13,FALSE)</f>
        <v>Nazak Khan</v>
      </c>
      <c r="AD1415" s="2" t="str">
        <f>VLOOKUP(E1415,'[1]Detailed Transfer Report (12)'!$K:$Y,14,FALSE)</f>
        <v>Sardar Tanveer Ilyas</v>
      </c>
      <c r="AE1415" s="16">
        <f>VLOOKUP(E1415,'[1]Detailed Transfer Report (12)'!$K:$Y,15,FALSE)</f>
        <v>45268</v>
      </c>
    </row>
    <row r="1416" spans="1:31" x14ac:dyDescent="0.25">
      <c r="A1416" s="7">
        <v>742</v>
      </c>
      <c r="B1416" s="4">
        <v>45457</v>
      </c>
      <c r="C1416" s="3" t="s">
        <v>1699</v>
      </c>
      <c r="D1416" s="3" t="s">
        <v>1700</v>
      </c>
      <c r="E1416" s="3">
        <v>4084</v>
      </c>
      <c r="F1416" s="3">
        <v>8984</v>
      </c>
      <c r="G1416" s="3" t="s">
        <v>1179</v>
      </c>
      <c r="H1416" s="3">
        <v>0</v>
      </c>
      <c r="I1416" s="5">
        <v>227400</v>
      </c>
      <c r="J1416" s="5">
        <v>682200</v>
      </c>
      <c r="K1416" s="3">
        <v>0</v>
      </c>
      <c r="L1416" s="3">
        <v>0</v>
      </c>
      <c r="M1416" s="3">
        <v>0</v>
      </c>
      <c r="N1416" s="5">
        <v>227400</v>
      </c>
      <c r="O1416" s="3">
        <v>0</v>
      </c>
      <c r="P1416" s="5">
        <v>228400</v>
      </c>
      <c r="Q1416" s="3">
        <v>0</v>
      </c>
      <c r="R1416" s="5">
        <v>682200</v>
      </c>
      <c r="S1416" s="3">
        <v>0</v>
      </c>
      <c r="T1416" s="5">
        <v>8000</v>
      </c>
      <c r="U1416" s="3">
        <v>0</v>
      </c>
      <c r="V1416" s="3">
        <v>0</v>
      </c>
      <c r="W1416" s="3">
        <v>0</v>
      </c>
      <c r="X1416" s="5">
        <v>1300</v>
      </c>
      <c r="Y1416" s="3">
        <v>0</v>
      </c>
      <c r="Z1416" s="5">
        <v>2000</v>
      </c>
      <c r="AA1416" s="5">
        <v>83500</v>
      </c>
      <c r="AB1416" s="6">
        <v>2142400</v>
      </c>
      <c r="AC1416" s="2" t="str">
        <f>VLOOKUP(E1416,'[1]Detailed Transfer Report (12)'!$K:$Y,13,FALSE)</f>
        <v>Nadia Kausar</v>
      </c>
      <c r="AD1416" s="2" t="str">
        <f>VLOOKUP(E1416,'[1]Detailed Transfer Report (12)'!$K:$Y,14,FALSE)</f>
        <v>Sardar Tanveer Ilyas</v>
      </c>
      <c r="AE1416" s="16">
        <f>VLOOKUP(E1416,'[1]Detailed Transfer Report (12)'!$K:$Y,15,FALSE)</f>
        <v>45455</v>
      </c>
    </row>
    <row r="1417" spans="1:31" x14ac:dyDescent="0.25">
      <c r="A1417" s="9">
        <v>742</v>
      </c>
      <c r="B1417" s="4">
        <v>45457</v>
      </c>
      <c r="C1417" s="3" t="s">
        <v>1701</v>
      </c>
      <c r="D1417" s="3" t="s">
        <v>1700</v>
      </c>
      <c r="E1417" s="3">
        <v>4085</v>
      </c>
      <c r="F1417" s="3">
        <v>8985</v>
      </c>
      <c r="G1417" s="3" t="s">
        <v>1179</v>
      </c>
      <c r="H1417" s="3">
        <v>0</v>
      </c>
      <c r="I1417" s="5">
        <v>315000</v>
      </c>
      <c r="J1417" s="5">
        <v>945000</v>
      </c>
      <c r="K1417" s="3">
        <v>0</v>
      </c>
      <c r="L1417" s="3">
        <v>0</v>
      </c>
      <c r="M1417" s="3">
        <v>0</v>
      </c>
      <c r="N1417" s="5">
        <v>315000</v>
      </c>
      <c r="O1417" s="3">
        <v>0</v>
      </c>
      <c r="P1417" s="5">
        <v>316000</v>
      </c>
      <c r="Q1417" s="3">
        <v>0</v>
      </c>
      <c r="R1417" s="5">
        <v>945000</v>
      </c>
      <c r="S1417" s="3">
        <v>0</v>
      </c>
      <c r="T1417" s="5">
        <v>8000</v>
      </c>
      <c r="U1417" s="3">
        <v>0</v>
      </c>
      <c r="V1417" s="3">
        <v>0</v>
      </c>
      <c r="W1417" s="3">
        <v>0</v>
      </c>
      <c r="X1417" s="5">
        <v>1300</v>
      </c>
      <c r="Y1417" s="3">
        <v>0</v>
      </c>
      <c r="Z1417" s="5">
        <v>2000</v>
      </c>
      <c r="AA1417" s="5">
        <v>115500</v>
      </c>
      <c r="AB1417" s="6">
        <v>5105200</v>
      </c>
      <c r="AC1417" s="2" t="str">
        <f>VLOOKUP(E1417,'[1]Detailed Transfer Report (12)'!$K:$Y,13,FALSE)</f>
        <v>Raja Muhammad Masood</v>
      </c>
      <c r="AD1417" s="2" t="str">
        <f>VLOOKUP(E1417,'[1]Detailed Transfer Report (12)'!$K:$Y,14,FALSE)</f>
        <v>Sardar Tanveer Ilyas</v>
      </c>
      <c r="AE1417" s="16">
        <f>VLOOKUP(E1417,'[1]Detailed Transfer Report (12)'!$K:$Y,15,FALSE)</f>
        <v>45455</v>
      </c>
    </row>
    <row r="1418" spans="1:31" x14ac:dyDescent="0.25">
      <c r="A1418" s="9">
        <v>742</v>
      </c>
      <c r="B1418" s="4">
        <v>45457</v>
      </c>
      <c r="C1418" s="3" t="s">
        <v>1702</v>
      </c>
      <c r="D1418" s="3" t="s">
        <v>1700</v>
      </c>
      <c r="E1418" s="3">
        <v>4104</v>
      </c>
      <c r="F1418" s="3">
        <v>12871</v>
      </c>
      <c r="G1418" s="3" t="s">
        <v>1179</v>
      </c>
      <c r="H1418" s="3">
        <v>0</v>
      </c>
      <c r="I1418" s="5">
        <v>364600</v>
      </c>
      <c r="J1418" s="5">
        <v>2187600</v>
      </c>
      <c r="K1418" s="3">
        <v>0</v>
      </c>
      <c r="L1418" s="3">
        <v>0</v>
      </c>
      <c r="M1418" s="3">
        <v>0</v>
      </c>
      <c r="N1418" s="5">
        <v>364600</v>
      </c>
      <c r="O1418" s="3">
        <v>0</v>
      </c>
      <c r="P1418" s="5">
        <v>365600</v>
      </c>
      <c r="Q1418" s="3">
        <v>0</v>
      </c>
      <c r="R1418" s="5">
        <v>1531320</v>
      </c>
      <c r="S1418" s="3">
        <v>0</v>
      </c>
      <c r="T1418" s="5">
        <v>8000</v>
      </c>
      <c r="U1418" s="3">
        <v>0</v>
      </c>
      <c r="V1418" s="3">
        <v>0</v>
      </c>
      <c r="W1418" s="3">
        <v>0</v>
      </c>
      <c r="X1418" s="5">
        <v>1300</v>
      </c>
      <c r="Y1418" s="3">
        <v>0</v>
      </c>
      <c r="Z1418" s="5">
        <v>2000</v>
      </c>
      <c r="AA1418" s="5">
        <v>116500</v>
      </c>
      <c r="AB1418" s="6">
        <v>10046720</v>
      </c>
      <c r="AC1418" s="2" t="str">
        <f>VLOOKUP(E1418,'[1]Detailed Transfer Report (12)'!$K:$Y,13,FALSE)</f>
        <v>Raja Muhammad Farooq</v>
      </c>
      <c r="AD1418" s="2" t="str">
        <f>VLOOKUP(E1418,'[1]Detailed Transfer Report (12)'!$K:$Y,14,FALSE)</f>
        <v>Sardar Tanveer Ilyas</v>
      </c>
      <c r="AE1418" s="16">
        <f>VLOOKUP(E1418,'[1]Detailed Transfer Report (12)'!$K:$Y,15,FALSE)</f>
        <v>45505</v>
      </c>
    </row>
    <row r="1419" spans="1:31" x14ac:dyDescent="0.25">
      <c r="A1419" s="9">
        <v>742</v>
      </c>
      <c r="B1419" s="4">
        <v>45497</v>
      </c>
      <c r="C1419" s="3" t="s">
        <v>1703</v>
      </c>
      <c r="D1419" s="3" t="s">
        <v>822</v>
      </c>
      <c r="E1419" s="3"/>
      <c r="F1419" s="3"/>
      <c r="G1419" s="3" t="s">
        <v>1179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6">
        <v>10046720</v>
      </c>
      <c r="AE1419" s="16"/>
    </row>
    <row r="1420" spans="1:31" x14ac:dyDescent="0.25">
      <c r="A1420" s="9">
        <v>742</v>
      </c>
      <c r="B1420" s="4">
        <v>45476</v>
      </c>
      <c r="C1420" s="3" t="s">
        <v>1704</v>
      </c>
      <c r="D1420" s="3" t="s">
        <v>1700</v>
      </c>
      <c r="E1420" s="3">
        <v>4099</v>
      </c>
      <c r="F1420" s="3">
        <v>12046</v>
      </c>
      <c r="G1420" s="3" t="s">
        <v>1179</v>
      </c>
      <c r="H1420" s="3">
        <v>0</v>
      </c>
      <c r="I1420" s="5">
        <v>248500</v>
      </c>
      <c r="J1420" s="5">
        <v>1491000</v>
      </c>
      <c r="K1420" s="3">
        <v>0</v>
      </c>
      <c r="L1420" s="3">
        <v>0</v>
      </c>
      <c r="M1420" s="3">
        <v>0</v>
      </c>
      <c r="N1420" s="5">
        <v>248500</v>
      </c>
      <c r="O1420" s="3">
        <v>0</v>
      </c>
      <c r="P1420" s="5">
        <v>249500</v>
      </c>
      <c r="Q1420" s="3">
        <v>0</v>
      </c>
      <c r="R1420" s="5">
        <v>1118250</v>
      </c>
      <c r="S1420" s="3">
        <v>0</v>
      </c>
      <c r="T1420" s="5">
        <v>8000</v>
      </c>
      <c r="U1420" s="3">
        <v>0</v>
      </c>
      <c r="V1420" s="3">
        <v>0</v>
      </c>
      <c r="W1420" s="3">
        <v>0</v>
      </c>
      <c r="X1420" s="5">
        <v>1300</v>
      </c>
      <c r="Y1420" s="3">
        <v>0</v>
      </c>
      <c r="Z1420" s="5">
        <v>2000</v>
      </c>
      <c r="AA1420" s="5">
        <v>79500</v>
      </c>
      <c r="AB1420" s="6">
        <v>13493270</v>
      </c>
      <c r="AC1420" s="2" t="str">
        <f>VLOOKUP(E1420,'[1]Detailed Transfer Report (12)'!$K:$Y,13,FALSE)</f>
        <v>Raja Muhammad Naveed</v>
      </c>
      <c r="AD1420" s="2" t="str">
        <f>VLOOKUP(E1420,'[1]Detailed Transfer Report (12)'!$K:$Y,14,FALSE)</f>
        <v>Sardar Tanveer Ilyas</v>
      </c>
      <c r="AE1420" s="16">
        <f>VLOOKUP(E1420,'[1]Detailed Transfer Report (12)'!$K:$Y,15,FALSE)</f>
        <v>45500</v>
      </c>
    </row>
    <row r="1421" spans="1:31" x14ac:dyDescent="0.25">
      <c r="A1421" s="9">
        <v>742</v>
      </c>
      <c r="B1421" s="4">
        <v>45546</v>
      </c>
      <c r="C1421" s="3" t="s">
        <v>1705</v>
      </c>
      <c r="D1421" s="3" t="s">
        <v>1706</v>
      </c>
      <c r="E1421" s="3">
        <v>4117</v>
      </c>
      <c r="F1421" s="3">
        <v>14755</v>
      </c>
      <c r="G1421" s="3" t="s">
        <v>1179</v>
      </c>
      <c r="H1421" s="3">
        <v>0</v>
      </c>
      <c r="I1421" s="3">
        <v>0</v>
      </c>
      <c r="J1421" s="5">
        <v>1629600</v>
      </c>
      <c r="K1421" s="3">
        <v>0</v>
      </c>
      <c r="L1421" s="3">
        <v>0</v>
      </c>
      <c r="M1421" s="3">
        <v>0</v>
      </c>
      <c r="N1421" s="5">
        <v>271600</v>
      </c>
      <c r="O1421" s="3">
        <v>0</v>
      </c>
      <c r="P1421" s="5">
        <v>272600</v>
      </c>
      <c r="Q1421" s="3">
        <v>0</v>
      </c>
      <c r="R1421" s="5">
        <v>1220841</v>
      </c>
      <c r="S1421" s="5">
        <v>78500</v>
      </c>
      <c r="T1421" s="5">
        <v>8000</v>
      </c>
      <c r="U1421" s="3">
        <v>0</v>
      </c>
      <c r="V1421" s="3">
        <v>0</v>
      </c>
      <c r="W1421" s="3">
        <v>0</v>
      </c>
      <c r="X1421" s="5">
        <v>1700</v>
      </c>
      <c r="Y1421" s="3">
        <v>0</v>
      </c>
      <c r="Z1421" s="5">
        <v>2000</v>
      </c>
      <c r="AA1421" s="5">
        <v>87000</v>
      </c>
      <c r="AB1421" s="6">
        <v>17065111</v>
      </c>
      <c r="AC1421" s="2" t="str">
        <f>VLOOKUP(E1421,'[1]Detailed Transfer Report (12)'!$K:$Y,13,FALSE)</f>
        <v>Raja Muhammad Farooq</v>
      </c>
      <c r="AD1421" s="2" t="str">
        <f>VLOOKUP(E1421,'[1]Detailed Transfer Report (12)'!$K:$Y,14,FALSE)</f>
        <v>Sardar Tanveer Ilyas</v>
      </c>
      <c r="AE1421" s="16">
        <f>VLOOKUP(E1421,'[1]Detailed Transfer Report (12)'!$K:$Y,15,FALSE)</f>
        <v>45590</v>
      </c>
    </row>
    <row r="1422" spans="1:31" x14ac:dyDescent="0.25">
      <c r="A1422" s="9">
        <v>742</v>
      </c>
      <c r="B1422" s="4">
        <v>45546</v>
      </c>
      <c r="C1422" s="3" t="s">
        <v>1707</v>
      </c>
      <c r="D1422" s="3" t="s">
        <v>1706</v>
      </c>
      <c r="E1422" s="3"/>
      <c r="F1422" s="3">
        <v>11915050</v>
      </c>
      <c r="G1422" s="3" t="s">
        <v>1179</v>
      </c>
      <c r="H1422" s="3">
        <v>0</v>
      </c>
      <c r="I1422" s="3">
        <v>0</v>
      </c>
      <c r="J1422" s="5">
        <v>237000</v>
      </c>
      <c r="K1422" s="3">
        <v>0</v>
      </c>
      <c r="L1422" s="3">
        <v>0</v>
      </c>
      <c r="M1422" s="3">
        <v>0</v>
      </c>
      <c r="N1422" s="5">
        <v>39500</v>
      </c>
      <c r="O1422" s="3">
        <v>0</v>
      </c>
      <c r="P1422" s="5">
        <v>40500</v>
      </c>
      <c r="Q1422" s="3">
        <v>0</v>
      </c>
      <c r="R1422" s="5">
        <v>118500</v>
      </c>
      <c r="S1422" s="5">
        <v>11470</v>
      </c>
      <c r="T1422" s="5">
        <v>8000</v>
      </c>
      <c r="U1422" s="3">
        <v>0</v>
      </c>
      <c r="V1422" s="3">
        <v>0</v>
      </c>
      <c r="W1422" s="3">
        <v>0</v>
      </c>
      <c r="X1422" s="5">
        <v>1700</v>
      </c>
      <c r="Y1422" s="3">
        <v>0</v>
      </c>
      <c r="Z1422" s="5">
        <v>2000</v>
      </c>
      <c r="AA1422" s="5">
        <v>16000</v>
      </c>
      <c r="AB1422" s="6">
        <v>17539781</v>
      </c>
      <c r="AC1422" s="2" t="str">
        <f>VLOOKUP(F1422,'[1]Detailed Transfer Report (12)'!$L:$Y,12,FALSE)</f>
        <v>Muhammad Ishtiaq Jhangir</v>
      </c>
      <c r="AD1422" s="2" t="str">
        <f>VLOOKUP(F1422,'[1]Detailed Transfer Report (12)'!$L:$Y,13,FALSE)</f>
        <v>Sardar Tanveer Ilyas</v>
      </c>
      <c r="AE1422" s="16"/>
    </row>
    <row r="1423" spans="1:31" x14ac:dyDescent="0.25">
      <c r="A1423" s="9">
        <v>742</v>
      </c>
      <c r="B1423" s="4">
        <v>45625</v>
      </c>
      <c r="C1423" s="3" t="s">
        <v>1708</v>
      </c>
      <c r="D1423" s="3" t="s">
        <v>1709</v>
      </c>
      <c r="E1423" s="3"/>
      <c r="F1423" s="3">
        <v>11993750</v>
      </c>
      <c r="G1423" s="3" t="s">
        <v>1179</v>
      </c>
      <c r="H1423" s="3">
        <v>0</v>
      </c>
      <c r="I1423" s="3">
        <v>0</v>
      </c>
      <c r="J1423" s="5">
        <v>630000</v>
      </c>
      <c r="K1423" s="3">
        <v>0</v>
      </c>
      <c r="L1423" s="3">
        <v>0</v>
      </c>
      <c r="M1423" s="3">
        <v>0</v>
      </c>
      <c r="N1423" s="5">
        <v>210000</v>
      </c>
      <c r="O1423" s="3">
        <v>0</v>
      </c>
      <c r="P1423" s="5">
        <v>211000</v>
      </c>
      <c r="Q1423" s="3">
        <v>0</v>
      </c>
      <c r="R1423" s="5">
        <v>630000</v>
      </c>
      <c r="S1423" s="5">
        <v>60075</v>
      </c>
      <c r="T1423" s="5">
        <v>8000</v>
      </c>
      <c r="U1423" s="3">
        <v>0</v>
      </c>
      <c r="V1423" s="3">
        <v>0</v>
      </c>
      <c r="W1423" s="3">
        <v>0</v>
      </c>
      <c r="X1423" s="5">
        <v>21000</v>
      </c>
      <c r="Y1423" s="3">
        <v>0</v>
      </c>
      <c r="Z1423" s="5">
        <v>2000</v>
      </c>
      <c r="AA1423" s="5">
        <v>66800</v>
      </c>
      <c r="AB1423" s="6">
        <v>19378656</v>
      </c>
      <c r="AC1423" s="2" t="str">
        <f>VLOOKUP(F1423,'[1]Detailed Transfer Report (12)'!$L:$Y,12,FALSE)</f>
        <v>Rashida Kousar</v>
      </c>
      <c r="AD1423" s="2" t="str">
        <f>VLOOKUP(F1423,'[1]Detailed Transfer Report (12)'!$L:$Y,13,FALSE)</f>
        <v>Sardar Tanveer Ilyas</v>
      </c>
      <c r="AE1423" s="16"/>
    </row>
    <row r="1424" spans="1:31" x14ac:dyDescent="0.25">
      <c r="A1424" s="9">
        <v>742</v>
      </c>
      <c r="B1424" s="4">
        <v>45625</v>
      </c>
      <c r="C1424" s="3" t="s">
        <v>1710</v>
      </c>
      <c r="D1424" s="3" t="s">
        <v>1709</v>
      </c>
      <c r="E1424" s="3">
        <v>4145</v>
      </c>
      <c r="F1424" s="3">
        <v>1248</v>
      </c>
      <c r="G1424" s="3" t="s">
        <v>1179</v>
      </c>
      <c r="H1424" s="3">
        <v>0</v>
      </c>
      <c r="I1424" s="3">
        <v>0</v>
      </c>
      <c r="J1424" s="5">
        <v>322500</v>
      </c>
      <c r="K1424" s="3">
        <v>0</v>
      </c>
      <c r="L1424" s="3">
        <v>0</v>
      </c>
      <c r="M1424" s="3">
        <v>0</v>
      </c>
      <c r="N1424" s="5">
        <v>107500</v>
      </c>
      <c r="O1424" s="3">
        <v>0</v>
      </c>
      <c r="P1424" s="5">
        <v>108500</v>
      </c>
      <c r="Q1424" s="3">
        <v>0</v>
      </c>
      <c r="R1424" s="5">
        <v>322500</v>
      </c>
      <c r="S1424" s="3">
        <v>0</v>
      </c>
      <c r="T1424" s="5">
        <v>8000</v>
      </c>
      <c r="U1424" s="3">
        <v>0</v>
      </c>
      <c r="V1424" s="5">
        <v>30940</v>
      </c>
      <c r="W1424" s="3">
        <v>0</v>
      </c>
      <c r="X1424" s="5">
        <v>10750</v>
      </c>
      <c r="Y1424" s="3">
        <v>0</v>
      </c>
      <c r="Z1424" s="5">
        <v>2000</v>
      </c>
      <c r="AA1424" s="5">
        <v>34250</v>
      </c>
      <c r="AB1424" s="6">
        <v>20325596</v>
      </c>
      <c r="AC1424" s="2" t="str">
        <f>VLOOKUP(E1424,'[1]Detailed Transfer Report (12)'!$K:$Y,13,FALSE)</f>
        <v>Raja Muhammad Zahoor</v>
      </c>
      <c r="AD1424" s="2" t="str">
        <f>VLOOKUP(E1424,'[1]Detailed Transfer Report (12)'!$K:$Y,14,FALSE)</f>
        <v>Sardar Tanveer Ilyas</v>
      </c>
      <c r="AE1424" s="16">
        <f>VLOOKUP(E1424,'[1]Detailed Transfer Report (12)'!$K:$Y,15,FALSE)</f>
        <v>45870</v>
      </c>
    </row>
    <row r="1425" spans="1:31" x14ac:dyDescent="0.25">
      <c r="A1425" s="9">
        <v>742</v>
      </c>
      <c r="B1425" s="4">
        <v>45611</v>
      </c>
      <c r="C1425" s="3" t="s">
        <v>137</v>
      </c>
      <c r="D1425" s="3" t="s">
        <v>1711</v>
      </c>
      <c r="E1425" s="3">
        <v>4136</v>
      </c>
      <c r="F1425" s="3">
        <v>623</v>
      </c>
      <c r="G1425" s="3" t="s">
        <v>1179</v>
      </c>
      <c r="H1425" s="3">
        <v>0</v>
      </c>
      <c r="I1425" s="3">
        <v>0</v>
      </c>
      <c r="J1425" s="5">
        <v>93600</v>
      </c>
      <c r="K1425" s="3">
        <v>0</v>
      </c>
      <c r="L1425" s="3">
        <v>0</v>
      </c>
      <c r="M1425" s="3">
        <v>0</v>
      </c>
      <c r="N1425" s="5">
        <v>15600</v>
      </c>
      <c r="O1425" s="3">
        <v>0</v>
      </c>
      <c r="P1425" s="5">
        <v>16600</v>
      </c>
      <c r="Q1425" s="3">
        <v>0</v>
      </c>
      <c r="R1425" s="3">
        <v>0</v>
      </c>
      <c r="S1425" s="3">
        <v>0</v>
      </c>
      <c r="T1425" s="5">
        <v>4500</v>
      </c>
      <c r="U1425" s="3">
        <v>0</v>
      </c>
      <c r="V1425" s="5">
        <v>8000</v>
      </c>
      <c r="W1425" s="3">
        <v>0</v>
      </c>
      <c r="X1425" s="5">
        <v>1700</v>
      </c>
      <c r="Y1425" s="3">
        <v>0</v>
      </c>
      <c r="Z1425" s="5">
        <v>2000</v>
      </c>
      <c r="AA1425" s="5">
        <v>16000</v>
      </c>
      <c r="AB1425" s="6">
        <v>20483596</v>
      </c>
      <c r="AC1425" s="2" t="str">
        <f>VLOOKUP(E1425,'[1]Detailed Transfer Report (12)'!$K:$Y,13,FALSE)</f>
        <v>Raja nasir Kiyani</v>
      </c>
      <c r="AD1425" s="2" t="str">
        <f>VLOOKUP(E1425,'[1]Detailed Transfer Report (12)'!$K:$Y,14,FALSE)</f>
        <v>Sardar Tanveer Ilyas</v>
      </c>
      <c r="AE1425" s="16">
        <f>VLOOKUP(E1425,'[1]Detailed Transfer Report (12)'!$K:$Y,15,FALSE)</f>
        <v>45607</v>
      </c>
    </row>
    <row r="1426" spans="1:31" x14ac:dyDescent="0.25">
      <c r="A1426" s="9">
        <v>742</v>
      </c>
      <c r="B1426" s="4">
        <v>45611</v>
      </c>
      <c r="C1426" s="3" t="s">
        <v>137</v>
      </c>
      <c r="D1426" s="3" t="s">
        <v>1711</v>
      </c>
      <c r="E1426" s="3">
        <v>4135</v>
      </c>
      <c r="F1426" s="3">
        <v>616</v>
      </c>
      <c r="G1426" s="3" t="s">
        <v>1179</v>
      </c>
      <c r="H1426" s="3">
        <v>0</v>
      </c>
      <c r="I1426" s="3">
        <v>0</v>
      </c>
      <c r="J1426" s="5">
        <v>93600</v>
      </c>
      <c r="K1426" s="3">
        <v>0</v>
      </c>
      <c r="L1426" s="3">
        <v>0</v>
      </c>
      <c r="M1426" s="3">
        <v>0</v>
      </c>
      <c r="N1426" s="5">
        <v>15600</v>
      </c>
      <c r="O1426" s="3">
        <v>0</v>
      </c>
      <c r="P1426" s="5">
        <v>16600</v>
      </c>
      <c r="Q1426" s="3">
        <v>0</v>
      </c>
      <c r="R1426" s="3">
        <v>0</v>
      </c>
      <c r="S1426" s="3">
        <v>0</v>
      </c>
      <c r="T1426" s="5">
        <v>8000</v>
      </c>
      <c r="U1426" s="3">
        <v>0</v>
      </c>
      <c r="V1426" s="5">
        <v>4500</v>
      </c>
      <c r="W1426" s="3">
        <v>0</v>
      </c>
      <c r="X1426" s="5">
        <v>1700</v>
      </c>
      <c r="Y1426" s="3">
        <v>0</v>
      </c>
      <c r="Z1426" s="5">
        <v>2000</v>
      </c>
      <c r="AA1426" s="5">
        <v>16000</v>
      </c>
      <c r="AB1426" s="6">
        <v>20641596</v>
      </c>
      <c r="AC1426" s="2" t="str">
        <f>VLOOKUP(E1426,'[1]Detailed Transfer Report (12)'!$K:$Y,13,FALSE)</f>
        <v>Raja Kamran</v>
      </c>
      <c r="AD1426" s="2" t="str">
        <f>VLOOKUP(E1426,'[1]Detailed Transfer Report (12)'!$K:$Y,14,FALSE)</f>
        <v>Sardar Tanveer Ilyas</v>
      </c>
      <c r="AE1426" s="16">
        <f>VLOOKUP(E1426,'[1]Detailed Transfer Report (12)'!$K:$Y,15,FALSE)</f>
        <v>45607</v>
      </c>
    </row>
    <row r="1427" spans="1:31" x14ac:dyDescent="0.25">
      <c r="A1427" s="9">
        <v>742</v>
      </c>
      <c r="B1427" s="4">
        <v>45716</v>
      </c>
      <c r="C1427" s="3" t="s">
        <v>1712</v>
      </c>
      <c r="D1427" s="3" t="s">
        <v>1713</v>
      </c>
      <c r="E1427" s="3">
        <v>4184</v>
      </c>
      <c r="F1427" s="3">
        <v>7028</v>
      </c>
      <c r="G1427" s="3" t="s">
        <v>1179</v>
      </c>
      <c r="H1427" s="3">
        <v>0</v>
      </c>
      <c r="I1427" s="3">
        <v>0</v>
      </c>
      <c r="J1427" s="5">
        <v>117600</v>
      </c>
      <c r="K1427" s="3">
        <v>0</v>
      </c>
      <c r="L1427" s="3">
        <v>0</v>
      </c>
      <c r="M1427" s="3">
        <v>0</v>
      </c>
      <c r="N1427" s="5">
        <v>39200</v>
      </c>
      <c r="O1427" s="3">
        <v>0</v>
      </c>
      <c r="P1427" s="5">
        <v>40200</v>
      </c>
      <c r="Q1427" s="3">
        <v>0</v>
      </c>
      <c r="R1427" s="5">
        <v>117600</v>
      </c>
      <c r="S1427" s="3">
        <v>0</v>
      </c>
      <c r="T1427" s="5">
        <v>8000</v>
      </c>
      <c r="U1427" s="3">
        <v>0</v>
      </c>
      <c r="V1427" s="5">
        <v>11284</v>
      </c>
      <c r="W1427" s="3">
        <v>0</v>
      </c>
      <c r="X1427" s="5">
        <v>3920</v>
      </c>
      <c r="Y1427" s="3">
        <v>0</v>
      </c>
      <c r="Z1427" s="5">
        <v>2000</v>
      </c>
      <c r="AA1427" s="5">
        <v>16000</v>
      </c>
      <c r="AB1427" s="6">
        <v>20997400</v>
      </c>
      <c r="AC1427" s="2" t="str">
        <f>VLOOKUP(E1427,'[1]Detailed Transfer Report (12)'!$K:$Y,13,FALSE)</f>
        <v>Raja Muhammad Masood</v>
      </c>
      <c r="AD1427" s="2" t="str">
        <f>VLOOKUP(E1427,'[1]Detailed Transfer Report (12)'!$K:$Y,14,FALSE)</f>
        <v>Sardar Tanveer Ilyas</v>
      </c>
      <c r="AE1427" s="16">
        <f>VLOOKUP(E1427,'[1]Detailed Transfer Report (12)'!$K:$Y,15,FALSE)</f>
        <v>45779</v>
      </c>
    </row>
    <row r="1428" spans="1:31" x14ac:dyDescent="0.25">
      <c r="A1428" s="9">
        <v>742</v>
      </c>
      <c r="B1428" s="4">
        <v>45716</v>
      </c>
      <c r="C1428" s="3" t="s">
        <v>1714</v>
      </c>
      <c r="D1428" s="3" t="s">
        <v>1715</v>
      </c>
      <c r="E1428" s="3">
        <v>4201</v>
      </c>
      <c r="F1428" s="3">
        <v>9400</v>
      </c>
      <c r="G1428" s="3" t="s">
        <v>1179</v>
      </c>
      <c r="H1428" s="3">
        <v>0</v>
      </c>
      <c r="I1428" s="3">
        <v>0</v>
      </c>
      <c r="J1428" s="5">
        <v>410700</v>
      </c>
      <c r="K1428" s="3">
        <v>0</v>
      </c>
      <c r="L1428" s="3">
        <v>0</v>
      </c>
      <c r="M1428" s="3">
        <v>0</v>
      </c>
      <c r="N1428" s="5">
        <v>136900</v>
      </c>
      <c r="O1428" s="3">
        <v>0</v>
      </c>
      <c r="P1428" s="5">
        <v>137900</v>
      </c>
      <c r="Q1428" s="3">
        <v>0</v>
      </c>
      <c r="R1428" s="5">
        <v>410700</v>
      </c>
      <c r="S1428" s="3">
        <v>0</v>
      </c>
      <c r="T1428" s="5">
        <v>8000</v>
      </c>
      <c r="U1428" s="3">
        <v>0</v>
      </c>
      <c r="V1428" s="5">
        <v>39465</v>
      </c>
      <c r="W1428" s="3">
        <v>0</v>
      </c>
      <c r="X1428" s="5">
        <v>13690</v>
      </c>
      <c r="Y1428" s="3">
        <v>0</v>
      </c>
      <c r="Z1428" s="5">
        <v>2000</v>
      </c>
      <c r="AA1428" s="5">
        <v>43862</v>
      </c>
      <c r="AB1428" s="6">
        <v>22200617</v>
      </c>
      <c r="AD1428" s="2" t="str">
        <f>VLOOKUP(E1428,'[1]Detailed Transfer Report (12)'!$K:$Y,14,FALSE)</f>
        <v>Sardar Tanveer Ilyas</v>
      </c>
      <c r="AE1428" s="16"/>
    </row>
    <row r="1429" spans="1:31" x14ac:dyDescent="0.25">
      <c r="A1429" s="9">
        <v>742</v>
      </c>
      <c r="B1429" s="4">
        <v>45716</v>
      </c>
      <c r="C1429" s="3" t="s">
        <v>1716</v>
      </c>
      <c r="D1429" s="3" t="s">
        <v>1713</v>
      </c>
      <c r="E1429" s="3">
        <v>4180</v>
      </c>
      <c r="F1429" s="3">
        <v>7021</v>
      </c>
      <c r="G1429" s="3" t="s">
        <v>1179</v>
      </c>
      <c r="H1429" s="3">
        <v>0</v>
      </c>
      <c r="I1429" s="3">
        <v>0</v>
      </c>
      <c r="J1429" s="5">
        <v>256500</v>
      </c>
      <c r="K1429" s="3">
        <v>0</v>
      </c>
      <c r="L1429" s="3">
        <v>0</v>
      </c>
      <c r="M1429" s="3">
        <v>0</v>
      </c>
      <c r="N1429" s="5">
        <v>85500</v>
      </c>
      <c r="O1429" s="3">
        <v>0</v>
      </c>
      <c r="P1429" s="5">
        <v>86500</v>
      </c>
      <c r="Q1429" s="3">
        <v>0</v>
      </c>
      <c r="R1429" s="5">
        <v>256500</v>
      </c>
      <c r="S1429" s="3">
        <v>0</v>
      </c>
      <c r="T1429" s="5">
        <v>8000</v>
      </c>
      <c r="U1429" s="3">
        <v>0</v>
      </c>
      <c r="V1429" s="5">
        <v>24626</v>
      </c>
      <c r="W1429" s="3">
        <v>0</v>
      </c>
      <c r="X1429" s="5">
        <v>8550</v>
      </c>
      <c r="Y1429" s="3">
        <v>0</v>
      </c>
      <c r="Z1429" s="5">
        <v>2000</v>
      </c>
      <c r="AA1429" s="5">
        <v>27367</v>
      </c>
      <c r="AB1429" s="6">
        <v>22956160</v>
      </c>
      <c r="AC1429" s="2" t="str">
        <f>VLOOKUP(E1429,'[1]Detailed Transfer Report (12)'!$K:$Y,13,FALSE)</f>
        <v>Raja Muhammad Zahoor</v>
      </c>
      <c r="AD1429" s="2" t="str">
        <f>VLOOKUP(E1429,'[1]Detailed Transfer Report (12)'!$K:$Y,14,FALSE)</f>
        <v>Sardar Tanveer Ilyas</v>
      </c>
      <c r="AE1429" s="16">
        <f>VLOOKUP(E1429,'[1]Detailed Transfer Report (12)'!$K:$Y,15,FALSE)</f>
        <v>45779</v>
      </c>
    </row>
    <row r="1430" spans="1:31" x14ac:dyDescent="0.25">
      <c r="A1430" s="9">
        <v>742</v>
      </c>
      <c r="B1430" s="4">
        <v>45716</v>
      </c>
      <c r="C1430" s="3" t="s">
        <v>1717</v>
      </c>
      <c r="D1430" s="3" t="s">
        <v>1713</v>
      </c>
      <c r="E1430" s="3">
        <v>4178</v>
      </c>
      <c r="F1430" s="3">
        <v>7019</v>
      </c>
      <c r="G1430" s="3" t="s">
        <v>1179</v>
      </c>
      <c r="H1430" s="3">
        <v>0</v>
      </c>
      <c r="I1430" s="3">
        <v>0</v>
      </c>
      <c r="J1430" s="5">
        <v>53100</v>
      </c>
      <c r="K1430" s="3">
        <v>0</v>
      </c>
      <c r="L1430" s="3">
        <v>0</v>
      </c>
      <c r="M1430" s="3">
        <v>0</v>
      </c>
      <c r="N1430" s="5">
        <v>17700</v>
      </c>
      <c r="O1430" s="3">
        <v>0</v>
      </c>
      <c r="P1430" s="5">
        <v>18700</v>
      </c>
      <c r="Q1430" s="3">
        <v>0</v>
      </c>
      <c r="R1430" s="5">
        <v>53100</v>
      </c>
      <c r="S1430" s="3">
        <v>0</v>
      </c>
      <c r="T1430" s="5">
        <v>8000</v>
      </c>
      <c r="U1430" s="3">
        <v>0</v>
      </c>
      <c r="V1430" s="5">
        <v>5085</v>
      </c>
      <c r="W1430" s="3">
        <v>0</v>
      </c>
      <c r="X1430" s="5">
        <v>3000</v>
      </c>
      <c r="Y1430" s="3">
        <v>0</v>
      </c>
      <c r="Z1430" s="5">
        <v>2000</v>
      </c>
      <c r="AA1430" s="5">
        <v>16000</v>
      </c>
      <c r="AB1430" s="6">
        <v>23132845</v>
      </c>
      <c r="AC1430" s="2" t="str">
        <f>VLOOKUP(E1430,'[1]Detailed Transfer Report (12)'!$K:$Y,13,FALSE)</f>
        <v>Nadia Kausar</v>
      </c>
      <c r="AD1430" s="2" t="str">
        <f>VLOOKUP(E1430,'[1]Detailed Transfer Report (12)'!$K:$Y,14,FALSE)</f>
        <v>Sardar Tanveer Ilyas</v>
      </c>
      <c r="AE1430" s="16">
        <f>VLOOKUP(E1430,'[1]Detailed Transfer Report (12)'!$K:$Y,15,FALSE)</f>
        <v>45779</v>
      </c>
    </row>
    <row r="1431" spans="1:31" x14ac:dyDescent="0.25">
      <c r="A1431" s="9">
        <v>742</v>
      </c>
      <c r="B1431" s="4">
        <v>45716</v>
      </c>
      <c r="C1431" s="3" t="s">
        <v>1718</v>
      </c>
      <c r="D1431" s="3" t="s">
        <v>1719</v>
      </c>
      <c r="E1431" s="3">
        <v>4179</v>
      </c>
      <c r="F1431" s="3">
        <v>7020</v>
      </c>
      <c r="G1431" s="3" t="s">
        <v>1179</v>
      </c>
      <c r="H1431" s="3">
        <v>0</v>
      </c>
      <c r="I1431" s="3">
        <v>0</v>
      </c>
      <c r="J1431" s="5">
        <v>66300</v>
      </c>
      <c r="K1431" s="3">
        <v>0</v>
      </c>
      <c r="L1431" s="3">
        <v>0</v>
      </c>
      <c r="M1431" s="3">
        <v>0</v>
      </c>
      <c r="N1431" s="5">
        <v>22100</v>
      </c>
      <c r="O1431" s="3">
        <v>0</v>
      </c>
      <c r="P1431" s="5">
        <v>23100</v>
      </c>
      <c r="Q1431" s="3">
        <v>0</v>
      </c>
      <c r="R1431" s="5">
        <v>221000</v>
      </c>
      <c r="S1431" s="3">
        <v>0</v>
      </c>
      <c r="T1431" s="5">
        <v>8000</v>
      </c>
      <c r="U1431" s="3">
        <v>0</v>
      </c>
      <c r="V1431" s="5">
        <v>6354</v>
      </c>
      <c r="W1431" s="3">
        <v>0</v>
      </c>
      <c r="X1431" s="5">
        <v>3000</v>
      </c>
      <c r="Y1431" s="3">
        <v>0</v>
      </c>
      <c r="Z1431" s="5">
        <v>2000</v>
      </c>
      <c r="AA1431" s="5">
        <v>16000</v>
      </c>
      <c r="AB1431" s="6">
        <v>23500699</v>
      </c>
      <c r="AC1431" s="2" t="str">
        <f>VLOOKUP(E1431,'[1]Detailed Transfer Report (12)'!$K:$Y,13,FALSE)</f>
        <v>Yasmin Kousar</v>
      </c>
      <c r="AD1431" s="2" t="str">
        <f>VLOOKUP(E1431,'[1]Detailed Transfer Report (12)'!$K:$Y,14,FALSE)</f>
        <v>Sardar Tanveer Ilyas</v>
      </c>
      <c r="AE1431" s="16">
        <f>VLOOKUP(E1431,'[1]Detailed Transfer Report (12)'!$K:$Y,15,FALSE)</f>
        <v>45779</v>
      </c>
    </row>
    <row r="1432" spans="1:31" x14ac:dyDescent="0.25">
      <c r="A1432" s="9">
        <v>742</v>
      </c>
      <c r="B1432" s="4">
        <v>45716</v>
      </c>
      <c r="C1432" s="3" t="s">
        <v>1720</v>
      </c>
      <c r="D1432" s="3" t="s">
        <v>1721</v>
      </c>
      <c r="E1432" s="3">
        <v>4185</v>
      </c>
      <c r="F1432" s="3">
        <v>7030</v>
      </c>
      <c r="G1432" s="3" t="s">
        <v>1179</v>
      </c>
      <c r="H1432" s="3">
        <v>0</v>
      </c>
      <c r="I1432" s="3">
        <v>0</v>
      </c>
      <c r="J1432" s="5">
        <v>117600</v>
      </c>
      <c r="K1432" s="3">
        <v>0</v>
      </c>
      <c r="L1432" s="3">
        <v>0</v>
      </c>
      <c r="M1432" s="3">
        <v>0</v>
      </c>
      <c r="N1432" s="5">
        <v>39200</v>
      </c>
      <c r="O1432" s="3">
        <v>0</v>
      </c>
      <c r="P1432" s="5">
        <v>40200</v>
      </c>
      <c r="Q1432" s="3">
        <v>0</v>
      </c>
      <c r="R1432" s="5">
        <v>117600</v>
      </c>
      <c r="S1432" s="3">
        <v>0</v>
      </c>
      <c r="T1432" s="5">
        <v>8000</v>
      </c>
      <c r="U1432" s="3">
        <v>0</v>
      </c>
      <c r="V1432" s="5">
        <v>11287</v>
      </c>
      <c r="W1432" s="3">
        <v>0</v>
      </c>
      <c r="X1432" s="5">
        <v>3920</v>
      </c>
      <c r="Y1432" s="3">
        <v>0</v>
      </c>
      <c r="Z1432" s="5">
        <v>2000</v>
      </c>
      <c r="AA1432" s="5">
        <v>16000</v>
      </c>
      <c r="AB1432" s="6">
        <v>23856506</v>
      </c>
      <c r="AC1432" s="2" t="str">
        <f>VLOOKUP(E1432,'[1]Detailed Transfer Report (12)'!$K:$Y,13,FALSE)</f>
        <v>Raja Muhammad Farooq</v>
      </c>
      <c r="AD1432" s="2" t="str">
        <f>VLOOKUP(E1432,'[1]Detailed Transfer Report (12)'!$K:$Y,14,FALSE)</f>
        <v>Sardar Tanveer Ilyas</v>
      </c>
      <c r="AE1432" s="16">
        <f>VLOOKUP(E1432,'[1]Detailed Transfer Report (12)'!$K:$Y,15,FALSE)</f>
        <v>45779</v>
      </c>
    </row>
    <row r="1433" spans="1:31" x14ac:dyDescent="0.25">
      <c r="A1433" s="9">
        <v>742</v>
      </c>
      <c r="B1433" s="4">
        <v>45716</v>
      </c>
      <c r="C1433" s="3" t="s">
        <v>141</v>
      </c>
      <c r="D1433" s="3" t="s">
        <v>1721</v>
      </c>
      <c r="E1433" s="3">
        <v>4199</v>
      </c>
      <c r="F1433" s="3">
        <v>9397</v>
      </c>
      <c r="G1433" s="3" t="s">
        <v>1179</v>
      </c>
      <c r="H1433" s="3">
        <v>0</v>
      </c>
      <c r="I1433" s="3">
        <v>0</v>
      </c>
      <c r="J1433" s="5">
        <v>282000</v>
      </c>
      <c r="K1433" s="3">
        <v>0</v>
      </c>
      <c r="L1433" s="3">
        <v>0</v>
      </c>
      <c r="M1433" s="3">
        <v>0</v>
      </c>
      <c r="N1433" s="5">
        <v>94000</v>
      </c>
      <c r="O1433" s="3">
        <v>0</v>
      </c>
      <c r="P1433" s="5">
        <v>95000</v>
      </c>
      <c r="Q1433" s="3">
        <v>0</v>
      </c>
      <c r="R1433" s="5">
        <v>282000</v>
      </c>
      <c r="S1433" s="3">
        <v>0</v>
      </c>
      <c r="T1433" s="5">
        <v>27000</v>
      </c>
      <c r="U1433" s="3">
        <v>0</v>
      </c>
      <c r="V1433" s="5">
        <v>8000</v>
      </c>
      <c r="W1433" s="3">
        <v>0</v>
      </c>
      <c r="X1433" s="5">
        <v>9400</v>
      </c>
      <c r="Y1433" s="3">
        <v>0</v>
      </c>
      <c r="Z1433" s="5">
        <v>2000</v>
      </c>
      <c r="AA1433" s="5">
        <v>30000</v>
      </c>
      <c r="AB1433" s="6">
        <v>24685906</v>
      </c>
      <c r="AC1433" s="2" t="str">
        <f>VLOOKUP(E1433,'[1]Detailed Transfer Report (12)'!$K:$Y,13,FALSE)</f>
        <v>Raja Muhammad Naveed</v>
      </c>
      <c r="AD1433" s="2" t="str">
        <f>VLOOKUP(E1433,'[1]Detailed Transfer Report (12)'!$K:$Y,14,FALSE)</f>
        <v>Sardar Tanveer Ilyas</v>
      </c>
      <c r="AE1433" s="16">
        <f>VLOOKUP(E1433,'[1]Detailed Transfer Report (12)'!$K:$Y,15,FALSE)</f>
        <v>45779</v>
      </c>
    </row>
    <row r="1434" spans="1:31" x14ac:dyDescent="0.25">
      <c r="A1434" s="9">
        <v>742</v>
      </c>
      <c r="B1434" s="4">
        <v>45716</v>
      </c>
      <c r="C1434" s="3" t="s">
        <v>1722</v>
      </c>
      <c r="D1434" s="3" t="s">
        <v>1719</v>
      </c>
      <c r="E1434" s="3">
        <v>4198</v>
      </c>
      <c r="F1434" s="3">
        <v>9396</v>
      </c>
      <c r="G1434" s="3" t="s">
        <v>1179</v>
      </c>
      <c r="H1434" s="3">
        <v>0</v>
      </c>
      <c r="I1434" s="3">
        <v>0</v>
      </c>
      <c r="J1434" s="5">
        <v>276000</v>
      </c>
      <c r="K1434" s="3">
        <v>0</v>
      </c>
      <c r="L1434" s="3">
        <v>0</v>
      </c>
      <c r="M1434" s="3">
        <v>0</v>
      </c>
      <c r="N1434" s="5">
        <v>92000</v>
      </c>
      <c r="O1434" s="3">
        <v>0</v>
      </c>
      <c r="P1434" s="5">
        <v>93000</v>
      </c>
      <c r="Q1434" s="3">
        <v>0</v>
      </c>
      <c r="R1434" s="5">
        <v>276000</v>
      </c>
      <c r="S1434" s="3">
        <v>0</v>
      </c>
      <c r="T1434" s="5">
        <v>8000</v>
      </c>
      <c r="U1434" s="3">
        <v>0</v>
      </c>
      <c r="V1434" s="5">
        <v>26494</v>
      </c>
      <c r="W1434" s="3">
        <v>0</v>
      </c>
      <c r="X1434" s="5">
        <v>9200</v>
      </c>
      <c r="Y1434" s="3">
        <v>0</v>
      </c>
      <c r="Z1434" s="5">
        <v>2000</v>
      </c>
      <c r="AA1434" s="5">
        <v>29438</v>
      </c>
      <c r="AB1434" s="6">
        <v>25498038</v>
      </c>
      <c r="AC1434" s="2" t="str">
        <f>VLOOKUP(E1434,'[1]Detailed Transfer Report (12)'!$K:$Y,13,FALSE)</f>
        <v>Raja Muhammad Zaheer</v>
      </c>
      <c r="AD1434" s="2" t="str">
        <f>VLOOKUP(E1434,'[1]Detailed Transfer Report (12)'!$K:$Y,14,FALSE)</f>
        <v>Sardar Tanveer Ilyas</v>
      </c>
      <c r="AE1434" s="16">
        <f>VLOOKUP(E1434,'[1]Detailed Transfer Report (12)'!$K:$Y,15,FALSE)</f>
        <v>45779</v>
      </c>
    </row>
    <row r="1435" spans="1:31" x14ac:dyDescent="0.25">
      <c r="A1435" s="9">
        <v>742</v>
      </c>
      <c r="B1435" s="4">
        <v>45716</v>
      </c>
      <c r="C1435" s="3" t="s">
        <v>46</v>
      </c>
      <c r="D1435" s="3" t="s">
        <v>1719</v>
      </c>
      <c r="E1435" s="3">
        <v>4200</v>
      </c>
      <c r="F1435" s="3">
        <v>9398</v>
      </c>
      <c r="G1435" s="3" t="s">
        <v>1179</v>
      </c>
      <c r="H1435" s="3">
        <v>0</v>
      </c>
      <c r="I1435" s="3">
        <v>0</v>
      </c>
      <c r="J1435" s="5">
        <v>187200</v>
      </c>
      <c r="K1435" s="3">
        <v>0</v>
      </c>
      <c r="L1435" s="3">
        <v>0</v>
      </c>
      <c r="M1435" s="3">
        <v>0</v>
      </c>
      <c r="N1435" s="5">
        <v>62400</v>
      </c>
      <c r="O1435" s="3">
        <v>0</v>
      </c>
      <c r="P1435" s="5">
        <v>63400</v>
      </c>
      <c r="Q1435" s="3">
        <v>0</v>
      </c>
      <c r="R1435" s="5">
        <v>187200</v>
      </c>
      <c r="S1435" s="3">
        <v>0</v>
      </c>
      <c r="T1435" s="5">
        <v>8000</v>
      </c>
      <c r="U1435" s="3">
        <v>0</v>
      </c>
      <c r="V1435" s="5">
        <v>18000</v>
      </c>
      <c r="W1435" s="3">
        <v>0</v>
      </c>
      <c r="X1435" s="5">
        <v>6240</v>
      </c>
      <c r="Y1435" s="3">
        <v>0</v>
      </c>
      <c r="Z1435" s="5">
        <v>2000</v>
      </c>
      <c r="AA1435" s="5">
        <v>20000</v>
      </c>
      <c r="AB1435" s="6">
        <v>26052478</v>
      </c>
      <c r="AC1435" s="2" t="str">
        <f>VLOOKUP(E1435,'[1]Detailed Transfer Report (12)'!$K:$Y,13,FALSE)</f>
        <v>Muhammad Ishtiaq Jhangir</v>
      </c>
      <c r="AD1435" s="2" t="str">
        <f>VLOOKUP(E1435,'[1]Detailed Transfer Report (12)'!$K:$Y,14,FALSE)</f>
        <v>Sardar Tanveer Ilyas</v>
      </c>
      <c r="AE1435" s="16">
        <f>VLOOKUP(E1435,'[1]Detailed Transfer Report (12)'!$K:$Y,15,FALSE)</f>
        <v>45779</v>
      </c>
    </row>
    <row r="1436" spans="1:31" x14ac:dyDescent="0.25">
      <c r="A1436" s="9">
        <v>742</v>
      </c>
      <c r="B1436" s="4">
        <v>45716</v>
      </c>
      <c r="C1436" s="3" t="s">
        <v>1723</v>
      </c>
      <c r="D1436" s="3" t="s">
        <v>1721</v>
      </c>
      <c r="E1436" s="3">
        <v>4181</v>
      </c>
      <c r="F1436" s="3">
        <v>7025</v>
      </c>
      <c r="G1436" s="3" t="s">
        <v>1179</v>
      </c>
      <c r="H1436" s="3">
        <v>0</v>
      </c>
      <c r="I1436" s="3">
        <v>0</v>
      </c>
      <c r="J1436" s="5">
        <v>39600</v>
      </c>
      <c r="K1436" s="3">
        <v>0</v>
      </c>
      <c r="L1436" s="3">
        <v>0</v>
      </c>
      <c r="M1436" s="3">
        <v>0</v>
      </c>
      <c r="N1436" s="5">
        <v>13200</v>
      </c>
      <c r="O1436" s="3">
        <v>0</v>
      </c>
      <c r="P1436" s="5">
        <v>14200</v>
      </c>
      <c r="Q1436" s="3">
        <v>0</v>
      </c>
      <c r="R1436" s="5">
        <v>39600</v>
      </c>
      <c r="S1436" s="3">
        <v>0</v>
      </c>
      <c r="T1436" s="5">
        <v>8000</v>
      </c>
      <c r="U1436" s="3">
        <v>0</v>
      </c>
      <c r="V1436" s="5">
        <v>3784</v>
      </c>
      <c r="W1436" s="3">
        <v>0</v>
      </c>
      <c r="X1436" s="5">
        <v>3000</v>
      </c>
      <c r="Y1436" s="3">
        <v>0</v>
      </c>
      <c r="Z1436" s="5">
        <v>2000</v>
      </c>
      <c r="AA1436" s="5">
        <v>16000</v>
      </c>
      <c r="AB1436" s="6">
        <v>26191862</v>
      </c>
      <c r="AC1436" s="2" t="str">
        <f>VLOOKUP(E1436,'[1]Detailed Transfer Report (12)'!$K:$Y,13,FALSE)</f>
        <v>Irum Younas</v>
      </c>
      <c r="AD1436" s="2" t="str">
        <f>VLOOKUP(E1436,'[1]Detailed Transfer Report (12)'!$K:$Y,14,FALSE)</f>
        <v>Sardar Tanveer Ilyas</v>
      </c>
      <c r="AE1436" s="16">
        <f>VLOOKUP(E1436,'[1]Detailed Transfer Report (12)'!$K:$Y,15,FALSE)</f>
        <v>45779</v>
      </c>
    </row>
    <row r="1437" spans="1:31" x14ac:dyDescent="0.25">
      <c r="A1437" s="9">
        <v>742</v>
      </c>
      <c r="B1437" s="4">
        <v>45716</v>
      </c>
      <c r="C1437" s="3" t="s">
        <v>1724</v>
      </c>
      <c r="D1437" s="3" t="s">
        <v>1715</v>
      </c>
      <c r="E1437" s="3">
        <v>4186</v>
      </c>
      <c r="F1437" s="3">
        <v>7031</v>
      </c>
      <c r="G1437" s="3" t="s">
        <v>1179</v>
      </c>
      <c r="H1437" s="3">
        <v>0</v>
      </c>
      <c r="I1437" s="3">
        <v>0</v>
      </c>
      <c r="J1437" s="5">
        <v>79200</v>
      </c>
      <c r="K1437" s="3">
        <v>0</v>
      </c>
      <c r="L1437" s="3">
        <v>0</v>
      </c>
      <c r="M1437" s="3">
        <v>0</v>
      </c>
      <c r="N1437" s="5">
        <v>26400</v>
      </c>
      <c r="O1437" s="3">
        <v>0</v>
      </c>
      <c r="P1437" s="5">
        <v>27400</v>
      </c>
      <c r="Q1437" s="3">
        <v>0</v>
      </c>
      <c r="R1437" s="5">
        <v>79200</v>
      </c>
      <c r="S1437" s="3">
        <v>0</v>
      </c>
      <c r="T1437" s="5">
        <v>8000</v>
      </c>
      <c r="U1437" s="3">
        <v>0</v>
      </c>
      <c r="V1437" s="5">
        <v>7600</v>
      </c>
      <c r="W1437" s="3">
        <v>0</v>
      </c>
      <c r="X1437" s="5">
        <v>3000</v>
      </c>
      <c r="Y1437" s="3">
        <v>0</v>
      </c>
      <c r="Z1437" s="5">
        <v>2000</v>
      </c>
      <c r="AA1437" s="5">
        <v>16000</v>
      </c>
      <c r="AB1437" s="6">
        <v>26440662</v>
      </c>
      <c r="AC1437" s="2" t="str">
        <f>VLOOKUP(E1437,'[1]Detailed Transfer Report (12)'!$K:$Y,13,FALSE)</f>
        <v>Nadia Irfan</v>
      </c>
      <c r="AD1437" s="2" t="str">
        <f>VLOOKUP(E1437,'[1]Detailed Transfer Report (12)'!$K:$Y,14,FALSE)</f>
        <v>Sardar Tanveer Ilyas</v>
      </c>
      <c r="AE1437" s="16">
        <f>VLOOKUP(E1437,'[1]Detailed Transfer Report (12)'!$K:$Y,15,FALSE)</f>
        <v>45779</v>
      </c>
    </row>
    <row r="1438" spans="1:31" x14ac:dyDescent="0.25">
      <c r="A1438" s="10">
        <v>742</v>
      </c>
      <c r="B1438" s="4">
        <v>45716</v>
      </c>
      <c r="C1438" s="3" t="s">
        <v>153</v>
      </c>
      <c r="D1438" s="3" t="s">
        <v>1715</v>
      </c>
      <c r="E1438" s="3">
        <v>4183</v>
      </c>
      <c r="F1438" s="3">
        <v>7027</v>
      </c>
      <c r="G1438" s="3" t="s">
        <v>1179</v>
      </c>
      <c r="H1438" s="3">
        <v>0</v>
      </c>
      <c r="I1438" s="3">
        <v>0</v>
      </c>
      <c r="J1438" s="5">
        <v>23400</v>
      </c>
      <c r="K1438" s="3">
        <v>0</v>
      </c>
      <c r="L1438" s="3">
        <v>0</v>
      </c>
      <c r="M1438" s="3">
        <v>0</v>
      </c>
      <c r="N1438" s="5">
        <v>7800</v>
      </c>
      <c r="O1438" s="3">
        <v>0</v>
      </c>
      <c r="P1438" s="5">
        <v>8800</v>
      </c>
      <c r="Q1438" s="3">
        <v>0</v>
      </c>
      <c r="R1438" s="5">
        <v>23400</v>
      </c>
      <c r="S1438" s="3">
        <v>0</v>
      </c>
      <c r="T1438" s="5">
        <v>8000</v>
      </c>
      <c r="U1438" s="3">
        <v>0</v>
      </c>
      <c r="V1438" s="5">
        <v>2250</v>
      </c>
      <c r="W1438" s="3">
        <v>0</v>
      </c>
      <c r="X1438" s="5">
        <v>3000</v>
      </c>
      <c r="Y1438" s="3">
        <v>0</v>
      </c>
      <c r="Z1438" s="5">
        <v>2000</v>
      </c>
      <c r="AA1438" s="5">
        <v>16000</v>
      </c>
      <c r="AB1438" s="6">
        <v>26535312</v>
      </c>
      <c r="AC1438" s="2" t="str">
        <f>VLOOKUP(E1438,'[1]Detailed Transfer Report (12)'!$K:$Y,13,FALSE)</f>
        <v>Irum Younas</v>
      </c>
      <c r="AD1438" s="2" t="str">
        <f>VLOOKUP(E1438,'[1]Detailed Transfer Report (12)'!$K:$Y,14,FALSE)</f>
        <v>Sardar Tanveer Ilyas</v>
      </c>
      <c r="AE1438" s="16">
        <f>VLOOKUP(E1438,'[1]Detailed Transfer Report (12)'!$K:$Y,15,FALSE)</f>
        <v>45779</v>
      </c>
    </row>
    <row r="1439" spans="1:31" x14ac:dyDescent="0.25">
      <c r="A1439" s="3">
        <v>743</v>
      </c>
      <c r="B1439" s="4">
        <v>45453</v>
      </c>
      <c r="C1439" s="3" t="s">
        <v>141</v>
      </c>
      <c r="D1439" s="3" t="s">
        <v>1725</v>
      </c>
      <c r="E1439" s="3">
        <v>137</v>
      </c>
      <c r="F1439" s="3">
        <v>4657</v>
      </c>
      <c r="G1439" s="3" t="s">
        <v>1469</v>
      </c>
      <c r="H1439" s="3">
        <v>0</v>
      </c>
      <c r="I1439" s="3">
        <v>0</v>
      </c>
      <c r="J1439" s="5">
        <v>691560</v>
      </c>
      <c r="K1439" s="3">
        <v>0</v>
      </c>
      <c r="L1439" s="3">
        <v>0</v>
      </c>
      <c r="M1439" s="3">
        <v>0</v>
      </c>
      <c r="N1439" s="5">
        <v>115260</v>
      </c>
      <c r="O1439" s="3">
        <v>0</v>
      </c>
      <c r="P1439" s="5">
        <v>116340</v>
      </c>
      <c r="Q1439" s="3">
        <v>0</v>
      </c>
      <c r="R1439" s="3">
        <v>0</v>
      </c>
      <c r="S1439" s="3">
        <v>0</v>
      </c>
      <c r="T1439" s="5">
        <v>51700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5">
        <v>60000</v>
      </c>
      <c r="AB1439" s="6">
        <v>1034860</v>
      </c>
      <c r="AD1439" s="2" t="str">
        <f>VLOOKUP(E1439,'[1]Detailed Transfer Report (12)'!$K:$Y,14,FALSE)</f>
        <v>Sardar Tanveer Ilyas</v>
      </c>
      <c r="AE1439" s="16"/>
    </row>
    <row r="1440" spans="1:31" x14ac:dyDescent="0.25">
      <c r="A1440" s="3">
        <v>744</v>
      </c>
      <c r="B1440" s="4">
        <v>45492</v>
      </c>
      <c r="C1440" s="3" t="s">
        <v>1726</v>
      </c>
      <c r="D1440" s="3" t="s">
        <v>822</v>
      </c>
      <c r="E1440" s="3">
        <v>136</v>
      </c>
      <c r="F1440" s="3">
        <v>5709</v>
      </c>
      <c r="G1440" s="3" t="s">
        <v>1469</v>
      </c>
      <c r="H1440" s="3">
        <v>0</v>
      </c>
      <c r="I1440" s="3">
        <v>0</v>
      </c>
      <c r="J1440" s="5">
        <v>2190000</v>
      </c>
      <c r="K1440" s="3">
        <v>0</v>
      </c>
      <c r="L1440" s="3">
        <v>0</v>
      </c>
      <c r="M1440" s="3">
        <v>0</v>
      </c>
      <c r="N1440" s="5">
        <v>365000</v>
      </c>
      <c r="O1440" s="3">
        <v>0</v>
      </c>
      <c r="P1440" s="5">
        <v>366000</v>
      </c>
      <c r="Q1440" s="3">
        <v>0</v>
      </c>
      <c r="R1440" s="3">
        <v>0</v>
      </c>
      <c r="S1440" s="3">
        <v>0</v>
      </c>
      <c r="T1440" s="5">
        <v>121700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5">
        <v>190000</v>
      </c>
      <c r="AB1440" s="6">
        <v>3232700</v>
      </c>
      <c r="AC1440" s="2" t="str">
        <f>VLOOKUP(E1440,'[1]Detailed Transfer Report (12)'!$K:$Y,13,FALSE)</f>
        <v>Muhammad Rizwan</v>
      </c>
      <c r="AD1440" s="2" t="str">
        <f>VLOOKUP(E1440,'[1]Detailed Transfer Report (12)'!$K:$Y,14,FALSE)</f>
        <v>Sardar Tanveer Ilyas</v>
      </c>
      <c r="AE1440" s="16">
        <f>VLOOKUP(E1440,'[1]Detailed Transfer Report (12)'!$K:$Y,15,FALSE)</f>
        <v>45506</v>
      </c>
    </row>
    <row r="1441" spans="1:31" x14ac:dyDescent="0.25">
      <c r="A1441" s="3">
        <v>745</v>
      </c>
      <c r="B1441" s="4">
        <v>45890</v>
      </c>
      <c r="C1441" s="3" t="s">
        <v>44</v>
      </c>
      <c r="D1441" s="3" t="s">
        <v>822</v>
      </c>
      <c r="E1441" s="3"/>
      <c r="F1441" s="3">
        <v>11949000</v>
      </c>
      <c r="G1441" s="3" t="s">
        <v>1469</v>
      </c>
      <c r="H1441" s="3">
        <v>0</v>
      </c>
      <c r="I1441" s="3">
        <v>0</v>
      </c>
      <c r="J1441" s="5">
        <v>231000</v>
      </c>
      <c r="K1441" s="3">
        <v>0</v>
      </c>
      <c r="L1441" s="3">
        <v>0</v>
      </c>
      <c r="M1441" s="3">
        <v>0</v>
      </c>
      <c r="N1441" s="5">
        <v>38500</v>
      </c>
      <c r="O1441" s="3">
        <v>0</v>
      </c>
      <c r="P1441" s="5">
        <v>39500</v>
      </c>
      <c r="Q1441" s="3">
        <v>0</v>
      </c>
      <c r="R1441" s="5">
        <v>385000</v>
      </c>
      <c r="S1441" s="5">
        <v>9000</v>
      </c>
      <c r="T1441" s="5">
        <v>8000</v>
      </c>
      <c r="U1441" s="3">
        <v>0</v>
      </c>
      <c r="V1441" s="3">
        <v>0</v>
      </c>
      <c r="W1441" s="3">
        <v>0</v>
      </c>
      <c r="X1441" s="5">
        <v>1700</v>
      </c>
      <c r="Y1441" s="3">
        <v>0</v>
      </c>
      <c r="Z1441" s="5">
        <v>2000</v>
      </c>
      <c r="AA1441" s="5">
        <v>54500</v>
      </c>
      <c r="AB1441" s="6">
        <v>769200</v>
      </c>
      <c r="AC1441" s="2" t="str">
        <f>VLOOKUP(F1441,'[1]Detailed Transfer Report (12)'!$L:$Y,12,FALSE)</f>
        <v>Shahida Parveen</v>
      </c>
      <c r="AD1441" s="2" t="str">
        <f>VLOOKUP(F1441,'[1]Detailed Transfer Report (12)'!$L:$Y,13,FALSE)</f>
        <v>Sardar Tanveer Ilyas</v>
      </c>
      <c r="AE1441" s="16"/>
    </row>
    <row r="1442" spans="1:31" x14ac:dyDescent="0.25">
      <c r="A1442" s="3">
        <v>746</v>
      </c>
      <c r="B1442" s="4">
        <v>45505</v>
      </c>
      <c r="C1442" s="3" t="s">
        <v>127</v>
      </c>
      <c r="D1442" s="3" t="s">
        <v>1695</v>
      </c>
      <c r="E1442" s="3">
        <v>5269</v>
      </c>
      <c r="F1442" s="3">
        <v>54</v>
      </c>
      <c r="G1442" s="3" t="s">
        <v>30</v>
      </c>
      <c r="H1442" s="3">
        <v>0</v>
      </c>
      <c r="I1442" s="3">
        <v>0</v>
      </c>
      <c r="J1442" s="5">
        <v>39600</v>
      </c>
      <c r="K1442" s="3">
        <v>0</v>
      </c>
      <c r="L1442" s="3">
        <v>0</v>
      </c>
      <c r="M1442" s="3">
        <v>0</v>
      </c>
      <c r="N1442" s="5">
        <v>13200</v>
      </c>
      <c r="O1442" s="3">
        <v>0</v>
      </c>
      <c r="P1442" s="3">
        <v>0</v>
      </c>
      <c r="Q1442" s="3">
        <v>0</v>
      </c>
      <c r="R1442" s="5">
        <v>39600</v>
      </c>
      <c r="S1442" s="3">
        <v>0</v>
      </c>
      <c r="T1442" s="5">
        <v>1000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5">
        <v>14200</v>
      </c>
      <c r="AA1442" s="5">
        <v>15000</v>
      </c>
      <c r="AB1442" s="6">
        <v>122600</v>
      </c>
      <c r="AC1442" s="2" t="str">
        <f>VLOOKUP(E1442,'[1]Detailed Transfer Report (12)'!$K:$Y,13,FALSE)</f>
        <v>Mst Nabila Yaseen</v>
      </c>
      <c r="AD1442" s="2" t="str">
        <f>VLOOKUP(E1442,'[1]Detailed Transfer Report (12)'!$K:$Y,14,FALSE)</f>
        <v>Sardar Tanveer Ilyas</v>
      </c>
      <c r="AE1442" s="16">
        <f>VLOOKUP(E1442,'[1]Detailed Transfer Report (12)'!$K:$Y,15,FALSE)</f>
        <v>45293</v>
      </c>
    </row>
    <row r="1443" spans="1:31" x14ac:dyDescent="0.25">
      <c r="A1443" s="3">
        <v>747</v>
      </c>
      <c r="B1443" s="4">
        <v>45505</v>
      </c>
      <c r="C1443" s="3" t="s">
        <v>46</v>
      </c>
      <c r="D1443" s="3" t="s">
        <v>1695</v>
      </c>
      <c r="E1443" s="3">
        <v>5270</v>
      </c>
      <c r="F1443" s="3">
        <v>28802</v>
      </c>
      <c r="G1443" s="3" t="s">
        <v>30</v>
      </c>
      <c r="H1443" s="3">
        <v>0</v>
      </c>
      <c r="I1443" s="3">
        <v>0</v>
      </c>
      <c r="J1443" s="5">
        <v>87960</v>
      </c>
      <c r="K1443" s="3">
        <v>0</v>
      </c>
      <c r="L1443" s="3">
        <v>0</v>
      </c>
      <c r="M1443" s="3">
        <v>0</v>
      </c>
      <c r="N1443" s="5">
        <v>29320</v>
      </c>
      <c r="O1443" s="3">
        <v>0</v>
      </c>
      <c r="P1443" s="3">
        <v>0</v>
      </c>
      <c r="Q1443" s="3">
        <v>0</v>
      </c>
      <c r="R1443" s="5">
        <v>175920</v>
      </c>
      <c r="S1443" s="3">
        <v>0</v>
      </c>
      <c r="T1443" s="5">
        <v>1000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5">
        <v>30320</v>
      </c>
      <c r="AA1443" s="5">
        <v>30000</v>
      </c>
      <c r="AB1443" s="6">
        <v>354520</v>
      </c>
      <c r="AC1443" s="2" t="str">
        <f>VLOOKUP(E1443,'[1]Detailed Transfer Report (12)'!$K:$Y,13,FALSE)</f>
        <v>Muhammad Shabbir</v>
      </c>
      <c r="AD1443" s="2" t="str">
        <f>VLOOKUP(E1443,'[1]Detailed Transfer Report (12)'!$K:$Y,14,FALSE)</f>
        <v>Sardar Tanveer Ilyas</v>
      </c>
      <c r="AE1443" s="16">
        <f>VLOOKUP(E1443,'[1]Detailed Transfer Report (12)'!$K:$Y,15,FALSE)</f>
        <v>45266</v>
      </c>
    </row>
    <row r="1444" spans="1:31" x14ac:dyDescent="0.25">
      <c r="A1444" s="3">
        <v>748</v>
      </c>
      <c r="B1444" s="4">
        <v>45513</v>
      </c>
      <c r="C1444" s="3" t="s">
        <v>141</v>
      </c>
      <c r="D1444" s="3" t="s">
        <v>822</v>
      </c>
      <c r="E1444" s="3">
        <v>5359</v>
      </c>
      <c r="F1444" s="3">
        <v>13277</v>
      </c>
      <c r="G1444" s="3" t="s">
        <v>30</v>
      </c>
      <c r="H1444" s="3">
        <v>0</v>
      </c>
      <c r="I1444" s="5">
        <v>50400</v>
      </c>
      <c r="J1444" s="5">
        <v>302400</v>
      </c>
      <c r="K1444" s="3">
        <v>0</v>
      </c>
      <c r="L1444" s="3">
        <v>0</v>
      </c>
      <c r="M1444" s="3">
        <v>0</v>
      </c>
      <c r="N1444" s="5">
        <v>50400</v>
      </c>
      <c r="O1444" s="3">
        <v>0</v>
      </c>
      <c r="P1444" s="5">
        <v>51400</v>
      </c>
      <c r="Q1444" s="3">
        <v>0</v>
      </c>
      <c r="R1444" s="5">
        <v>302400</v>
      </c>
      <c r="S1444" s="5">
        <v>27000</v>
      </c>
      <c r="T1444" s="5">
        <v>8000</v>
      </c>
      <c r="U1444" s="3">
        <v>0</v>
      </c>
      <c r="V1444" s="3">
        <v>0</v>
      </c>
      <c r="W1444" s="3">
        <v>0</v>
      </c>
      <c r="X1444" s="5">
        <v>1700</v>
      </c>
      <c r="Y1444" s="3">
        <v>0</v>
      </c>
      <c r="Z1444" s="5">
        <v>2000</v>
      </c>
      <c r="AA1444" s="5">
        <v>30000</v>
      </c>
      <c r="AB1444" s="6">
        <v>825700</v>
      </c>
      <c r="AC1444" s="2" t="str">
        <f>VLOOKUP(E1444,'[1]Detailed Transfer Report (12)'!$K:$Y,13,FALSE)</f>
        <v>Raja yasir mehmood</v>
      </c>
      <c r="AD1444" s="2" t="str">
        <f>VLOOKUP(E1444,'[1]Detailed Transfer Report (12)'!$K:$Y,14,FALSE)</f>
        <v>Sardar Yasir Ilyas</v>
      </c>
      <c r="AE1444" s="16">
        <f>VLOOKUP(E1444,'[1]Detailed Transfer Report (12)'!$K:$Y,15,FALSE)</f>
        <v>44865</v>
      </c>
    </row>
    <row r="1445" spans="1:31" x14ac:dyDescent="0.25">
      <c r="A1445" s="3">
        <v>749</v>
      </c>
      <c r="B1445" s="4">
        <v>45516</v>
      </c>
      <c r="C1445" s="3" t="s">
        <v>137</v>
      </c>
      <c r="D1445" s="3" t="s">
        <v>822</v>
      </c>
      <c r="E1445" s="3"/>
      <c r="F1445" s="3">
        <v>3551</v>
      </c>
      <c r="G1445" s="3" t="s">
        <v>756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8">
        <v>0</v>
      </c>
      <c r="AC1445" s="2" t="str">
        <f>VLOOKUP(F1445,'[1]Detailed Transfer Report (12)'!$L:$Y,12,FALSE)</f>
        <v>Arsalan ahmed</v>
      </c>
      <c r="AD1445" s="2" t="str">
        <f>VLOOKUP(F1445,'[1]Detailed Transfer Report (12)'!$L:$Y,13,FALSE)</f>
        <v>Sardar Tanveer Ilyas</v>
      </c>
      <c r="AE1445" s="16">
        <f>VLOOKUP(F1445,'[1]Detailed Transfer Report (12)'!$L:$Y,14,FALSE)</f>
        <v>45419</v>
      </c>
    </row>
    <row r="1446" spans="1:31" x14ac:dyDescent="0.25">
      <c r="A1446" s="3">
        <v>750</v>
      </c>
      <c r="B1446" s="4">
        <v>45516</v>
      </c>
      <c r="C1446" s="3" t="s">
        <v>700</v>
      </c>
      <c r="D1446" s="3" t="s">
        <v>822</v>
      </c>
      <c r="E1446" s="3"/>
      <c r="F1446" s="3">
        <v>2586</v>
      </c>
      <c r="G1446" s="3" t="s">
        <v>756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8">
        <v>0</v>
      </c>
      <c r="AC1446" s="2" t="str">
        <f>VLOOKUP(F1446,'[1]Detailed Transfer Report (12)'!$L:$Y,12,FALSE)</f>
        <v>Habib Zada</v>
      </c>
      <c r="AD1446" s="2" t="str">
        <f>VLOOKUP(F1446,'[1]Detailed Transfer Report (12)'!$L:$Y,13,FALSE)</f>
        <v>Sardar Tanveer Ilyas</v>
      </c>
      <c r="AE1446" s="16">
        <f>VLOOKUP(F1446,'[1]Detailed Transfer Report (12)'!$L:$Y,14,FALSE)</f>
        <v>45437</v>
      </c>
    </row>
    <row r="1447" spans="1:31" x14ac:dyDescent="0.25">
      <c r="A1447" s="7">
        <v>758</v>
      </c>
      <c r="B1447" s="4">
        <v>45548</v>
      </c>
      <c r="C1447" s="3" t="s">
        <v>44</v>
      </c>
      <c r="D1447" s="3" t="s">
        <v>1727</v>
      </c>
      <c r="E1447" s="3"/>
      <c r="F1447" s="3">
        <v>11708</v>
      </c>
      <c r="G1447" s="3" t="s">
        <v>30</v>
      </c>
      <c r="H1447" s="3">
        <v>0</v>
      </c>
      <c r="I1447" s="3">
        <v>0</v>
      </c>
      <c r="J1447" s="5">
        <v>100800</v>
      </c>
      <c r="K1447" s="3">
        <v>0</v>
      </c>
      <c r="L1447" s="3">
        <v>0</v>
      </c>
      <c r="M1447" s="3">
        <v>0</v>
      </c>
      <c r="N1447" s="5">
        <v>16800</v>
      </c>
      <c r="O1447" s="3">
        <v>0</v>
      </c>
      <c r="P1447" s="3">
        <v>0</v>
      </c>
      <c r="Q1447" s="5">
        <v>1500</v>
      </c>
      <c r="R1447" s="5">
        <v>184800</v>
      </c>
      <c r="S1447" s="3">
        <v>0</v>
      </c>
      <c r="T1447" s="3">
        <v>0</v>
      </c>
      <c r="U1447" s="3">
        <v>0</v>
      </c>
      <c r="V1447" s="5">
        <v>26000</v>
      </c>
      <c r="W1447" s="3">
        <v>0</v>
      </c>
      <c r="X1447" s="5">
        <v>1700</v>
      </c>
      <c r="Y1447" s="3">
        <v>0</v>
      </c>
      <c r="Z1447" s="5">
        <v>16800</v>
      </c>
      <c r="AA1447" s="3">
        <v>0</v>
      </c>
      <c r="AB1447" s="6">
        <v>348400</v>
      </c>
      <c r="AC1447" s="2" t="str">
        <f>VLOOKUP(F1447,'[1]Detailed Transfer Report (12)'!$L:$Y,12,FALSE)</f>
        <v>Azhar Mehmood</v>
      </c>
      <c r="AD1447" s="2" t="str">
        <f>VLOOKUP(F1447,'[1]Detailed Transfer Report (12)'!$L:$Y,13,FALSE)</f>
        <v>Sardar Tanveer Ilyas</v>
      </c>
      <c r="AE1447" s="16">
        <f>VLOOKUP(F1447,'[1]Detailed Transfer Report (12)'!$L:$Y,14,FALSE)</f>
        <v>45594</v>
      </c>
    </row>
    <row r="1448" spans="1:31" x14ac:dyDescent="0.25">
      <c r="A1448" s="9">
        <v>758</v>
      </c>
      <c r="B1448" s="4">
        <v>45604</v>
      </c>
      <c r="C1448" s="3" t="s">
        <v>1728</v>
      </c>
      <c r="D1448" s="3" t="s">
        <v>1729</v>
      </c>
      <c r="E1448" s="3">
        <v>5462</v>
      </c>
      <c r="F1448" s="3">
        <v>14970</v>
      </c>
      <c r="G1448" s="3" t="s">
        <v>30</v>
      </c>
      <c r="H1448" s="3">
        <v>0</v>
      </c>
      <c r="I1448" s="3">
        <v>0</v>
      </c>
      <c r="J1448" s="5">
        <v>195300</v>
      </c>
      <c r="K1448" s="3">
        <v>0</v>
      </c>
      <c r="L1448" s="3">
        <v>1</v>
      </c>
      <c r="M1448" s="3">
        <v>0</v>
      </c>
      <c r="N1448" s="5">
        <v>65100</v>
      </c>
      <c r="O1448" s="3">
        <v>0</v>
      </c>
      <c r="P1448" s="3">
        <v>0</v>
      </c>
      <c r="Q1448" s="3">
        <v>0</v>
      </c>
      <c r="R1448" s="5">
        <v>716100</v>
      </c>
      <c r="S1448" s="3">
        <v>0</v>
      </c>
      <c r="T1448" s="5">
        <v>5000</v>
      </c>
      <c r="U1448" s="3">
        <v>0</v>
      </c>
      <c r="V1448" s="5">
        <v>6000</v>
      </c>
      <c r="W1448" s="3">
        <v>0</v>
      </c>
      <c r="X1448" s="5">
        <v>1500</v>
      </c>
      <c r="Y1448" s="3">
        <v>0</v>
      </c>
      <c r="Z1448" s="5">
        <v>65100</v>
      </c>
      <c r="AA1448" s="5">
        <v>55000</v>
      </c>
      <c r="AB1448" s="6">
        <v>1457501</v>
      </c>
      <c r="AC1448" s="2" t="str">
        <f>VLOOKUP(E1448,'[1]Detailed Transfer Report (12)'!$K:$Y,13,FALSE)</f>
        <v>Dilawar Khan</v>
      </c>
      <c r="AD1448" s="2" t="str">
        <f>VLOOKUP(E1448,'[1]Detailed Transfer Report (12)'!$K:$Y,14,FALSE)</f>
        <v>Sardar Tanveer Ilyas</v>
      </c>
      <c r="AE1448" s="16">
        <f>VLOOKUP(E1448,'[1]Detailed Transfer Report (12)'!$K:$Y,15,FALSE)</f>
        <v>45630</v>
      </c>
    </row>
    <row r="1449" spans="1:31" x14ac:dyDescent="0.25">
      <c r="A1449" s="9">
        <v>758</v>
      </c>
      <c r="B1449" s="4">
        <v>45604</v>
      </c>
      <c r="C1449" s="3" t="s">
        <v>46</v>
      </c>
      <c r="D1449" s="3" t="s">
        <v>1729</v>
      </c>
      <c r="E1449" s="3">
        <v>5463</v>
      </c>
      <c r="F1449" s="3">
        <v>14969</v>
      </c>
      <c r="G1449" s="3" t="s">
        <v>30</v>
      </c>
      <c r="H1449" s="3">
        <v>0</v>
      </c>
      <c r="I1449" s="3">
        <v>0</v>
      </c>
      <c r="J1449" s="5">
        <v>100800</v>
      </c>
      <c r="K1449" s="3">
        <v>0</v>
      </c>
      <c r="L1449" s="3">
        <v>1</v>
      </c>
      <c r="M1449" s="3">
        <v>0</v>
      </c>
      <c r="N1449" s="5">
        <v>33600</v>
      </c>
      <c r="O1449" s="3">
        <v>0</v>
      </c>
      <c r="P1449" s="3">
        <v>0</v>
      </c>
      <c r="Q1449" s="3">
        <v>0</v>
      </c>
      <c r="R1449" s="5">
        <v>369600</v>
      </c>
      <c r="S1449" s="3">
        <v>0</v>
      </c>
      <c r="T1449" s="5">
        <v>3360</v>
      </c>
      <c r="U1449" s="3">
        <v>0</v>
      </c>
      <c r="V1449" s="5">
        <v>6000</v>
      </c>
      <c r="W1449" s="3">
        <v>0</v>
      </c>
      <c r="X1449" s="5">
        <v>1500</v>
      </c>
      <c r="Y1449" s="3">
        <v>0</v>
      </c>
      <c r="Z1449" s="5">
        <v>34600</v>
      </c>
      <c r="AA1449" s="5">
        <v>30000</v>
      </c>
      <c r="AB1449" s="6">
        <v>2036962</v>
      </c>
      <c r="AC1449" s="2" t="str">
        <f>VLOOKUP(E1449,'[1]Detailed Transfer Report (12)'!$K:$Y,13,FALSE)</f>
        <v>Muhammad Altaf</v>
      </c>
      <c r="AD1449" s="2" t="str">
        <f>VLOOKUP(E1449,'[1]Detailed Transfer Report (12)'!$K:$Y,14,FALSE)</f>
        <v>Sardar Tanveer Ilyas</v>
      </c>
      <c r="AE1449" s="16">
        <f>VLOOKUP(E1449,'[1]Detailed Transfer Report (12)'!$K:$Y,15,FALSE)</f>
        <v>45630</v>
      </c>
    </row>
    <row r="1450" spans="1:31" x14ac:dyDescent="0.25">
      <c r="A1450" s="10">
        <v>758</v>
      </c>
      <c r="B1450" s="4">
        <v>45604</v>
      </c>
      <c r="C1450" s="3" t="s">
        <v>1050</v>
      </c>
      <c r="D1450" s="3" t="s">
        <v>1729</v>
      </c>
      <c r="E1450" s="3">
        <v>5464</v>
      </c>
      <c r="F1450" s="3">
        <v>15413</v>
      </c>
      <c r="G1450" s="3" t="s">
        <v>30</v>
      </c>
      <c r="H1450" s="3">
        <v>0</v>
      </c>
      <c r="I1450" s="3">
        <v>0</v>
      </c>
      <c r="J1450" s="5">
        <v>6300</v>
      </c>
      <c r="K1450" s="3">
        <v>0</v>
      </c>
      <c r="L1450" s="3">
        <v>1</v>
      </c>
      <c r="M1450" s="3">
        <v>0</v>
      </c>
      <c r="N1450" s="5">
        <v>2200</v>
      </c>
      <c r="O1450" s="3">
        <v>0</v>
      </c>
      <c r="P1450" s="3">
        <v>0</v>
      </c>
      <c r="Q1450" s="3">
        <v>0</v>
      </c>
      <c r="R1450" s="5">
        <v>23100</v>
      </c>
      <c r="S1450" s="3">
        <v>0</v>
      </c>
      <c r="T1450" s="5">
        <v>3000</v>
      </c>
      <c r="U1450" s="3">
        <v>0</v>
      </c>
      <c r="V1450" s="5">
        <v>6000</v>
      </c>
      <c r="W1450" s="3">
        <v>0</v>
      </c>
      <c r="X1450" s="5">
        <v>1500</v>
      </c>
      <c r="Y1450" s="3">
        <v>0</v>
      </c>
      <c r="Z1450" s="5">
        <v>2100</v>
      </c>
      <c r="AA1450" s="5">
        <v>20000</v>
      </c>
      <c r="AB1450" s="6">
        <v>2101163</v>
      </c>
      <c r="AC1450" s="2" t="str">
        <f>VLOOKUP(E1450,'[1]Detailed Transfer Report (12)'!$K:$Y,13,FALSE)</f>
        <v>Muhammad Shabbir</v>
      </c>
      <c r="AD1450" s="2" t="str">
        <f>VLOOKUP(E1450,'[1]Detailed Transfer Report (12)'!$K:$Y,14,FALSE)</f>
        <v>Sardar Tanveer Ilyas</v>
      </c>
      <c r="AE1450" s="16">
        <f>VLOOKUP(E1450,'[1]Detailed Transfer Report (12)'!$K:$Y,15,FALSE)</f>
        <v>45637</v>
      </c>
    </row>
    <row r="1451" spans="1:31" x14ac:dyDescent="0.25">
      <c r="A1451" s="3">
        <v>759</v>
      </c>
      <c r="B1451" s="4">
        <v>45562</v>
      </c>
      <c r="C1451" s="3" t="s">
        <v>1730</v>
      </c>
      <c r="D1451" s="3" t="s">
        <v>822</v>
      </c>
      <c r="E1451" s="3"/>
      <c r="F1451" s="3"/>
      <c r="G1451" s="3" t="s">
        <v>1179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8">
        <v>0</v>
      </c>
      <c r="AE1451" s="16"/>
    </row>
    <row r="1452" spans="1:31" x14ac:dyDescent="0.25">
      <c r="A1452" s="3">
        <v>760</v>
      </c>
      <c r="B1452" s="4">
        <v>45562</v>
      </c>
      <c r="C1452" s="3" t="s">
        <v>1731</v>
      </c>
      <c r="D1452" s="3" t="s">
        <v>1732</v>
      </c>
      <c r="E1452" s="3"/>
      <c r="F1452" s="3"/>
      <c r="G1452" s="3" t="s">
        <v>41</v>
      </c>
      <c r="H1452" s="3">
        <v>0</v>
      </c>
      <c r="I1452" s="3">
        <v>0</v>
      </c>
      <c r="J1452" s="5">
        <v>234000</v>
      </c>
      <c r="K1452" s="3">
        <v>0</v>
      </c>
      <c r="L1452" s="3">
        <v>0</v>
      </c>
      <c r="M1452" s="3">
        <v>0</v>
      </c>
      <c r="N1452" s="5">
        <v>39000</v>
      </c>
      <c r="O1452" s="3">
        <v>0</v>
      </c>
      <c r="P1452" s="5">
        <v>2000</v>
      </c>
      <c r="Q1452" s="3">
        <v>0</v>
      </c>
      <c r="R1452" s="5">
        <v>273000</v>
      </c>
      <c r="S1452" s="3">
        <v>0</v>
      </c>
      <c r="T1452" s="5">
        <v>8000</v>
      </c>
      <c r="U1452" s="3">
        <v>0</v>
      </c>
      <c r="V1452" s="5">
        <v>19000</v>
      </c>
      <c r="W1452" s="3">
        <v>0</v>
      </c>
      <c r="X1452" s="5">
        <v>1700</v>
      </c>
      <c r="Y1452" s="3">
        <v>0</v>
      </c>
      <c r="Z1452" s="5">
        <v>40000</v>
      </c>
      <c r="AA1452" s="5">
        <v>21000</v>
      </c>
      <c r="AB1452" s="6">
        <v>637700</v>
      </c>
      <c r="AE1452" s="16"/>
    </row>
    <row r="1453" spans="1:31" x14ac:dyDescent="0.25">
      <c r="A1453" s="7">
        <v>761</v>
      </c>
      <c r="B1453" s="4">
        <v>45562</v>
      </c>
      <c r="C1453" s="3" t="s">
        <v>311</v>
      </c>
      <c r="D1453" s="3" t="s">
        <v>822</v>
      </c>
      <c r="E1453" s="3">
        <v>6050</v>
      </c>
      <c r="F1453" s="3">
        <v>7189</v>
      </c>
      <c r="G1453" s="3" t="s">
        <v>756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8">
        <v>0</v>
      </c>
      <c r="AC1453" s="2" t="str">
        <f>VLOOKUP(E1453,'[1]Detailed Transfer Report (12)'!$K:$Y,13,FALSE)</f>
        <v>Muhammad Zubair</v>
      </c>
      <c r="AD1453" s="2" t="str">
        <f>VLOOKUP(E1453,'[1]Detailed Transfer Report (12)'!$K:$Y,14,FALSE)</f>
        <v>Sardar Tanveer Ilyas</v>
      </c>
      <c r="AE1453" s="16">
        <f>VLOOKUP(E1453,'[1]Detailed Transfer Report (12)'!$K:$Y,15,FALSE)</f>
        <v>45533</v>
      </c>
    </row>
    <row r="1454" spans="1:31" x14ac:dyDescent="0.25">
      <c r="A1454" s="9">
        <v>761</v>
      </c>
      <c r="B1454" s="4">
        <v>45562</v>
      </c>
      <c r="C1454" s="3" t="s">
        <v>44</v>
      </c>
      <c r="D1454" s="3" t="s">
        <v>1733</v>
      </c>
      <c r="E1454" s="3"/>
      <c r="F1454" s="3">
        <v>11949184</v>
      </c>
      <c r="G1454" s="3" t="s">
        <v>756</v>
      </c>
      <c r="H1454" s="3">
        <v>0</v>
      </c>
      <c r="I1454" s="3">
        <v>0</v>
      </c>
      <c r="J1454" s="5">
        <v>118500</v>
      </c>
      <c r="K1454" s="3">
        <v>0</v>
      </c>
      <c r="L1454" s="3">
        <v>0</v>
      </c>
      <c r="M1454" s="3">
        <v>0</v>
      </c>
      <c r="N1454" s="5">
        <v>19750</v>
      </c>
      <c r="O1454" s="3">
        <v>0</v>
      </c>
      <c r="P1454" s="5">
        <v>20750</v>
      </c>
      <c r="Q1454" s="3">
        <v>0</v>
      </c>
      <c r="R1454" s="5">
        <v>197500</v>
      </c>
      <c r="S1454" s="3">
        <v>0</v>
      </c>
      <c r="T1454" s="5">
        <v>8000</v>
      </c>
      <c r="U1454" s="3">
        <v>0</v>
      </c>
      <c r="V1454" s="5">
        <v>9000</v>
      </c>
      <c r="W1454" s="3">
        <v>0</v>
      </c>
      <c r="X1454" s="5">
        <v>1700</v>
      </c>
      <c r="Y1454" s="3">
        <v>0</v>
      </c>
      <c r="Z1454" s="5">
        <v>2000</v>
      </c>
      <c r="AA1454" s="5">
        <v>16000</v>
      </c>
      <c r="AB1454" s="6">
        <v>393200</v>
      </c>
      <c r="AC1454" s="2" t="str">
        <f>VLOOKUP(F1454,'[1]Detailed Transfer Report (12)'!$L:$Y,12,FALSE)</f>
        <v>Mirmat Khan</v>
      </c>
      <c r="AD1454" s="2" t="str">
        <f>VLOOKUP(F1454,'[1]Detailed Transfer Report (12)'!$L:$Y,13,FALSE)</f>
        <v>Sardar Tanveer Ilyas</v>
      </c>
      <c r="AE1454" s="16"/>
    </row>
    <row r="1455" spans="1:31" x14ac:dyDescent="0.25">
      <c r="A1455" s="9">
        <v>761</v>
      </c>
      <c r="B1455" s="4">
        <v>45562</v>
      </c>
      <c r="C1455" s="3" t="s">
        <v>377</v>
      </c>
      <c r="D1455" s="3" t="s">
        <v>1733</v>
      </c>
      <c r="E1455" s="3">
        <v>6091</v>
      </c>
      <c r="F1455" s="3">
        <v>3833</v>
      </c>
      <c r="G1455" s="3" t="s">
        <v>756</v>
      </c>
      <c r="H1455" s="3">
        <v>0</v>
      </c>
      <c r="I1455" s="3">
        <v>0</v>
      </c>
      <c r="J1455" s="5">
        <v>48000</v>
      </c>
      <c r="K1455" s="3">
        <v>0</v>
      </c>
      <c r="L1455" s="3">
        <v>0</v>
      </c>
      <c r="M1455" s="3">
        <v>0</v>
      </c>
      <c r="N1455" s="5">
        <v>8000</v>
      </c>
      <c r="O1455" s="3">
        <v>0</v>
      </c>
      <c r="P1455" s="5">
        <v>9000</v>
      </c>
      <c r="Q1455" s="3">
        <v>0</v>
      </c>
      <c r="R1455" s="5">
        <v>80000</v>
      </c>
      <c r="S1455" s="3">
        <v>0</v>
      </c>
      <c r="T1455" s="5">
        <v>8000</v>
      </c>
      <c r="U1455" s="3">
        <v>0</v>
      </c>
      <c r="V1455" s="5">
        <v>3600</v>
      </c>
      <c r="W1455" s="3">
        <v>0</v>
      </c>
      <c r="X1455" s="5">
        <v>1700</v>
      </c>
      <c r="Y1455" s="3">
        <v>0</v>
      </c>
      <c r="Z1455" s="5">
        <v>2000</v>
      </c>
      <c r="AA1455" s="5">
        <v>16000</v>
      </c>
      <c r="AB1455" s="6">
        <v>569500</v>
      </c>
      <c r="AC1455" s="2" t="str">
        <f>VLOOKUP(E1455,'[1]Detailed Transfer Report (12)'!$K:$Y,13,FALSE)</f>
        <v>Imran Abbas</v>
      </c>
      <c r="AD1455" s="2" t="str">
        <f>VLOOKUP(E1455,'[1]Detailed Transfer Report (12)'!$K:$Y,14,FALSE)</f>
        <v>Sardar Tanveer Ilyas</v>
      </c>
      <c r="AE1455" s="16">
        <f>VLOOKUP(E1455,'[1]Detailed Transfer Report (12)'!$K:$Y,15,FALSE)</f>
        <v>45806</v>
      </c>
    </row>
    <row r="1456" spans="1:31" x14ac:dyDescent="0.25">
      <c r="A1456" s="9">
        <v>761</v>
      </c>
      <c r="B1456" s="4">
        <v>45562</v>
      </c>
      <c r="C1456" s="3" t="s">
        <v>114</v>
      </c>
      <c r="D1456" s="3" t="s">
        <v>1733</v>
      </c>
      <c r="E1456" s="3">
        <v>6057</v>
      </c>
      <c r="F1456" s="3">
        <v>283</v>
      </c>
      <c r="G1456" s="3" t="s">
        <v>756</v>
      </c>
      <c r="H1456" s="3">
        <v>0</v>
      </c>
      <c r="I1456" s="3">
        <v>0</v>
      </c>
      <c r="J1456" s="5">
        <v>24000</v>
      </c>
      <c r="K1456" s="3">
        <v>0</v>
      </c>
      <c r="L1456" s="3">
        <v>0</v>
      </c>
      <c r="M1456" s="3">
        <v>0</v>
      </c>
      <c r="N1456" s="5">
        <v>4000</v>
      </c>
      <c r="O1456" s="3">
        <v>0</v>
      </c>
      <c r="P1456" s="5">
        <v>4500</v>
      </c>
      <c r="Q1456" s="3">
        <v>0</v>
      </c>
      <c r="R1456" s="5">
        <v>40000</v>
      </c>
      <c r="S1456" s="3">
        <v>0</v>
      </c>
      <c r="T1456" s="5">
        <v>8000</v>
      </c>
      <c r="U1456" s="3">
        <v>0</v>
      </c>
      <c r="V1456" s="5">
        <v>1800</v>
      </c>
      <c r="W1456" s="3">
        <v>0</v>
      </c>
      <c r="X1456" s="5">
        <v>1700</v>
      </c>
      <c r="Y1456" s="3">
        <v>0</v>
      </c>
      <c r="Z1456" s="5">
        <v>2000</v>
      </c>
      <c r="AA1456" s="5">
        <v>16000</v>
      </c>
      <c r="AB1456" s="6">
        <v>671500</v>
      </c>
      <c r="AC1456" s="2" t="str">
        <f>VLOOKUP(E1456,'[1]Detailed Transfer Report (12)'!$K:$Y,13,FALSE)</f>
        <v>Suleman Khan</v>
      </c>
      <c r="AD1456" s="2" t="str">
        <f>VLOOKUP(E1456,'[1]Detailed Transfer Report (12)'!$K:$Y,14,FALSE)</f>
        <v>Sardar Tanveer Ilyas</v>
      </c>
      <c r="AE1456" s="16">
        <f>VLOOKUP(E1456,'[1]Detailed Transfer Report (12)'!$K:$Y,15,FALSE)</f>
        <v>45614</v>
      </c>
    </row>
    <row r="1457" spans="1:31" x14ac:dyDescent="0.25">
      <c r="A1457" s="9">
        <v>761</v>
      </c>
      <c r="B1457" s="4">
        <v>45562</v>
      </c>
      <c r="C1457" s="3" t="s">
        <v>153</v>
      </c>
      <c r="D1457" s="3" t="s">
        <v>822</v>
      </c>
      <c r="E1457" s="3"/>
      <c r="F1457" s="3">
        <v>11955054</v>
      </c>
      <c r="G1457" s="3" t="s">
        <v>756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6">
        <v>671500</v>
      </c>
      <c r="AC1457" s="2" t="str">
        <f>VLOOKUP(F1457,'[1]Detailed Transfer Report (12)'!$L:$Y,12,FALSE)</f>
        <v>Ansar Bibi</v>
      </c>
      <c r="AD1457" s="2" t="str">
        <f>VLOOKUP(F1457,'[1]Detailed Transfer Report (12)'!$L:$Y,13,FALSE)</f>
        <v>Sardar Tanveer Ilyas</v>
      </c>
      <c r="AE1457" s="16"/>
    </row>
    <row r="1458" spans="1:31" x14ac:dyDescent="0.25">
      <c r="A1458" s="10">
        <v>761</v>
      </c>
      <c r="B1458" s="4">
        <v>45562</v>
      </c>
      <c r="C1458" s="3" t="s">
        <v>1734</v>
      </c>
      <c r="D1458" s="3" t="s">
        <v>822</v>
      </c>
      <c r="E1458" s="3"/>
      <c r="F1458" s="3">
        <v>12545</v>
      </c>
      <c r="G1458" s="3" t="s">
        <v>756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6">
        <v>671500</v>
      </c>
      <c r="AC1458" s="2" t="str">
        <f>VLOOKUP(F1458,'[1]Detailed Transfer Report (12)'!$L:$Y,12,FALSE)</f>
        <v>Khurshid Sultan</v>
      </c>
      <c r="AD1458" s="2" t="str">
        <f>VLOOKUP(F1458,'[1]Detailed Transfer Report (12)'!$L:$Y,13,FALSE)</f>
        <v>Sardar Tanveer Ilyas</v>
      </c>
      <c r="AE1458" s="16">
        <f>VLOOKUP(F1458,'[1]Detailed Transfer Report (12)'!$L:$Y,14,FALSE)</f>
        <v>45899</v>
      </c>
    </row>
    <row r="1459" spans="1:31" x14ac:dyDescent="0.25">
      <c r="A1459" s="3">
        <v>762</v>
      </c>
      <c r="B1459" s="4">
        <v>45567</v>
      </c>
      <c r="C1459" s="3" t="s">
        <v>44</v>
      </c>
      <c r="D1459" s="3" t="s">
        <v>1735</v>
      </c>
      <c r="E1459" s="3">
        <v>4168</v>
      </c>
      <c r="F1459" s="3">
        <v>5030</v>
      </c>
      <c r="G1459" s="3" t="s">
        <v>1179</v>
      </c>
      <c r="H1459" s="3">
        <v>0</v>
      </c>
      <c r="I1459" s="3">
        <v>0</v>
      </c>
      <c r="J1459" s="5">
        <v>187200</v>
      </c>
      <c r="K1459" s="3">
        <v>0</v>
      </c>
      <c r="L1459" s="3">
        <v>0</v>
      </c>
      <c r="M1459" s="3">
        <v>0</v>
      </c>
      <c r="N1459" s="5">
        <v>31200</v>
      </c>
      <c r="O1459" s="3">
        <v>0</v>
      </c>
      <c r="P1459" s="5">
        <v>32200</v>
      </c>
      <c r="Q1459" s="3">
        <v>0</v>
      </c>
      <c r="R1459" s="5">
        <v>312000</v>
      </c>
      <c r="S1459" s="3">
        <v>0</v>
      </c>
      <c r="T1459" s="5">
        <v>8000</v>
      </c>
      <c r="U1459" s="3">
        <v>0</v>
      </c>
      <c r="V1459" s="5">
        <v>9000</v>
      </c>
      <c r="W1459" s="3">
        <v>0</v>
      </c>
      <c r="X1459" s="5">
        <v>1700</v>
      </c>
      <c r="Y1459" s="3">
        <v>0</v>
      </c>
      <c r="Z1459" s="5">
        <v>2000</v>
      </c>
      <c r="AA1459" s="5">
        <v>16000</v>
      </c>
      <c r="AB1459" s="6">
        <v>599300</v>
      </c>
      <c r="AC1459" s="2" t="str">
        <f>VLOOKUP(E1459,'[1]Detailed Transfer Report (12)'!$K:$Y,13,FALSE)</f>
        <v>Muhammad Yaqoob</v>
      </c>
      <c r="AD1459" s="2" t="str">
        <f>VLOOKUP(E1459,'[1]Detailed Transfer Report (12)'!$K:$Y,14,FALSE)</f>
        <v>Sardar Tanveer Ilyas</v>
      </c>
      <c r="AE1459" s="16">
        <f>VLOOKUP(E1459,'[1]Detailed Transfer Report (12)'!$K:$Y,15,FALSE)</f>
        <v>45775</v>
      </c>
    </row>
    <row r="1460" spans="1:31" x14ac:dyDescent="0.25">
      <c r="A1460" s="3">
        <v>764</v>
      </c>
      <c r="B1460" s="4">
        <v>45567</v>
      </c>
      <c r="C1460" s="3" t="s">
        <v>59</v>
      </c>
      <c r="D1460" s="3" t="s">
        <v>822</v>
      </c>
      <c r="E1460" s="3"/>
      <c r="F1460" s="3">
        <v>11918708</v>
      </c>
      <c r="G1460" s="3" t="s">
        <v>30</v>
      </c>
      <c r="H1460" s="3">
        <v>0</v>
      </c>
      <c r="I1460" s="3">
        <v>0</v>
      </c>
      <c r="J1460" s="5">
        <v>211800</v>
      </c>
      <c r="K1460" s="3">
        <v>0</v>
      </c>
      <c r="L1460" s="3">
        <v>0</v>
      </c>
      <c r="M1460" s="3">
        <v>0</v>
      </c>
      <c r="N1460" s="5">
        <v>35300</v>
      </c>
      <c r="O1460" s="3">
        <v>0</v>
      </c>
      <c r="P1460" s="5">
        <v>36300</v>
      </c>
      <c r="Q1460" s="3">
        <v>0</v>
      </c>
      <c r="R1460" s="5">
        <v>353000</v>
      </c>
      <c r="S1460" s="3">
        <v>0</v>
      </c>
      <c r="T1460" s="5">
        <v>18900</v>
      </c>
      <c r="U1460" s="3">
        <v>0</v>
      </c>
      <c r="V1460" s="5">
        <v>8000</v>
      </c>
      <c r="W1460" s="3">
        <v>0</v>
      </c>
      <c r="X1460" s="5">
        <v>1700</v>
      </c>
      <c r="Y1460" s="3">
        <v>0</v>
      </c>
      <c r="Z1460" s="5">
        <v>2000</v>
      </c>
      <c r="AA1460" s="5">
        <v>21000</v>
      </c>
      <c r="AB1460" s="6">
        <v>688000</v>
      </c>
      <c r="AC1460" s="2" t="str">
        <f>VLOOKUP(F1460,'[1]Detailed Transfer Report (12)'!$L:$Y,12,FALSE)</f>
        <v>Raja Rashid Sohail Kiyani</v>
      </c>
      <c r="AD1460" s="2" t="str">
        <f>VLOOKUP(F1460,'[1]Detailed Transfer Report (12)'!$L:$Y,13,FALSE)</f>
        <v>Sardar Tanveer Ilyas</v>
      </c>
      <c r="AE1460" s="16"/>
    </row>
    <row r="1461" spans="1:31" x14ac:dyDescent="0.25">
      <c r="A1461" s="7">
        <v>765</v>
      </c>
      <c r="B1461" s="4">
        <v>45567</v>
      </c>
      <c r="C1461" s="3" t="s">
        <v>44</v>
      </c>
      <c r="D1461" s="3" t="s">
        <v>1735</v>
      </c>
      <c r="E1461" s="3"/>
      <c r="F1461" s="3">
        <v>11862491</v>
      </c>
      <c r="G1461" s="3" t="s">
        <v>41</v>
      </c>
      <c r="H1461" s="3">
        <v>0</v>
      </c>
      <c r="I1461" s="3">
        <v>0</v>
      </c>
      <c r="J1461" s="5">
        <v>111000</v>
      </c>
      <c r="K1461" s="3">
        <v>0</v>
      </c>
      <c r="L1461" s="3">
        <v>0</v>
      </c>
      <c r="M1461" s="3">
        <v>0</v>
      </c>
      <c r="N1461" s="5">
        <v>18500</v>
      </c>
      <c r="O1461" s="3">
        <v>0</v>
      </c>
      <c r="P1461" s="5">
        <v>19500</v>
      </c>
      <c r="Q1461" s="3">
        <v>0</v>
      </c>
      <c r="R1461" s="5">
        <v>185000</v>
      </c>
      <c r="S1461" s="3">
        <v>0</v>
      </c>
      <c r="T1461" s="5">
        <v>8000</v>
      </c>
      <c r="U1461" s="3">
        <v>0</v>
      </c>
      <c r="V1461" s="5">
        <v>9000</v>
      </c>
      <c r="W1461" s="3">
        <v>0</v>
      </c>
      <c r="X1461" s="5">
        <v>1700</v>
      </c>
      <c r="Y1461" s="3">
        <v>0</v>
      </c>
      <c r="Z1461" s="5">
        <v>2000</v>
      </c>
      <c r="AA1461" s="5">
        <v>34500</v>
      </c>
      <c r="AB1461" s="6">
        <v>389200</v>
      </c>
      <c r="AC1461" s="2" t="str">
        <f>VLOOKUP(F1461,'[1]Detailed Transfer Report (12)'!$L:$Y,12,FALSE)</f>
        <v>Muhammad Liaqat Ali</v>
      </c>
      <c r="AD1461" s="2" t="str">
        <f>VLOOKUP(F1461,'[1]Detailed Transfer Report (12)'!$L:$Y,13,FALSE)</f>
        <v>Sardar Tanveer Ilyas</v>
      </c>
      <c r="AE1461" s="16"/>
    </row>
    <row r="1462" spans="1:31" x14ac:dyDescent="0.25">
      <c r="A1462" s="10">
        <v>765</v>
      </c>
      <c r="B1462" s="4">
        <v>45573</v>
      </c>
      <c r="C1462" s="3" t="s">
        <v>588</v>
      </c>
      <c r="D1462" s="3" t="s">
        <v>1732</v>
      </c>
      <c r="E1462" s="3">
        <v>755</v>
      </c>
      <c r="F1462" s="3">
        <v>8406</v>
      </c>
      <c r="G1462" s="3" t="s">
        <v>41</v>
      </c>
      <c r="H1462" s="3">
        <v>0</v>
      </c>
      <c r="I1462" s="3">
        <v>0</v>
      </c>
      <c r="J1462" s="5">
        <v>133800</v>
      </c>
      <c r="K1462" s="3">
        <v>0</v>
      </c>
      <c r="L1462" s="5">
        <v>3000000</v>
      </c>
      <c r="M1462" s="3">
        <v>0</v>
      </c>
      <c r="N1462" s="5">
        <v>22300</v>
      </c>
      <c r="O1462" s="3">
        <v>0</v>
      </c>
      <c r="P1462" s="5">
        <v>23300</v>
      </c>
      <c r="Q1462" s="3">
        <v>0</v>
      </c>
      <c r="R1462" s="5">
        <v>223000</v>
      </c>
      <c r="S1462" s="3">
        <v>0</v>
      </c>
      <c r="T1462" s="5">
        <v>8000</v>
      </c>
      <c r="U1462" s="3">
        <v>0</v>
      </c>
      <c r="V1462" s="5">
        <v>10850</v>
      </c>
      <c r="W1462" s="3">
        <v>0</v>
      </c>
      <c r="X1462" s="5">
        <v>1700</v>
      </c>
      <c r="Y1462" s="3">
        <v>0</v>
      </c>
      <c r="Z1462" s="5">
        <v>2000</v>
      </c>
      <c r="AA1462" s="5">
        <v>16000</v>
      </c>
      <c r="AB1462" s="6">
        <v>3830150</v>
      </c>
      <c r="AD1462" s="2" t="str">
        <f>VLOOKUP(E1462,'[1]Detailed Transfer Report (12)'!$K:$Y,14,FALSE)</f>
        <v>Sardar M Shareef</v>
      </c>
      <c r="AE1462" s="16"/>
    </row>
    <row r="1463" spans="1:31" x14ac:dyDescent="0.25">
      <c r="A1463" s="3">
        <v>766</v>
      </c>
      <c r="B1463" s="4">
        <v>45568</v>
      </c>
      <c r="C1463" s="3" t="s">
        <v>588</v>
      </c>
      <c r="D1463" s="3" t="s">
        <v>822</v>
      </c>
      <c r="E1463" s="3"/>
      <c r="F1463" s="3"/>
      <c r="G1463" s="3" t="s">
        <v>41</v>
      </c>
      <c r="H1463" s="3">
        <v>0</v>
      </c>
      <c r="I1463" s="3">
        <v>0</v>
      </c>
      <c r="J1463" s="5">
        <v>133800</v>
      </c>
      <c r="K1463" s="3">
        <v>0</v>
      </c>
      <c r="L1463" s="3">
        <v>0</v>
      </c>
      <c r="M1463" s="3">
        <v>0</v>
      </c>
      <c r="N1463" s="5">
        <v>22300</v>
      </c>
      <c r="O1463" s="3">
        <v>0</v>
      </c>
      <c r="P1463" s="5">
        <v>2000</v>
      </c>
      <c r="Q1463" s="3">
        <v>0</v>
      </c>
      <c r="R1463" s="5">
        <v>223000</v>
      </c>
      <c r="S1463" s="3">
        <v>0</v>
      </c>
      <c r="T1463" s="5">
        <v>8000</v>
      </c>
      <c r="U1463" s="3">
        <v>0</v>
      </c>
      <c r="V1463" s="5">
        <v>10850</v>
      </c>
      <c r="W1463" s="3">
        <v>0</v>
      </c>
      <c r="X1463" s="5">
        <v>1700</v>
      </c>
      <c r="Y1463" s="3">
        <v>0</v>
      </c>
      <c r="Z1463" s="5">
        <v>23300</v>
      </c>
      <c r="AA1463" s="5">
        <v>16000</v>
      </c>
      <c r="AB1463" s="6">
        <v>440950</v>
      </c>
      <c r="AE1463" s="16"/>
    </row>
    <row r="1464" spans="1:31" x14ac:dyDescent="0.25">
      <c r="A1464" s="3">
        <v>767</v>
      </c>
      <c r="B1464" s="4">
        <v>45568</v>
      </c>
      <c r="C1464" s="3" t="s">
        <v>110</v>
      </c>
      <c r="D1464" s="3" t="s">
        <v>1673</v>
      </c>
      <c r="E1464" s="3"/>
      <c r="F1464" s="3"/>
      <c r="G1464" s="3" t="s">
        <v>756</v>
      </c>
      <c r="H1464" s="3">
        <v>0</v>
      </c>
      <c r="I1464" s="3">
        <v>0</v>
      </c>
      <c r="J1464" s="5">
        <v>130500</v>
      </c>
      <c r="K1464" s="3">
        <v>0</v>
      </c>
      <c r="L1464" s="3">
        <v>0</v>
      </c>
      <c r="M1464" s="3">
        <v>0</v>
      </c>
      <c r="N1464" s="5">
        <v>21750</v>
      </c>
      <c r="O1464" s="3">
        <v>0</v>
      </c>
      <c r="P1464" s="5">
        <v>2000</v>
      </c>
      <c r="Q1464" s="3">
        <v>0</v>
      </c>
      <c r="R1464" s="5">
        <v>217500</v>
      </c>
      <c r="S1464" s="3">
        <v>0</v>
      </c>
      <c r="T1464" s="5">
        <v>8000</v>
      </c>
      <c r="U1464" s="3">
        <v>0</v>
      </c>
      <c r="V1464" s="5">
        <v>9900</v>
      </c>
      <c r="W1464" s="3">
        <v>0</v>
      </c>
      <c r="X1464" s="5">
        <v>1700</v>
      </c>
      <c r="Y1464" s="3">
        <v>0</v>
      </c>
      <c r="Z1464" s="5">
        <v>22750</v>
      </c>
      <c r="AA1464" s="5">
        <v>16000</v>
      </c>
      <c r="AB1464" s="6">
        <v>430100</v>
      </c>
      <c r="AE1464" s="16"/>
    </row>
    <row r="1465" spans="1:31" x14ac:dyDescent="0.25">
      <c r="A1465" s="7">
        <v>768</v>
      </c>
      <c r="B1465" s="4">
        <v>45572</v>
      </c>
      <c r="C1465" s="3" t="s">
        <v>44</v>
      </c>
      <c r="D1465" s="3" t="s">
        <v>1736</v>
      </c>
      <c r="E1465" s="3">
        <v>6068</v>
      </c>
      <c r="F1465" s="3">
        <v>7365</v>
      </c>
      <c r="G1465" s="3" t="s">
        <v>756</v>
      </c>
      <c r="H1465" s="3">
        <v>0</v>
      </c>
      <c r="I1465" s="3">
        <v>0</v>
      </c>
      <c r="J1465" s="5">
        <v>120000</v>
      </c>
      <c r="K1465" s="3">
        <v>0</v>
      </c>
      <c r="L1465" s="3">
        <v>0</v>
      </c>
      <c r="M1465" s="3">
        <v>0</v>
      </c>
      <c r="N1465" s="5">
        <v>20000</v>
      </c>
      <c r="O1465" s="3">
        <v>0</v>
      </c>
      <c r="P1465" s="5">
        <v>1500</v>
      </c>
      <c r="Q1465" s="3">
        <v>0</v>
      </c>
      <c r="R1465" s="5">
        <v>220000</v>
      </c>
      <c r="S1465" s="3">
        <v>0</v>
      </c>
      <c r="T1465" s="5">
        <v>6000</v>
      </c>
      <c r="U1465" s="3">
        <v>0</v>
      </c>
      <c r="V1465" s="3">
        <v>0</v>
      </c>
      <c r="W1465" s="3">
        <v>0</v>
      </c>
      <c r="X1465" s="5">
        <v>1700</v>
      </c>
      <c r="Y1465" s="3">
        <v>0</v>
      </c>
      <c r="Z1465" s="5">
        <v>20000</v>
      </c>
      <c r="AA1465" s="5">
        <v>20000</v>
      </c>
      <c r="AB1465" s="6">
        <v>409200</v>
      </c>
      <c r="AC1465" s="2" t="str">
        <f>VLOOKUP(E1465,'[1]Detailed Transfer Report (12)'!$K:$Y,13,FALSE)</f>
        <v>Asif Mehmood</v>
      </c>
      <c r="AD1465" s="2" t="str">
        <f>VLOOKUP(E1465,'[1]Detailed Transfer Report (12)'!$K:$Y,14,FALSE)</f>
        <v>Sardar Tanveer Ilyas</v>
      </c>
      <c r="AE1465" s="16">
        <f>VLOOKUP(E1465,'[1]Detailed Transfer Report (12)'!$K:$Y,15,FALSE)</f>
        <v>45596</v>
      </c>
    </row>
    <row r="1466" spans="1:31" x14ac:dyDescent="0.25">
      <c r="A1466" s="9">
        <v>768</v>
      </c>
      <c r="B1466" s="4">
        <v>45572</v>
      </c>
      <c r="C1466" s="3" t="s">
        <v>1737</v>
      </c>
      <c r="D1466" s="3" t="s">
        <v>1738</v>
      </c>
      <c r="E1466" s="3">
        <v>6099</v>
      </c>
      <c r="F1466" s="3">
        <v>8126</v>
      </c>
      <c r="G1466" s="3" t="s">
        <v>756</v>
      </c>
      <c r="H1466" s="3">
        <v>0</v>
      </c>
      <c r="I1466" s="3">
        <v>0</v>
      </c>
      <c r="J1466" s="5">
        <v>312000</v>
      </c>
      <c r="K1466" s="3">
        <v>0</v>
      </c>
      <c r="L1466" s="3">
        <v>1</v>
      </c>
      <c r="M1466" s="3">
        <v>0</v>
      </c>
      <c r="N1466" s="5">
        <v>53000</v>
      </c>
      <c r="O1466" s="3">
        <v>0</v>
      </c>
      <c r="P1466" s="3">
        <v>0</v>
      </c>
      <c r="Q1466" s="3">
        <v>0</v>
      </c>
      <c r="R1466" s="5">
        <v>572000</v>
      </c>
      <c r="S1466" s="3">
        <v>0</v>
      </c>
      <c r="T1466" s="5">
        <v>6000</v>
      </c>
      <c r="U1466" s="3">
        <v>0</v>
      </c>
      <c r="V1466" s="5">
        <v>1500</v>
      </c>
      <c r="W1466" s="3">
        <v>0</v>
      </c>
      <c r="X1466" s="5">
        <v>1700</v>
      </c>
      <c r="Y1466" s="3">
        <v>0</v>
      </c>
      <c r="Z1466" s="5">
        <v>52000</v>
      </c>
      <c r="AA1466" s="5">
        <v>35000</v>
      </c>
      <c r="AB1466" s="6">
        <v>1442401</v>
      </c>
      <c r="AC1466" s="2" t="str">
        <f>VLOOKUP(E1466,'[1]Detailed Transfer Report (12)'!$K:$Y,13,FALSE)</f>
        <v>Bashir Ahmed</v>
      </c>
      <c r="AD1466" s="2" t="str">
        <f>VLOOKUP(E1466,'[1]Detailed Transfer Report (12)'!$K:$Y,14,FALSE)</f>
        <v>Sardar Tanveer Ilyas</v>
      </c>
      <c r="AE1466" s="16">
        <f>VLOOKUP(E1466,'[1]Detailed Transfer Report (12)'!$K:$Y,15,FALSE)</f>
        <v>45593</v>
      </c>
    </row>
    <row r="1467" spans="1:31" x14ac:dyDescent="0.25">
      <c r="A1467" s="9">
        <v>768</v>
      </c>
      <c r="B1467" s="4">
        <v>45572</v>
      </c>
      <c r="C1467" s="3" t="s">
        <v>141</v>
      </c>
      <c r="D1467" s="3" t="s">
        <v>1736</v>
      </c>
      <c r="E1467" s="3">
        <v>6100</v>
      </c>
      <c r="F1467" s="3">
        <v>7366</v>
      </c>
      <c r="G1467" s="3" t="s">
        <v>756</v>
      </c>
      <c r="H1467" s="3">
        <v>0</v>
      </c>
      <c r="I1467" s="3">
        <v>0</v>
      </c>
      <c r="J1467" s="5">
        <v>360000</v>
      </c>
      <c r="K1467" s="3">
        <v>0</v>
      </c>
      <c r="L1467" s="3">
        <v>0</v>
      </c>
      <c r="M1467" s="3">
        <v>0</v>
      </c>
      <c r="N1467" s="5">
        <v>60000</v>
      </c>
      <c r="O1467" s="3">
        <v>0</v>
      </c>
      <c r="P1467" s="5">
        <v>1500</v>
      </c>
      <c r="Q1467" s="3">
        <v>0</v>
      </c>
      <c r="R1467" s="5">
        <v>660000</v>
      </c>
      <c r="S1467" s="3">
        <v>0</v>
      </c>
      <c r="T1467" s="5">
        <v>6000</v>
      </c>
      <c r="U1467" s="3">
        <v>0</v>
      </c>
      <c r="V1467" s="3">
        <v>0</v>
      </c>
      <c r="W1467" s="3">
        <v>0</v>
      </c>
      <c r="X1467" s="5">
        <v>1700</v>
      </c>
      <c r="Y1467" s="3">
        <v>0</v>
      </c>
      <c r="Z1467" s="5">
        <v>60000</v>
      </c>
      <c r="AA1467" s="5">
        <v>20000</v>
      </c>
      <c r="AB1467" s="6">
        <v>2611601</v>
      </c>
      <c r="AC1467" s="2" t="str">
        <f>VLOOKUP(E1467,'[1]Detailed Transfer Report (12)'!$K:$Y,13,FALSE)</f>
        <v>Muhammad Arshad</v>
      </c>
      <c r="AD1467" s="2" t="str">
        <f>VLOOKUP(E1467,'[1]Detailed Transfer Report (12)'!$K:$Y,14,FALSE)</f>
        <v>Sardar Tanveer Ilyas</v>
      </c>
      <c r="AE1467" s="16">
        <f>VLOOKUP(E1467,'[1]Detailed Transfer Report (12)'!$K:$Y,15,FALSE)</f>
        <v>45596</v>
      </c>
    </row>
    <row r="1468" spans="1:31" x14ac:dyDescent="0.25">
      <c r="A1468" s="9">
        <v>768</v>
      </c>
      <c r="B1468" s="4">
        <v>45604</v>
      </c>
      <c r="C1468" s="3" t="s">
        <v>137</v>
      </c>
      <c r="D1468" s="3" t="s">
        <v>1738</v>
      </c>
      <c r="E1468" s="3"/>
      <c r="F1468" s="3">
        <v>8125</v>
      </c>
      <c r="G1468" s="3" t="s">
        <v>756</v>
      </c>
      <c r="H1468" s="3">
        <v>0</v>
      </c>
      <c r="I1468" s="5">
        <v>10000</v>
      </c>
      <c r="J1468" s="5">
        <v>30000</v>
      </c>
      <c r="K1468" s="3">
        <v>0</v>
      </c>
      <c r="L1468" s="3">
        <v>1</v>
      </c>
      <c r="M1468" s="3">
        <v>0</v>
      </c>
      <c r="N1468" s="5">
        <v>10000</v>
      </c>
      <c r="O1468" s="3">
        <v>0</v>
      </c>
      <c r="P1468" s="3">
        <v>0</v>
      </c>
      <c r="Q1468" s="3">
        <v>0</v>
      </c>
      <c r="R1468" s="5">
        <v>30000</v>
      </c>
      <c r="S1468" s="3">
        <v>0</v>
      </c>
      <c r="T1468" s="5">
        <v>1500</v>
      </c>
      <c r="U1468" s="3">
        <v>0</v>
      </c>
      <c r="V1468" s="5">
        <v>6000</v>
      </c>
      <c r="W1468" s="3">
        <v>0</v>
      </c>
      <c r="X1468" s="5">
        <v>1700</v>
      </c>
      <c r="Y1468" s="3">
        <v>0</v>
      </c>
      <c r="Z1468" s="5">
        <v>11000</v>
      </c>
      <c r="AA1468" s="5">
        <v>20000</v>
      </c>
      <c r="AB1468" s="6">
        <v>2731802</v>
      </c>
      <c r="AC1468" s="2" t="str">
        <f>VLOOKUP(F1468,'[1]Detailed Transfer Report (12)'!$L:$Y,12,FALSE)</f>
        <v>Raja Muhammad Saqlain</v>
      </c>
      <c r="AD1468" s="2" t="str">
        <f>VLOOKUP(F1468,'[1]Detailed Transfer Report (12)'!$L:$Y,13,FALSE)</f>
        <v>Sardar Tanveer Ilyas</v>
      </c>
      <c r="AE1468" s="16">
        <f>VLOOKUP(F1468,'[1]Detailed Transfer Report (12)'!$L:$Y,14,FALSE)</f>
        <v>45593</v>
      </c>
    </row>
    <row r="1469" spans="1:31" x14ac:dyDescent="0.25">
      <c r="A1469" s="9">
        <v>768</v>
      </c>
      <c r="B1469" s="4">
        <v>45604</v>
      </c>
      <c r="C1469" s="3" t="s">
        <v>137</v>
      </c>
      <c r="D1469" s="3" t="s">
        <v>1738</v>
      </c>
      <c r="E1469" s="3">
        <v>6103</v>
      </c>
      <c r="F1469" s="3">
        <v>8124</v>
      </c>
      <c r="G1469" s="3" t="s">
        <v>756</v>
      </c>
      <c r="H1469" s="3">
        <v>0</v>
      </c>
      <c r="I1469" s="5">
        <v>10000</v>
      </c>
      <c r="J1469" s="5">
        <v>30000</v>
      </c>
      <c r="K1469" s="3">
        <v>0</v>
      </c>
      <c r="L1469" s="3">
        <v>1</v>
      </c>
      <c r="M1469" s="3">
        <v>0</v>
      </c>
      <c r="N1469" s="5">
        <v>10000</v>
      </c>
      <c r="O1469" s="3">
        <v>0</v>
      </c>
      <c r="P1469" s="3">
        <v>0</v>
      </c>
      <c r="Q1469" s="3">
        <v>0</v>
      </c>
      <c r="R1469" s="5">
        <v>30000</v>
      </c>
      <c r="S1469" s="3">
        <v>0</v>
      </c>
      <c r="T1469" s="5">
        <v>1500</v>
      </c>
      <c r="U1469" s="3">
        <v>0</v>
      </c>
      <c r="V1469" s="5">
        <v>6000</v>
      </c>
      <c r="W1469" s="3">
        <v>0</v>
      </c>
      <c r="X1469" s="5">
        <v>1700</v>
      </c>
      <c r="Y1469" s="3">
        <v>0</v>
      </c>
      <c r="Z1469" s="5">
        <v>11000</v>
      </c>
      <c r="AA1469" s="5">
        <v>20000</v>
      </c>
      <c r="AB1469" s="6">
        <v>2852003</v>
      </c>
      <c r="AC1469" s="2" t="str">
        <f>VLOOKUP(E1469,'[1]Detailed Transfer Report (12)'!$K:$Y,13,FALSE)</f>
        <v>Waqar Ahmed</v>
      </c>
      <c r="AD1469" s="2" t="str">
        <f>VLOOKUP(E1469,'[1]Detailed Transfer Report (12)'!$K:$Y,14,FALSE)</f>
        <v>Sardar Tanveer Ilyas</v>
      </c>
      <c r="AE1469" s="16">
        <f>VLOOKUP(E1469,'[1]Detailed Transfer Report (12)'!$K:$Y,15,FALSE)</f>
        <v>45593</v>
      </c>
    </row>
    <row r="1470" spans="1:31" x14ac:dyDescent="0.25">
      <c r="A1470" s="9">
        <v>768</v>
      </c>
      <c r="B1470" s="4">
        <v>45638</v>
      </c>
      <c r="C1470" s="3" t="s">
        <v>46</v>
      </c>
      <c r="D1470" s="3" t="s">
        <v>1739</v>
      </c>
      <c r="E1470" s="3"/>
      <c r="F1470" s="3">
        <v>9408</v>
      </c>
      <c r="G1470" s="3" t="s">
        <v>756</v>
      </c>
      <c r="H1470" s="3">
        <v>0</v>
      </c>
      <c r="I1470" s="5">
        <v>40000</v>
      </c>
      <c r="J1470" s="5">
        <v>120000</v>
      </c>
      <c r="K1470" s="3">
        <v>0</v>
      </c>
      <c r="L1470" s="3">
        <v>1</v>
      </c>
      <c r="M1470" s="3">
        <v>0</v>
      </c>
      <c r="N1470" s="5">
        <v>40000</v>
      </c>
      <c r="O1470" s="3">
        <v>0</v>
      </c>
      <c r="P1470" s="3">
        <v>0</v>
      </c>
      <c r="Q1470" s="3">
        <v>0</v>
      </c>
      <c r="R1470" s="5">
        <v>120000</v>
      </c>
      <c r="S1470" s="3">
        <v>0</v>
      </c>
      <c r="T1470" s="5">
        <v>6000</v>
      </c>
      <c r="U1470" s="3">
        <v>0</v>
      </c>
      <c r="V1470" s="5">
        <v>1500</v>
      </c>
      <c r="W1470" s="3">
        <v>0</v>
      </c>
      <c r="X1470" s="5">
        <v>3000</v>
      </c>
      <c r="Y1470" s="3">
        <v>0</v>
      </c>
      <c r="Z1470" s="5">
        <v>41000</v>
      </c>
      <c r="AA1470" s="5">
        <v>35000</v>
      </c>
      <c r="AB1470" s="6">
        <v>3258504</v>
      </c>
      <c r="AC1470" s="2" t="str">
        <f>VLOOKUP(F1470,'[1]Detailed Transfer Report (12)'!$L:$Y,12,FALSE)</f>
        <v>Orang Zaib</v>
      </c>
      <c r="AD1470" s="2" t="str">
        <f>VLOOKUP(F1470,'[1]Detailed Transfer Report (12)'!$L:$Y,13,FALSE)</f>
        <v>Sardar Tanveer Ilyas</v>
      </c>
      <c r="AE1470" s="16">
        <f>VLOOKUP(F1470,'[1]Detailed Transfer Report (12)'!$L:$Y,14,FALSE)</f>
        <v>45632</v>
      </c>
    </row>
    <row r="1471" spans="1:31" x14ac:dyDescent="0.25">
      <c r="A1471" s="9">
        <v>768</v>
      </c>
      <c r="B1471" s="4">
        <v>45716</v>
      </c>
      <c r="C1471" s="3" t="s">
        <v>44</v>
      </c>
      <c r="D1471" s="3" t="s">
        <v>1740</v>
      </c>
      <c r="E1471" s="3">
        <v>6097</v>
      </c>
      <c r="F1471" s="3">
        <v>2812</v>
      </c>
      <c r="G1471" s="3" t="s">
        <v>756</v>
      </c>
      <c r="H1471" s="3">
        <v>0</v>
      </c>
      <c r="I1471" s="5">
        <v>20000</v>
      </c>
      <c r="J1471" s="5">
        <v>60000</v>
      </c>
      <c r="K1471" s="3">
        <v>0</v>
      </c>
      <c r="L1471" s="3">
        <v>1</v>
      </c>
      <c r="M1471" s="3">
        <v>0</v>
      </c>
      <c r="N1471" s="5">
        <v>20000</v>
      </c>
      <c r="O1471" s="3">
        <v>0</v>
      </c>
      <c r="P1471" s="3">
        <v>0</v>
      </c>
      <c r="Q1471" s="3">
        <v>0</v>
      </c>
      <c r="R1471" s="5">
        <v>200000</v>
      </c>
      <c r="S1471" s="3">
        <v>0</v>
      </c>
      <c r="T1471" s="5">
        <v>1500</v>
      </c>
      <c r="U1471" s="3">
        <v>0</v>
      </c>
      <c r="V1471" s="5">
        <v>6000</v>
      </c>
      <c r="W1471" s="3">
        <v>0</v>
      </c>
      <c r="X1471" s="5">
        <v>3000</v>
      </c>
      <c r="Y1471" s="3">
        <v>0</v>
      </c>
      <c r="Z1471" s="5">
        <v>21000</v>
      </c>
      <c r="AA1471" s="5">
        <v>28000</v>
      </c>
      <c r="AB1471" s="6">
        <v>3618005</v>
      </c>
      <c r="AC1471" s="2" t="str">
        <f>VLOOKUP(E1471,'[1]Detailed Transfer Report (12)'!$K:$Y,13,FALSE)</f>
        <v>Muhammad Basharat</v>
      </c>
      <c r="AD1471" s="2" t="str">
        <f>VLOOKUP(E1471,'[1]Detailed Transfer Report (12)'!$K:$Y,14,FALSE)</f>
        <v>Sardar Tanveer Ilyas</v>
      </c>
      <c r="AE1471" s="16">
        <f>VLOOKUP(E1471,'[1]Detailed Transfer Report (12)'!$K:$Y,15,FALSE)</f>
        <v>45658</v>
      </c>
    </row>
    <row r="1472" spans="1:31" x14ac:dyDescent="0.25">
      <c r="A1472" s="10">
        <v>768</v>
      </c>
      <c r="B1472" s="4">
        <v>45716</v>
      </c>
      <c r="C1472" s="3" t="s">
        <v>44</v>
      </c>
      <c r="D1472" s="3" t="s">
        <v>1740</v>
      </c>
      <c r="E1472" s="3">
        <v>6104</v>
      </c>
      <c r="F1472" s="3">
        <v>2810</v>
      </c>
      <c r="G1472" s="3" t="s">
        <v>756</v>
      </c>
      <c r="H1472" s="3">
        <v>0</v>
      </c>
      <c r="I1472" s="5">
        <v>20000</v>
      </c>
      <c r="J1472" s="5">
        <v>60000</v>
      </c>
      <c r="K1472" s="3">
        <v>0</v>
      </c>
      <c r="L1472" s="3">
        <v>1</v>
      </c>
      <c r="M1472" s="3">
        <v>0</v>
      </c>
      <c r="N1472" s="5">
        <v>20000</v>
      </c>
      <c r="O1472" s="3">
        <v>0</v>
      </c>
      <c r="P1472" s="3">
        <v>0</v>
      </c>
      <c r="Q1472" s="3">
        <v>0</v>
      </c>
      <c r="R1472" s="5">
        <v>200000</v>
      </c>
      <c r="S1472" s="3">
        <v>0</v>
      </c>
      <c r="T1472" s="5">
        <v>1500</v>
      </c>
      <c r="U1472" s="3">
        <v>0</v>
      </c>
      <c r="V1472" s="5">
        <v>6000</v>
      </c>
      <c r="W1472" s="3">
        <v>0</v>
      </c>
      <c r="X1472" s="5">
        <v>3000</v>
      </c>
      <c r="Y1472" s="3">
        <v>0</v>
      </c>
      <c r="Z1472" s="5">
        <v>21000</v>
      </c>
      <c r="AA1472" s="5">
        <v>28000</v>
      </c>
      <c r="AB1472" s="6">
        <v>3977506</v>
      </c>
      <c r="AC1472" s="2" t="str">
        <f>VLOOKUP(E1472,'[1]Detailed Transfer Report (12)'!$K:$Y,13,FALSE)</f>
        <v>Raja Muhammad Saqlain</v>
      </c>
      <c r="AD1472" s="2" t="str">
        <f>VLOOKUP(E1472,'[1]Detailed Transfer Report (12)'!$K:$Y,14,FALSE)</f>
        <v>Sardar Tanveer Ilyas</v>
      </c>
      <c r="AE1472" s="16">
        <f>VLOOKUP(E1472,'[1]Detailed Transfer Report (12)'!$K:$Y,15,FALSE)</f>
        <v>45658</v>
      </c>
    </row>
    <row r="1473" spans="1:31" ht="34.5" x14ac:dyDescent="0.25">
      <c r="A1473" s="7">
        <v>770</v>
      </c>
      <c r="B1473" s="4">
        <v>45575</v>
      </c>
      <c r="C1473" s="3" t="s">
        <v>1741</v>
      </c>
      <c r="D1473" s="3" t="s">
        <v>1550</v>
      </c>
      <c r="E1473" s="3" t="s">
        <v>1742</v>
      </c>
      <c r="F1473" s="3">
        <v>16826</v>
      </c>
      <c r="G1473" s="3" t="s">
        <v>41</v>
      </c>
      <c r="H1473" s="3">
        <v>0</v>
      </c>
      <c r="I1473" s="3">
        <v>0</v>
      </c>
      <c r="J1473" s="5">
        <v>1668000</v>
      </c>
      <c r="K1473" s="3">
        <v>0</v>
      </c>
      <c r="L1473" s="3">
        <v>0</v>
      </c>
      <c r="M1473" s="3">
        <v>0</v>
      </c>
      <c r="N1473" s="5">
        <v>278000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5">
        <v>50000</v>
      </c>
      <c r="U1473" s="3">
        <v>0</v>
      </c>
      <c r="V1473" s="3">
        <v>0</v>
      </c>
      <c r="W1473" s="3">
        <v>0</v>
      </c>
      <c r="X1473" s="5">
        <v>2000</v>
      </c>
      <c r="Y1473" s="3">
        <v>0</v>
      </c>
      <c r="Z1473" s="5">
        <v>278000</v>
      </c>
      <c r="AA1473" s="5">
        <v>150000</v>
      </c>
      <c r="AB1473" s="6">
        <v>2426000</v>
      </c>
      <c r="AC1473" s="2" t="str">
        <f>VLOOKUP(E1473,'[1]Detailed Transfer Report (12)'!$K:$Y,13,FALSE)</f>
        <v>Shazia Ali</v>
      </c>
      <c r="AD1473" s="2" t="str">
        <f>VLOOKUP(E1473,'[1]Detailed Transfer Report (12)'!$K:$Y,14,FALSE)</f>
        <v>Sardar Tanveer Ilyas</v>
      </c>
      <c r="AE1473" s="16">
        <f>VLOOKUP(E1473,'[1]Detailed Transfer Report (12)'!$K:$Y,15,FALSE)</f>
        <v>45630</v>
      </c>
    </row>
    <row r="1474" spans="1:31" x14ac:dyDescent="0.25">
      <c r="A1474" s="9">
        <v>770</v>
      </c>
      <c r="B1474" s="4">
        <v>45628</v>
      </c>
      <c r="C1474" s="3" t="s">
        <v>456</v>
      </c>
      <c r="D1474" s="3" t="s">
        <v>1550</v>
      </c>
      <c r="E1474" s="3"/>
      <c r="F1474" s="3">
        <v>14079</v>
      </c>
      <c r="G1474" s="3" t="s">
        <v>30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6">
        <v>2426000</v>
      </c>
      <c r="AC1474" s="2" t="str">
        <f>VLOOKUP(F1474,'[1]Detailed Transfer Report (12)'!$L:$Y,12,FALSE)</f>
        <v>Muhammad Younas</v>
      </c>
      <c r="AD1474" s="2" t="str">
        <f>VLOOKUP(F1474,'[1]Detailed Transfer Report (12)'!$L:$Y,13,FALSE)</f>
        <v>Sardar Tanveer Ilyas</v>
      </c>
      <c r="AE1474" s="16">
        <f>VLOOKUP(F1474,'[1]Detailed Transfer Report (12)'!$L:$Y,14,FALSE)</f>
        <v>45602</v>
      </c>
    </row>
    <row r="1475" spans="1:31" x14ac:dyDescent="0.25">
      <c r="A1475" s="9">
        <v>770</v>
      </c>
      <c r="B1475" s="4">
        <v>45575</v>
      </c>
      <c r="C1475" s="3" t="s">
        <v>44</v>
      </c>
      <c r="D1475" s="3" t="s">
        <v>1550</v>
      </c>
      <c r="E1475" s="3"/>
      <c r="F1475" s="3">
        <v>16838</v>
      </c>
      <c r="G1475" s="3" t="s">
        <v>30</v>
      </c>
      <c r="H1475" s="3">
        <v>0</v>
      </c>
      <c r="I1475" s="3">
        <v>0</v>
      </c>
      <c r="J1475" s="5">
        <v>1007000</v>
      </c>
      <c r="K1475" s="3">
        <v>0</v>
      </c>
      <c r="L1475" s="3">
        <v>0</v>
      </c>
      <c r="M1475" s="3">
        <v>0</v>
      </c>
      <c r="N1475" s="5">
        <v>169000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5">
        <v>50000</v>
      </c>
      <c r="U1475" s="3">
        <v>0</v>
      </c>
      <c r="V1475" s="5">
        <v>150000</v>
      </c>
      <c r="W1475" s="3">
        <v>0</v>
      </c>
      <c r="X1475" s="5">
        <v>2000</v>
      </c>
      <c r="Y1475" s="3">
        <v>0</v>
      </c>
      <c r="Z1475" s="5">
        <v>170000</v>
      </c>
      <c r="AA1475" s="3">
        <v>0</v>
      </c>
      <c r="AB1475" s="6">
        <v>3974000</v>
      </c>
      <c r="AC1475" s="2" t="str">
        <f>VLOOKUP(F1475,'[1]Detailed Transfer Report (12)'!$L:$Y,12,FALSE)</f>
        <v>Zeeshan Ellahi</v>
      </c>
      <c r="AD1475" s="2" t="str">
        <f>VLOOKUP(F1475,'[1]Detailed Transfer Report (12)'!$L:$Y,13,FALSE)</f>
        <v>Sardar Tanveer Ilyas</v>
      </c>
      <c r="AE1475" s="16">
        <f>VLOOKUP(F1475,'[1]Detailed Transfer Report (12)'!$L:$Y,14,FALSE)</f>
        <v>45643</v>
      </c>
    </row>
    <row r="1476" spans="1:31" x14ac:dyDescent="0.25">
      <c r="A1476" s="9">
        <v>770</v>
      </c>
      <c r="B1476" s="4">
        <v>45653</v>
      </c>
      <c r="C1476" s="3" t="s">
        <v>1743</v>
      </c>
      <c r="D1476" s="3" t="s">
        <v>822</v>
      </c>
      <c r="E1476" s="3"/>
      <c r="F1476" s="3">
        <v>15194</v>
      </c>
      <c r="G1476" s="3" t="s">
        <v>30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6">
        <v>3974000</v>
      </c>
      <c r="AC1476" s="2" t="str">
        <f>VLOOKUP(F1476,'[1]Detailed Transfer Report (12)'!$L:$Y,12,FALSE)</f>
        <v>Nazim Ellahi</v>
      </c>
      <c r="AD1476" s="2" t="str">
        <f>VLOOKUP(F1476,'[1]Detailed Transfer Report (12)'!$L:$Y,13,FALSE)</f>
        <v>Sardar Tanveer Ilyas</v>
      </c>
      <c r="AE1476" s="16">
        <f>VLOOKUP(F1476,'[1]Detailed Transfer Report (12)'!$L:$Y,14,FALSE)</f>
        <v>45613</v>
      </c>
    </row>
    <row r="1477" spans="1:31" x14ac:dyDescent="0.25">
      <c r="A1477" s="9">
        <v>770</v>
      </c>
      <c r="B1477" s="4">
        <v>45715</v>
      </c>
      <c r="C1477" s="3" t="s">
        <v>1744</v>
      </c>
      <c r="D1477" s="3" t="s">
        <v>1745</v>
      </c>
      <c r="E1477" s="3" t="s">
        <v>1746</v>
      </c>
      <c r="F1477" s="3">
        <v>1803</v>
      </c>
      <c r="G1477" s="3" t="s">
        <v>41</v>
      </c>
      <c r="H1477" s="3">
        <v>0</v>
      </c>
      <c r="I1477" s="3">
        <v>0</v>
      </c>
      <c r="J1477" s="5">
        <v>409860</v>
      </c>
      <c r="K1477" s="3">
        <v>0</v>
      </c>
      <c r="L1477" s="3">
        <v>0</v>
      </c>
      <c r="M1477" s="3">
        <v>0</v>
      </c>
      <c r="N1477" s="5">
        <v>136620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5">
        <v>10000</v>
      </c>
      <c r="U1477" s="3">
        <v>0</v>
      </c>
      <c r="V1477" s="5">
        <v>150000</v>
      </c>
      <c r="W1477" s="3">
        <v>0</v>
      </c>
      <c r="X1477" s="5">
        <v>15000</v>
      </c>
      <c r="Y1477" s="3">
        <v>0</v>
      </c>
      <c r="Z1477" s="5">
        <v>138620</v>
      </c>
      <c r="AA1477" s="3">
        <v>0</v>
      </c>
      <c r="AB1477" s="6">
        <v>4834100</v>
      </c>
      <c r="AC1477" s="2" t="str">
        <f>VLOOKUP(E1477,'[1]Detailed Transfer Report (12)'!$K:$Y,13,FALSE)</f>
        <v>Muhammad Banaras</v>
      </c>
      <c r="AD1477" s="2" t="str">
        <f>VLOOKUP(E1477,'[1]Detailed Transfer Report (12)'!$K:$Y,14,FALSE)</f>
        <v>Sardar Tanveer Ilyas</v>
      </c>
      <c r="AE1477" s="16">
        <f>VLOOKUP(E1477,'[1]Detailed Transfer Report (12)'!$K:$Y,15,FALSE)</f>
        <v>45806</v>
      </c>
    </row>
    <row r="1478" spans="1:31" x14ac:dyDescent="0.25">
      <c r="A1478" s="9">
        <v>770</v>
      </c>
      <c r="B1478" s="4">
        <v>45715</v>
      </c>
      <c r="C1478" s="3" t="s">
        <v>141</v>
      </c>
      <c r="D1478" s="3" t="s">
        <v>1745</v>
      </c>
      <c r="E1478" s="3"/>
      <c r="F1478" s="3">
        <v>4367</v>
      </c>
      <c r="G1478" s="3" t="s">
        <v>30</v>
      </c>
      <c r="H1478" s="3">
        <v>0</v>
      </c>
      <c r="I1478" s="3">
        <v>0</v>
      </c>
      <c r="J1478" s="5">
        <v>516600</v>
      </c>
      <c r="K1478" s="3">
        <v>0</v>
      </c>
      <c r="L1478" s="3">
        <v>0</v>
      </c>
      <c r="M1478" s="3">
        <v>0</v>
      </c>
      <c r="N1478" s="5">
        <v>173200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5">
        <v>15000</v>
      </c>
      <c r="U1478" s="3">
        <v>0</v>
      </c>
      <c r="V1478" s="5">
        <v>200000</v>
      </c>
      <c r="W1478" s="3">
        <v>0</v>
      </c>
      <c r="X1478" s="5">
        <v>17700</v>
      </c>
      <c r="Y1478" s="3">
        <v>0</v>
      </c>
      <c r="Z1478" s="3">
        <v>0</v>
      </c>
      <c r="AA1478" s="5">
        <v>172200</v>
      </c>
      <c r="AB1478" s="6">
        <v>5928800</v>
      </c>
      <c r="AC1478" s="2" t="str">
        <f>VLOOKUP(F1478,'[1]Detailed Transfer Report (12)'!$L:$Y,12,FALSE)</f>
        <v>Nisar Hussain Bhatti</v>
      </c>
      <c r="AD1478" s="2" t="str">
        <f>VLOOKUP(F1478,'[1]Detailed Transfer Report (12)'!$L:$Y,13,FALSE)</f>
        <v>Sardar Tanveer Ilyas</v>
      </c>
      <c r="AE1478" s="16">
        <f>VLOOKUP(F1478,'[1]Detailed Transfer Report (12)'!$L:$Y,14,FALSE)</f>
        <v>45806</v>
      </c>
    </row>
    <row r="1479" spans="1:31" x14ac:dyDescent="0.25">
      <c r="A1479" s="9">
        <v>770</v>
      </c>
      <c r="B1479" s="4">
        <v>45917</v>
      </c>
      <c r="C1479" s="3" t="s">
        <v>1747</v>
      </c>
      <c r="D1479" s="3" t="s">
        <v>822</v>
      </c>
      <c r="E1479" s="3"/>
      <c r="F1479" s="3">
        <v>5819</v>
      </c>
      <c r="G1479" s="3" t="s">
        <v>41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6">
        <v>5928800</v>
      </c>
      <c r="AC1479" s="2" t="str">
        <f>VLOOKUP(F1479,'[1]Detailed Transfer Report (12)'!$L:$Y,12,FALSE)</f>
        <v>Aurangzeb</v>
      </c>
      <c r="AD1479" s="2" t="str">
        <f>VLOOKUP(F1479,'[1]Detailed Transfer Report (12)'!$L:$Y,13,FALSE)</f>
        <v>Sardar Tanveer Ilyas</v>
      </c>
      <c r="AE1479" s="16"/>
    </row>
    <row r="1480" spans="1:31" x14ac:dyDescent="0.25">
      <c r="A1480" s="9">
        <v>770</v>
      </c>
      <c r="B1480" s="4">
        <v>45664</v>
      </c>
      <c r="C1480" s="3" t="s">
        <v>1748</v>
      </c>
      <c r="D1480" s="3" t="s">
        <v>822</v>
      </c>
      <c r="E1480" s="3" t="s">
        <v>1749</v>
      </c>
      <c r="F1480" s="3">
        <v>15782</v>
      </c>
      <c r="G1480" s="3" t="s">
        <v>41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6">
        <v>5928800</v>
      </c>
      <c r="AC1480" s="2" t="str">
        <f>VLOOKUP(E1480,'[1]Detailed Transfer Report (12)'!$K:$Y,13,FALSE)</f>
        <v>Muhammad Raees</v>
      </c>
      <c r="AD1480" s="2" t="str">
        <f>VLOOKUP(E1480,'[1]Detailed Transfer Report (12)'!$K:$Y,14,FALSE)</f>
        <v>Sardar Tanveer Ilyas</v>
      </c>
      <c r="AE1480" s="16">
        <f>VLOOKUP(E1480,'[1]Detailed Transfer Report (12)'!$K:$Y,15,FALSE)</f>
        <v>45629</v>
      </c>
    </row>
    <row r="1481" spans="1:31" x14ac:dyDescent="0.25">
      <c r="A1481" s="9">
        <v>770</v>
      </c>
      <c r="B1481" s="4">
        <v>45917</v>
      </c>
      <c r="C1481" s="3" t="s">
        <v>1750</v>
      </c>
      <c r="D1481" s="3" t="s">
        <v>822</v>
      </c>
      <c r="E1481" s="3"/>
      <c r="F1481" s="3">
        <v>6678</v>
      </c>
      <c r="G1481" s="3" t="s">
        <v>30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6">
        <v>5928800</v>
      </c>
      <c r="AC1481" s="2" t="str">
        <f>VLOOKUP(F1481,'[1]Detailed Transfer Report (12)'!$L:$Y,12,FALSE)</f>
        <v>Muhammad Yasin</v>
      </c>
      <c r="AD1481" s="2" t="str">
        <f>VLOOKUP(F1481,'[1]Detailed Transfer Report (12)'!$L:$Y,13,FALSE)</f>
        <v>Sardar Tanveer Ilyas</v>
      </c>
      <c r="AE1481" s="16">
        <f>VLOOKUP(F1481,'[1]Detailed Transfer Report (12)'!$L:$Y,14,FALSE)</f>
        <v>45796</v>
      </c>
    </row>
    <row r="1482" spans="1:31" x14ac:dyDescent="0.25">
      <c r="A1482" s="9">
        <v>770</v>
      </c>
      <c r="B1482" s="4">
        <v>45917</v>
      </c>
      <c r="C1482" s="3" t="s">
        <v>1751</v>
      </c>
      <c r="D1482" s="3" t="s">
        <v>822</v>
      </c>
      <c r="E1482" s="3"/>
      <c r="F1482" s="3">
        <v>12198</v>
      </c>
      <c r="G1482" s="3" t="s">
        <v>30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6">
        <v>5928800</v>
      </c>
      <c r="AC1482" s="2" t="str">
        <f>VLOOKUP(F1482,'[1]Detailed Transfer Report (12)'!$L:$Y,12,FALSE)</f>
        <v>Mst Naveed Akhtar</v>
      </c>
      <c r="AD1482" s="2" t="str">
        <f>VLOOKUP(F1482,'[1]Detailed Transfer Report (12)'!$L:$Y,13,FALSE)</f>
        <v>Sardar Tanveer Ilyas</v>
      </c>
      <c r="AE1482" s="16">
        <f>VLOOKUP(F1482,'[1]Detailed Transfer Report (12)'!$L:$Y,14,FALSE)</f>
        <v>45900</v>
      </c>
    </row>
    <row r="1483" spans="1:31" x14ac:dyDescent="0.25">
      <c r="A1483" s="9">
        <v>770</v>
      </c>
      <c r="B1483" s="4">
        <v>45917</v>
      </c>
      <c r="C1483" s="3" t="s">
        <v>1752</v>
      </c>
      <c r="D1483" s="3" t="s">
        <v>822</v>
      </c>
      <c r="E1483" s="3"/>
      <c r="F1483" s="3">
        <v>4931</v>
      </c>
      <c r="G1483" s="3" t="s">
        <v>30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6">
        <v>5928800</v>
      </c>
      <c r="AC1483" s="2" t="str">
        <f>VLOOKUP(F1483,'[1]Detailed Transfer Report (12)'!$L:$Y,12,FALSE)</f>
        <v>Qazi Abdul Aziz</v>
      </c>
      <c r="AD1483" s="2" t="str">
        <f>VLOOKUP(F1483,'[1]Detailed Transfer Report (12)'!$L:$Y,13,FALSE)</f>
        <v>Sardar Tanveer Ilyas</v>
      </c>
      <c r="AE1483" s="16">
        <f>VLOOKUP(F1483,'[1]Detailed Transfer Report (12)'!$L:$Y,14,FALSE)</f>
        <v>45771</v>
      </c>
    </row>
    <row r="1484" spans="1:31" x14ac:dyDescent="0.25">
      <c r="A1484" s="9">
        <v>770</v>
      </c>
      <c r="B1484" s="4">
        <v>45917</v>
      </c>
      <c r="C1484" s="3" t="s">
        <v>495</v>
      </c>
      <c r="D1484" s="3" t="s">
        <v>822</v>
      </c>
      <c r="E1484" s="3"/>
      <c r="F1484" s="3">
        <v>4368</v>
      </c>
      <c r="G1484" s="3" t="s">
        <v>30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6">
        <v>5928800</v>
      </c>
      <c r="AC1484" s="2" t="str">
        <f>VLOOKUP(F1484,'[1]Detailed Transfer Report (12)'!$L:$Y,12,FALSE)</f>
        <v>Zulaikhan Bibi</v>
      </c>
      <c r="AD1484" s="2" t="str">
        <f>VLOOKUP(F1484,'[1]Detailed Transfer Report (12)'!$L:$Y,13,FALSE)</f>
        <v>Sardar Tanveer Ilyas</v>
      </c>
      <c r="AE1484" s="16">
        <f>VLOOKUP(F1484,'[1]Detailed Transfer Report (12)'!$L:$Y,14,FALSE)</f>
        <v>45765</v>
      </c>
    </row>
    <row r="1485" spans="1:31" x14ac:dyDescent="0.25">
      <c r="A1485" s="10">
        <v>770</v>
      </c>
      <c r="B1485" s="4">
        <v>46156</v>
      </c>
      <c r="C1485" s="3" t="s">
        <v>46</v>
      </c>
      <c r="D1485" s="3" t="s">
        <v>822</v>
      </c>
      <c r="E1485" s="3"/>
      <c r="F1485" s="3">
        <v>5795</v>
      </c>
      <c r="G1485" s="3" t="s">
        <v>30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6">
        <v>5928800</v>
      </c>
      <c r="AC1485" s="2" t="str">
        <f>VLOOKUP(F1485,'[1]Detailed Transfer Report (12)'!$L:$Y,12,FALSE)</f>
        <v>Nazim Ellahi</v>
      </c>
      <c r="AD1485" s="2" t="str">
        <f>VLOOKUP(F1485,'[1]Detailed Transfer Report (12)'!$L:$Y,13,FALSE)</f>
        <v>Sardar Group of Companies Pvt Ltd</v>
      </c>
      <c r="AE1485" s="16">
        <f>VLOOKUP(F1485,'[1]Detailed Transfer Report (12)'!$L:$Y,14,FALSE)</f>
        <v>46125</v>
      </c>
    </row>
    <row r="1486" spans="1:31" x14ac:dyDescent="0.25">
      <c r="A1486" s="3">
        <v>771</v>
      </c>
      <c r="B1486" s="4">
        <v>45575</v>
      </c>
      <c r="C1486" s="3" t="s">
        <v>754</v>
      </c>
      <c r="D1486" s="3" t="s">
        <v>822</v>
      </c>
      <c r="E1486" s="3"/>
      <c r="F1486" s="3"/>
      <c r="G1486" s="3" t="s">
        <v>30</v>
      </c>
      <c r="H1486" s="3">
        <v>0</v>
      </c>
      <c r="I1486" s="3">
        <v>0</v>
      </c>
      <c r="J1486" s="5">
        <v>1007000</v>
      </c>
      <c r="K1486" s="3">
        <v>0</v>
      </c>
      <c r="L1486" s="3">
        <v>0</v>
      </c>
      <c r="M1486" s="3">
        <v>0</v>
      </c>
      <c r="N1486" s="5">
        <v>169000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5">
        <v>50000</v>
      </c>
      <c r="U1486" s="3">
        <v>0</v>
      </c>
      <c r="V1486" s="3">
        <v>0</v>
      </c>
      <c r="W1486" s="3">
        <v>0</v>
      </c>
      <c r="X1486" s="5">
        <v>2000</v>
      </c>
      <c r="Y1486" s="3">
        <v>0</v>
      </c>
      <c r="Z1486" s="5">
        <v>170000</v>
      </c>
      <c r="AA1486" s="5">
        <v>150000</v>
      </c>
      <c r="AB1486" s="6">
        <v>1548000</v>
      </c>
      <c r="AE1486" s="16"/>
    </row>
    <row r="1487" spans="1:31" x14ac:dyDescent="0.25">
      <c r="A1487" s="7">
        <v>772</v>
      </c>
      <c r="B1487" s="4">
        <v>45615</v>
      </c>
      <c r="C1487" s="3" t="s">
        <v>141</v>
      </c>
      <c r="D1487" s="3" t="s">
        <v>1753</v>
      </c>
      <c r="E1487" s="3">
        <v>140</v>
      </c>
      <c r="F1487" s="3">
        <v>9444</v>
      </c>
      <c r="G1487" s="3" t="s">
        <v>1469</v>
      </c>
      <c r="H1487" s="3">
        <v>0</v>
      </c>
      <c r="I1487" s="3">
        <v>0</v>
      </c>
      <c r="J1487" s="5">
        <v>345780</v>
      </c>
      <c r="K1487" s="3">
        <v>0</v>
      </c>
      <c r="L1487" s="3">
        <v>0</v>
      </c>
      <c r="M1487" s="3">
        <v>0</v>
      </c>
      <c r="N1487" s="5">
        <v>116260</v>
      </c>
      <c r="O1487" s="3">
        <v>0</v>
      </c>
      <c r="P1487" s="5">
        <v>115260</v>
      </c>
      <c r="Q1487" s="3">
        <v>0</v>
      </c>
      <c r="R1487" s="3">
        <v>0</v>
      </c>
      <c r="S1487" s="3">
        <v>0</v>
      </c>
      <c r="T1487" s="5">
        <v>60000</v>
      </c>
      <c r="U1487" s="3">
        <v>0</v>
      </c>
      <c r="V1487" s="3">
        <v>0</v>
      </c>
      <c r="W1487" s="3">
        <v>0</v>
      </c>
      <c r="X1487" s="5">
        <v>11526</v>
      </c>
      <c r="Y1487" s="3">
        <v>0</v>
      </c>
      <c r="Z1487" s="3">
        <v>0</v>
      </c>
      <c r="AA1487" s="5">
        <v>50000</v>
      </c>
      <c r="AB1487" s="6">
        <v>698826</v>
      </c>
      <c r="AC1487" s="2" t="str">
        <f>VLOOKUP(E1487,'[1]Detailed Transfer Report (12)'!$K:$Y,13,FALSE)</f>
        <v>Muhammad Abdullah Kiyani</v>
      </c>
      <c r="AD1487" s="2" t="str">
        <f>VLOOKUP(E1487,'[1]Detailed Transfer Report (12)'!$K:$Y,14,FALSE)</f>
        <v>Sardar Tanveer Ilyas</v>
      </c>
      <c r="AE1487" s="16">
        <f>VLOOKUP(E1487,'[1]Detailed Transfer Report (12)'!$K:$Y,15,FALSE)</f>
        <v>45618</v>
      </c>
    </row>
    <row r="1488" spans="1:31" x14ac:dyDescent="0.25">
      <c r="A1488" s="9">
        <v>772</v>
      </c>
      <c r="B1488" s="4">
        <v>45657</v>
      </c>
      <c r="C1488" s="3" t="s">
        <v>323</v>
      </c>
      <c r="D1488" s="3" t="s">
        <v>1754</v>
      </c>
      <c r="E1488" s="3">
        <v>141</v>
      </c>
      <c r="F1488" s="3">
        <v>1476</v>
      </c>
      <c r="G1488" s="3" t="s">
        <v>1469</v>
      </c>
      <c r="H1488" s="3">
        <v>0</v>
      </c>
      <c r="I1488" s="3">
        <v>0</v>
      </c>
      <c r="J1488" s="5">
        <v>461040</v>
      </c>
      <c r="K1488" s="3">
        <v>0</v>
      </c>
      <c r="L1488" s="3">
        <v>0</v>
      </c>
      <c r="M1488" s="3">
        <v>0</v>
      </c>
      <c r="N1488" s="5">
        <v>154680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5">
        <v>80000</v>
      </c>
      <c r="U1488" s="3">
        <v>0</v>
      </c>
      <c r="V1488" s="5">
        <v>73333</v>
      </c>
      <c r="W1488" s="3">
        <v>0</v>
      </c>
      <c r="X1488" s="5">
        <v>15368</v>
      </c>
      <c r="Y1488" s="3">
        <v>0</v>
      </c>
      <c r="Z1488" s="5">
        <v>153680</v>
      </c>
      <c r="AA1488" s="3">
        <v>0</v>
      </c>
      <c r="AB1488" s="6">
        <v>1636927</v>
      </c>
      <c r="AC1488" s="2" t="str">
        <f>VLOOKUP(E1488,'[1]Detailed Transfer Report (12)'!$K:$Y,13,FALSE)</f>
        <v>Barkhurdar</v>
      </c>
      <c r="AD1488" s="2" t="str">
        <f>VLOOKUP(E1488,'[1]Detailed Transfer Report (12)'!$K:$Y,14,FALSE)</f>
        <v>Sardar Tanveer Ilyas</v>
      </c>
      <c r="AE1488" s="16">
        <f>VLOOKUP(E1488,'[1]Detailed Transfer Report (12)'!$K:$Y,15,FALSE)</f>
        <v>45716</v>
      </c>
    </row>
    <row r="1489" spans="1:31" x14ac:dyDescent="0.25">
      <c r="A1489" s="9">
        <v>772</v>
      </c>
      <c r="B1489" s="4">
        <v>45657</v>
      </c>
      <c r="C1489" s="3" t="s">
        <v>44</v>
      </c>
      <c r="D1489" s="3" t="s">
        <v>1754</v>
      </c>
      <c r="E1489" s="3">
        <v>143</v>
      </c>
      <c r="F1489" s="3">
        <v>1480</v>
      </c>
      <c r="G1489" s="3" t="s">
        <v>1469</v>
      </c>
      <c r="H1489" s="3">
        <v>0</v>
      </c>
      <c r="I1489" s="3">
        <v>0</v>
      </c>
      <c r="J1489" s="5">
        <v>115500</v>
      </c>
      <c r="K1489" s="3">
        <v>0</v>
      </c>
      <c r="L1489" s="3">
        <v>0</v>
      </c>
      <c r="M1489" s="3">
        <v>0</v>
      </c>
      <c r="N1489" s="5">
        <v>39500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5">
        <v>20000</v>
      </c>
      <c r="U1489" s="3">
        <v>0</v>
      </c>
      <c r="V1489" s="5">
        <v>18333</v>
      </c>
      <c r="W1489" s="3">
        <v>0</v>
      </c>
      <c r="X1489" s="5">
        <v>3850</v>
      </c>
      <c r="Y1489" s="3">
        <v>0</v>
      </c>
      <c r="Z1489" s="5">
        <v>38500</v>
      </c>
      <c r="AA1489" s="3">
        <v>0</v>
      </c>
      <c r="AB1489" s="6">
        <v>1872610</v>
      </c>
      <c r="AC1489" s="2" t="str">
        <f>VLOOKUP(E1489,'[1]Detailed Transfer Report (12)'!$K:$Y,13,FALSE)</f>
        <v>Mst Mira Jan</v>
      </c>
      <c r="AD1489" s="2" t="str">
        <f>VLOOKUP(E1489,'[1]Detailed Transfer Report (12)'!$K:$Y,14,FALSE)</f>
        <v>Sardar Tanveer Ilyas</v>
      </c>
      <c r="AE1489" s="16">
        <f>VLOOKUP(E1489,'[1]Detailed Transfer Report (12)'!$K:$Y,15,FALSE)</f>
        <v>45716</v>
      </c>
    </row>
    <row r="1490" spans="1:31" x14ac:dyDescent="0.25">
      <c r="A1490" s="10">
        <v>772</v>
      </c>
      <c r="B1490" s="4">
        <v>45657</v>
      </c>
      <c r="C1490" s="3" t="s">
        <v>137</v>
      </c>
      <c r="D1490" s="3" t="s">
        <v>1754</v>
      </c>
      <c r="E1490" s="3">
        <v>142</v>
      </c>
      <c r="F1490" s="3">
        <v>1479</v>
      </c>
      <c r="G1490" s="3" t="s">
        <v>1469</v>
      </c>
      <c r="H1490" s="3">
        <v>0</v>
      </c>
      <c r="I1490" s="3">
        <v>0</v>
      </c>
      <c r="J1490" s="5">
        <v>57630</v>
      </c>
      <c r="K1490" s="3">
        <v>0</v>
      </c>
      <c r="L1490" s="3">
        <v>0</v>
      </c>
      <c r="M1490" s="3">
        <v>0</v>
      </c>
      <c r="N1490" s="5">
        <v>20210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5">
        <v>10000</v>
      </c>
      <c r="U1490" s="3">
        <v>0</v>
      </c>
      <c r="V1490" s="5">
        <v>9166</v>
      </c>
      <c r="W1490" s="3">
        <v>0</v>
      </c>
      <c r="X1490" s="5">
        <v>3000</v>
      </c>
      <c r="Y1490" s="3">
        <v>0</v>
      </c>
      <c r="Z1490" s="5">
        <v>19210</v>
      </c>
      <c r="AA1490" s="3">
        <v>0</v>
      </c>
      <c r="AB1490" s="6">
        <v>1991826</v>
      </c>
      <c r="AC1490" s="2" t="str">
        <f>VLOOKUP(E1490,'[1]Detailed Transfer Report (12)'!$K:$Y,13,FALSE)</f>
        <v>Muhammad Sabir</v>
      </c>
      <c r="AD1490" s="2" t="str">
        <f>VLOOKUP(E1490,'[1]Detailed Transfer Report (12)'!$K:$Y,14,FALSE)</f>
        <v>Sardar Tanveer Ilyas</v>
      </c>
      <c r="AE1490" s="16">
        <f>VLOOKUP(E1490,'[1]Detailed Transfer Report (12)'!$K:$Y,15,FALSE)</f>
        <v>45716</v>
      </c>
    </row>
    <row r="1491" spans="1:31" ht="34.5" x14ac:dyDescent="0.25">
      <c r="A1491" s="3">
        <v>773</v>
      </c>
      <c r="B1491" s="4">
        <v>45594</v>
      </c>
      <c r="C1491" s="3" t="s">
        <v>153</v>
      </c>
      <c r="D1491" s="3" t="s">
        <v>1755</v>
      </c>
      <c r="E1491" s="3" t="s">
        <v>1756</v>
      </c>
      <c r="F1491" s="3"/>
      <c r="G1491" s="3" t="s">
        <v>756</v>
      </c>
      <c r="H1491" s="3">
        <v>0</v>
      </c>
      <c r="I1491" s="3">
        <v>0</v>
      </c>
      <c r="J1491" s="5">
        <v>29700</v>
      </c>
      <c r="K1491" s="3">
        <v>0</v>
      </c>
      <c r="L1491" s="3">
        <v>0</v>
      </c>
      <c r="M1491" s="3">
        <v>0</v>
      </c>
      <c r="N1491" s="5">
        <v>4950</v>
      </c>
      <c r="O1491" s="3">
        <v>0</v>
      </c>
      <c r="P1491" s="3">
        <v>0</v>
      </c>
      <c r="Q1491" s="5">
        <v>5450</v>
      </c>
      <c r="R1491" s="5">
        <v>49500</v>
      </c>
      <c r="S1491" s="3">
        <v>0</v>
      </c>
      <c r="T1491" s="5">
        <v>8000</v>
      </c>
      <c r="U1491" s="3">
        <v>0</v>
      </c>
      <c r="V1491" s="5">
        <v>2250</v>
      </c>
      <c r="W1491" s="3">
        <v>0</v>
      </c>
      <c r="X1491" s="5">
        <v>1700</v>
      </c>
      <c r="Y1491" s="3">
        <v>0</v>
      </c>
      <c r="Z1491" s="5">
        <v>16000</v>
      </c>
      <c r="AA1491" s="5">
        <v>2000</v>
      </c>
      <c r="AB1491" s="6">
        <v>119550</v>
      </c>
      <c r="AE1491" s="16"/>
    </row>
    <row r="1492" spans="1:31" ht="34.5" x14ac:dyDescent="0.25">
      <c r="A1492" s="3">
        <v>774</v>
      </c>
      <c r="B1492" s="4">
        <v>45594</v>
      </c>
      <c r="C1492" s="3" t="s">
        <v>44</v>
      </c>
      <c r="D1492" s="3" t="s">
        <v>1757</v>
      </c>
      <c r="E1492" s="3" t="s">
        <v>1758</v>
      </c>
      <c r="F1492" s="3"/>
      <c r="G1492" s="3" t="s">
        <v>756</v>
      </c>
      <c r="H1492" s="3">
        <v>0</v>
      </c>
      <c r="I1492" s="3">
        <v>0</v>
      </c>
      <c r="J1492" s="5">
        <v>118500</v>
      </c>
      <c r="K1492" s="3">
        <v>0</v>
      </c>
      <c r="L1492" s="3">
        <v>0</v>
      </c>
      <c r="M1492" s="3">
        <v>0</v>
      </c>
      <c r="N1492" s="5">
        <v>19750</v>
      </c>
      <c r="O1492" s="3">
        <v>0</v>
      </c>
      <c r="P1492" s="5">
        <v>20750</v>
      </c>
      <c r="Q1492" s="3">
        <v>0</v>
      </c>
      <c r="R1492" s="5">
        <v>118500</v>
      </c>
      <c r="S1492" s="3">
        <v>0</v>
      </c>
      <c r="T1492" s="5">
        <v>8000</v>
      </c>
      <c r="U1492" s="3">
        <v>0</v>
      </c>
      <c r="V1492" s="5">
        <v>9000</v>
      </c>
      <c r="W1492" s="3">
        <v>0</v>
      </c>
      <c r="X1492" s="5">
        <v>1700</v>
      </c>
      <c r="Y1492" s="3">
        <v>0</v>
      </c>
      <c r="Z1492" s="5">
        <v>2000</v>
      </c>
      <c r="AA1492" s="5">
        <v>16000</v>
      </c>
      <c r="AB1492" s="6">
        <v>314200</v>
      </c>
      <c r="AE1492" s="16"/>
    </row>
    <row r="1493" spans="1:31" x14ac:dyDescent="0.25">
      <c r="A1493" s="7">
        <v>775</v>
      </c>
      <c r="B1493" s="4">
        <v>45632</v>
      </c>
      <c r="C1493" s="3" t="s">
        <v>1759</v>
      </c>
      <c r="D1493" s="3" t="s">
        <v>822</v>
      </c>
      <c r="E1493" s="3">
        <v>4125</v>
      </c>
      <c r="F1493" s="3">
        <v>142</v>
      </c>
      <c r="G1493" s="3" t="s">
        <v>1179</v>
      </c>
      <c r="H1493" s="3">
        <v>0</v>
      </c>
      <c r="I1493" s="5">
        <v>6000</v>
      </c>
      <c r="J1493" s="5">
        <v>18000</v>
      </c>
      <c r="K1493" s="3">
        <v>0</v>
      </c>
      <c r="L1493" s="3">
        <v>0</v>
      </c>
      <c r="M1493" s="3">
        <v>0</v>
      </c>
      <c r="N1493" s="5">
        <v>6000</v>
      </c>
      <c r="O1493" s="3">
        <v>0</v>
      </c>
      <c r="P1493" s="3">
        <v>0</v>
      </c>
      <c r="Q1493" s="3">
        <v>0</v>
      </c>
      <c r="R1493" s="5">
        <v>60000</v>
      </c>
      <c r="S1493" s="3">
        <v>0</v>
      </c>
      <c r="T1493" s="5">
        <v>1500</v>
      </c>
      <c r="U1493" s="3">
        <v>0</v>
      </c>
      <c r="V1493" s="5">
        <v>6000</v>
      </c>
      <c r="W1493" s="3">
        <v>0</v>
      </c>
      <c r="X1493" s="5">
        <v>3000</v>
      </c>
      <c r="Y1493" s="3">
        <v>0</v>
      </c>
      <c r="Z1493" s="5">
        <v>7000</v>
      </c>
      <c r="AA1493" s="5">
        <v>20000</v>
      </c>
      <c r="AB1493" s="6">
        <v>127500</v>
      </c>
      <c r="AC1493" s="2" t="str">
        <f>VLOOKUP(E1493,'[1]Detailed Transfer Report (12)'!$K:$Y,13,FALSE)</f>
        <v>Muhammad Irshad Gulzar</v>
      </c>
      <c r="AD1493" s="2" t="str">
        <f>VLOOKUP(E1493,'[1]Detailed Transfer Report (12)'!$K:$Y,14,FALSE)</f>
        <v>Sardar Tanveer Ilyas</v>
      </c>
      <c r="AE1493" s="16">
        <f>VLOOKUP(E1493,'[1]Detailed Transfer Report (12)'!$K:$Y,15,FALSE)</f>
        <v>45624</v>
      </c>
    </row>
    <row r="1494" spans="1:31" x14ac:dyDescent="0.25">
      <c r="A1494" s="9">
        <v>775</v>
      </c>
      <c r="B1494" s="4">
        <v>45608</v>
      </c>
      <c r="C1494" s="3" t="s">
        <v>68</v>
      </c>
      <c r="D1494" s="3" t="s">
        <v>1760</v>
      </c>
      <c r="E1494" s="3"/>
      <c r="F1494" s="3">
        <v>14968</v>
      </c>
      <c r="G1494" s="3" t="s">
        <v>41</v>
      </c>
      <c r="H1494" s="3">
        <v>0</v>
      </c>
      <c r="I1494" s="5">
        <v>7440</v>
      </c>
      <c r="J1494" s="5">
        <v>83700</v>
      </c>
      <c r="K1494" s="3">
        <v>0</v>
      </c>
      <c r="L1494" s="3">
        <v>1</v>
      </c>
      <c r="M1494" s="3">
        <v>0</v>
      </c>
      <c r="N1494" s="5">
        <v>28900</v>
      </c>
      <c r="O1494" s="3">
        <v>0</v>
      </c>
      <c r="P1494" s="3">
        <v>0</v>
      </c>
      <c r="Q1494" s="3">
        <v>0</v>
      </c>
      <c r="R1494" s="5">
        <v>167400</v>
      </c>
      <c r="S1494" s="3">
        <v>0</v>
      </c>
      <c r="T1494" s="5">
        <v>6000</v>
      </c>
      <c r="U1494" s="3">
        <v>0</v>
      </c>
      <c r="V1494" s="5">
        <v>1500</v>
      </c>
      <c r="W1494" s="3">
        <v>0</v>
      </c>
      <c r="X1494" s="5">
        <v>3000</v>
      </c>
      <c r="Y1494" s="3">
        <v>0</v>
      </c>
      <c r="Z1494" s="5">
        <v>27900</v>
      </c>
      <c r="AA1494" s="5">
        <v>28000</v>
      </c>
      <c r="AB1494" s="6">
        <v>481341</v>
      </c>
      <c r="AC1494" s="2" t="str">
        <f>VLOOKUP(F1494,'[1]Detailed Transfer Report (12)'!$L:$Y,12,FALSE)</f>
        <v>Qamar Rehman</v>
      </c>
      <c r="AD1494" s="2" t="str">
        <f>VLOOKUP(F1494,'[1]Detailed Transfer Report (12)'!$L:$Y,13,FALSE)</f>
        <v>Sardar Tanveer Ilyas</v>
      </c>
      <c r="AE1494" s="16">
        <f>VLOOKUP(F1494,'[1]Detailed Transfer Report (12)'!$L:$Y,14,FALSE)</f>
        <v>45630</v>
      </c>
    </row>
    <row r="1495" spans="1:31" x14ac:dyDescent="0.25">
      <c r="A1495" s="9">
        <v>775</v>
      </c>
      <c r="B1495" s="4">
        <v>45632</v>
      </c>
      <c r="C1495" s="3" t="s">
        <v>700</v>
      </c>
      <c r="D1495" s="3" t="s">
        <v>1761</v>
      </c>
      <c r="E1495" s="3">
        <v>4118</v>
      </c>
      <c r="F1495" s="3">
        <v>15062</v>
      </c>
      <c r="G1495" s="3" t="s">
        <v>1179</v>
      </c>
      <c r="H1495" s="3">
        <v>0</v>
      </c>
      <c r="I1495" s="5">
        <v>15600</v>
      </c>
      <c r="J1495" s="5">
        <v>46800</v>
      </c>
      <c r="K1495" s="3">
        <v>0</v>
      </c>
      <c r="L1495" s="3">
        <v>1</v>
      </c>
      <c r="M1495" s="3">
        <v>0</v>
      </c>
      <c r="N1495" s="5">
        <v>15600</v>
      </c>
      <c r="O1495" s="3">
        <v>0</v>
      </c>
      <c r="P1495" s="3">
        <v>0</v>
      </c>
      <c r="Q1495" s="3">
        <v>0</v>
      </c>
      <c r="R1495" s="5">
        <v>93600</v>
      </c>
      <c r="S1495" s="3">
        <v>0</v>
      </c>
      <c r="T1495" s="5">
        <v>1500</v>
      </c>
      <c r="U1495" s="3">
        <v>0</v>
      </c>
      <c r="V1495" s="5">
        <v>6000</v>
      </c>
      <c r="W1495" s="3">
        <v>0</v>
      </c>
      <c r="X1495" s="5">
        <v>3000</v>
      </c>
      <c r="Y1495" s="3">
        <v>0</v>
      </c>
      <c r="Z1495" s="5">
        <v>16600</v>
      </c>
      <c r="AA1495" s="5">
        <v>25000</v>
      </c>
      <c r="AB1495" s="6">
        <v>705042</v>
      </c>
      <c r="AC1495" s="2" t="str">
        <f>VLOOKUP(E1495,'[1]Detailed Transfer Report (12)'!$K:$Y,13,FALSE)</f>
        <v>Altaf Ahmed Gondal</v>
      </c>
      <c r="AD1495" s="2" t="str">
        <f>VLOOKUP(E1495,'[1]Detailed Transfer Report (12)'!$K:$Y,14,FALSE)</f>
        <v>Sardar Tanveer Ilyas</v>
      </c>
      <c r="AE1495" s="16">
        <f>VLOOKUP(E1495,'[1]Detailed Transfer Report (12)'!$K:$Y,15,FALSE)</f>
        <v>45632</v>
      </c>
    </row>
    <row r="1496" spans="1:31" x14ac:dyDescent="0.25">
      <c r="A1496" s="9">
        <v>775</v>
      </c>
      <c r="B1496" s="4">
        <v>45615</v>
      </c>
      <c r="C1496" s="3" t="s">
        <v>44</v>
      </c>
      <c r="D1496" s="3" t="s">
        <v>1762</v>
      </c>
      <c r="E1496" s="3">
        <v>5990</v>
      </c>
      <c r="F1496" s="3">
        <v>9359</v>
      </c>
      <c r="G1496" s="3" t="s">
        <v>756</v>
      </c>
      <c r="H1496" s="3">
        <v>0</v>
      </c>
      <c r="I1496" s="3">
        <v>0</v>
      </c>
      <c r="J1496" s="5">
        <v>60000</v>
      </c>
      <c r="K1496" s="3">
        <v>0</v>
      </c>
      <c r="L1496" s="3">
        <v>1</v>
      </c>
      <c r="M1496" s="3">
        <v>0</v>
      </c>
      <c r="N1496" s="5">
        <v>21000</v>
      </c>
      <c r="O1496" s="3">
        <v>0</v>
      </c>
      <c r="P1496" s="3">
        <v>0</v>
      </c>
      <c r="Q1496" s="3">
        <v>0</v>
      </c>
      <c r="R1496" s="5">
        <v>220000</v>
      </c>
      <c r="S1496" s="3">
        <v>0</v>
      </c>
      <c r="T1496" s="5">
        <v>6000</v>
      </c>
      <c r="U1496" s="3">
        <v>0</v>
      </c>
      <c r="V1496" s="5">
        <v>1500</v>
      </c>
      <c r="W1496" s="3">
        <v>0</v>
      </c>
      <c r="X1496" s="5">
        <v>3000</v>
      </c>
      <c r="Y1496" s="3">
        <v>0</v>
      </c>
      <c r="Z1496" s="5">
        <v>21000</v>
      </c>
      <c r="AA1496" s="5">
        <v>25000</v>
      </c>
      <c r="AB1496" s="6">
        <v>1062543</v>
      </c>
      <c r="AC1496" s="2" t="str">
        <f>VLOOKUP(E1496,'[1]Detailed Transfer Report (12)'!$K:$Y,13,FALSE)</f>
        <v>Baber Iqbal</v>
      </c>
      <c r="AD1496" s="2" t="str">
        <f>VLOOKUP(E1496,'[1]Detailed Transfer Report (12)'!$K:$Y,14,FALSE)</f>
        <v>Sardar Tanveer Ilyas</v>
      </c>
      <c r="AE1496" s="16">
        <f>VLOOKUP(E1496,'[1]Detailed Transfer Report (12)'!$K:$Y,15,FALSE)</f>
        <v>45649</v>
      </c>
    </row>
    <row r="1497" spans="1:31" x14ac:dyDescent="0.25">
      <c r="A1497" s="9">
        <v>775</v>
      </c>
      <c r="B1497" s="4">
        <v>45632</v>
      </c>
      <c r="C1497" s="3" t="s">
        <v>153</v>
      </c>
      <c r="D1497" s="3" t="s">
        <v>1763</v>
      </c>
      <c r="E1497" s="3">
        <v>4123</v>
      </c>
      <c r="F1497" s="3">
        <v>16009</v>
      </c>
      <c r="G1497" s="3" t="s">
        <v>1179</v>
      </c>
      <c r="H1497" s="3">
        <v>0</v>
      </c>
      <c r="I1497" s="5">
        <v>7800</v>
      </c>
      <c r="J1497" s="5">
        <v>23700</v>
      </c>
      <c r="K1497" s="3">
        <v>0</v>
      </c>
      <c r="L1497" s="3">
        <v>1</v>
      </c>
      <c r="M1497" s="3">
        <v>0</v>
      </c>
      <c r="N1497" s="5">
        <v>7800</v>
      </c>
      <c r="O1497" s="3">
        <v>0</v>
      </c>
      <c r="P1497" s="3">
        <v>0</v>
      </c>
      <c r="Q1497" s="3">
        <v>0</v>
      </c>
      <c r="R1497" s="5">
        <v>78000</v>
      </c>
      <c r="S1497" s="3">
        <v>0</v>
      </c>
      <c r="T1497" s="5">
        <v>1500</v>
      </c>
      <c r="U1497" s="3">
        <v>0</v>
      </c>
      <c r="V1497" s="5">
        <v>6000</v>
      </c>
      <c r="W1497" s="3">
        <v>0</v>
      </c>
      <c r="X1497" s="5">
        <v>3000</v>
      </c>
      <c r="Y1497" s="3">
        <v>0</v>
      </c>
      <c r="Z1497" s="5">
        <v>8800</v>
      </c>
      <c r="AA1497" s="5">
        <v>20000</v>
      </c>
      <c r="AB1497" s="6">
        <v>1219144</v>
      </c>
      <c r="AC1497" s="2" t="str">
        <f>VLOOKUP(E1497,'[1]Detailed Transfer Report (12)'!$K:$Y,13,FALSE)</f>
        <v>Abdul Hafeez</v>
      </c>
      <c r="AD1497" s="2" t="str">
        <f>VLOOKUP(E1497,'[1]Detailed Transfer Report (12)'!$K:$Y,14,FALSE)</f>
        <v>Sardar Tanveer Ilyas</v>
      </c>
      <c r="AE1497" s="16">
        <f>VLOOKUP(E1497,'[1]Detailed Transfer Report (12)'!$K:$Y,15,FALSE)</f>
        <v>45649</v>
      </c>
    </row>
    <row r="1498" spans="1:31" x14ac:dyDescent="0.25">
      <c r="A1498" s="9">
        <v>775</v>
      </c>
      <c r="B1498" s="4">
        <v>45645</v>
      </c>
      <c r="C1498" s="3" t="s">
        <v>153</v>
      </c>
      <c r="D1498" s="3" t="s">
        <v>822</v>
      </c>
      <c r="E1498" s="3"/>
      <c r="F1498" s="3">
        <v>11956011</v>
      </c>
      <c r="G1498" s="3" t="s">
        <v>756</v>
      </c>
      <c r="H1498" s="3">
        <v>0</v>
      </c>
      <c r="I1498" s="5">
        <v>5000</v>
      </c>
      <c r="J1498" s="5">
        <v>15000</v>
      </c>
      <c r="K1498" s="3">
        <v>0</v>
      </c>
      <c r="L1498" s="3">
        <v>0</v>
      </c>
      <c r="M1498" s="3">
        <v>0</v>
      </c>
      <c r="N1498" s="5">
        <v>5000</v>
      </c>
      <c r="O1498" s="3">
        <v>0</v>
      </c>
      <c r="P1498" s="3">
        <v>0</v>
      </c>
      <c r="Q1498" s="3">
        <v>0</v>
      </c>
      <c r="R1498" s="5">
        <v>15000</v>
      </c>
      <c r="S1498" s="3">
        <v>0</v>
      </c>
      <c r="T1498" s="5">
        <v>6000</v>
      </c>
      <c r="U1498" s="3">
        <v>0</v>
      </c>
      <c r="V1498" s="5">
        <v>1500</v>
      </c>
      <c r="W1498" s="3">
        <v>0</v>
      </c>
      <c r="X1498" s="5">
        <v>3000</v>
      </c>
      <c r="Y1498" s="3">
        <v>0</v>
      </c>
      <c r="Z1498" s="5">
        <v>6000</v>
      </c>
      <c r="AA1498" s="5">
        <v>20000</v>
      </c>
      <c r="AB1498" s="6">
        <v>1295644</v>
      </c>
      <c r="AE1498" s="16"/>
    </row>
    <row r="1499" spans="1:31" x14ac:dyDescent="0.25">
      <c r="A1499" s="9">
        <v>775</v>
      </c>
      <c r="B1499" s="4">
        <v>45645</v>
      </c>
      <c r="C1499" s="3" t="s">
        <v>278</v>
      </c>
      <c r="D1499" s="3" t="s">
        <v>822</v>
      </c>
      <c r="E1499" s="3"/>
      <c r="F1499" s="3">
        <v>11958657</v>
      </c>
      <c r="G1499" s="3" t="s">
        <v>756</v>
      </c>
      <c r="H1499" s="3">
        <v>0</v>
      </c>
      <c r="I1499" s="5">
        <v>49340</v>
      </c>
      <c r="J1499" s="5">
        <v>148020</v>
      </c>
      <c r="K1499" s="3">
        <v>0</v>
      </c>
      <c r="L1499" s="3">
        <v>0</v>
      </c>
      <c r="M1499" s="3">
        <v>0</v>
      </c>
      <c r="N1499" s="5">
        <v>49340</v>
      </c>
      <c r="O1499" s="3">
        <v>0</v>
      </c>
      <c r="P1499" s="3">
        <v>0</v>
      </c>
      <c r="Q1499" s="3">
        <v>0</v>
      </c>
      <c r="R1499" s="5">
        <v>296040</v>
      </c>
      <c r="S1499" s="3">
        <v>0</v>
      </c>
      <c r="T1499" s="5">
        <v>6000</v>
      </c>
      <c r="U1499" s="3">
        <v>0</v>
      </c>
      <c r="V1499" s="5">
        <v>1500</v>
      </c>
      <c r="W1499" s="3">
        <v>0</v>
      </c>
      <c r="X1499" s="5">
        <v>4934</v>
      </c>
      <c r="Y1499" s="3">
        <v>0</v>
      </c>
      <c r="Z1499" s="5">
        <v>50340</v>
      </c>
      <c r="AA1499" s="5">
        <v>50000</v>
      </c>
      <c r="AB1499" s="6">
        <v>1951158</v>
      </c>
      <c r="AE1499" s="16"/>
    </row>
    <row r="1500" spans="1:31" x14ac:dyDescent="0.25">
      <c r="A1500" s="9">
        <v>775</v>
      </c>
      <c r="B1500" s="4">
        <v>45645</v>
      </c>
      <c r="C1500" s="3" t="s">
        <v>44</v>
      </c>
      <c r="D1500" s="3" t="s">
        <v>822</v>
      </c>
      <c r="E1500" s="3"/>
      <c r="F1500" s="3">
        <v>11958649</v>
      </c>
      <c r="G1500" s="3" t="s">
        <v>756</v>
      </c>
      <c r="H1500" s="3">
        <v>0</v>
      </c>
      <c r="I1500" s="5">
        <v>20000</v>
      </c>
      <c r="J1500" s="5">
        <v>60000</v>
      </c>
      <c r="K1500" s="3">
        <v>0</v>
      </c>
      <c r="L1500" s="3">
        <v>0</v>
      </c>
      <c r="M1500" s="3">
        <v>0</v>
      </c>
      <c r="N1500" s="5">
        <v>20000</v>
      </c>
      <c r="O1500" s="3">
        <v>0</v>
      </c>
      <c r="P1500" s="3">
        <v>0</v>
      </c>
      <c r="Q1500" s="3">
        <v>0</v>
      </c>
      <c r="R1500" s="5">
        <v>200000</v>
      </c>
      <c r="S1500" s="3">
        <v>0</v>
      </c>
      <c r="T1500" s="5">
        <v>6000</v>
      </c>
      <c r="U1500" s="3">
        <v>0</v>
      </c>
      <c r="V1500" s="5">
        <v>1500</v>
      </c>
      <c r="W1500" s="3">
        <v>0</v>
      </c>
      <c r="X1500" s="5">
        <v>3000</v>
      </c>
      <c r="Y1500" s="3">
        <v>0</v>
      </c>
      <c r="Z1500" s="5">
        <v>21000</v>
      </c>
      <c r="AA1500" s="5">
        <v>28000</v>
      </c>
      <c r="AB1500" s="6">
        <v>2310658</v>
      </c>
      <c r="AE1500" s="16"/>
    </row>
    <row r="1501" spans="1:31" x14ac:dyDescent="0.25">
      <c r="A1501" s="9">
        <v>775</v>
      </c>
      <c r="B1501" s="4">
        <v>45646</v>
      </c>
      <c r="C1501" s="3" t="s">
        <v>153</v>
      </c>
      <c r="D1501" s="3" t="s">
        <v>1739</v>
      </c>
      <c r="E1501" s="3"/>
      <c r="F1501" s="3">
        <v>9475</v>
      </c>
      <c r="G1501" s="3" t="s">
        <v>756</v>
      </c>
      <c r="H1501" s="3">
        <v>0</v>
      </c>
      <c r="I1501" s="5">
        <v>5000</v>
      </c>
      <c r="J1501" s="5">
        <v>15000</v>
      </c>
      <c r="K1501" s="3">
        <v>0</v>
      </c>
      <c r="L1501" s="3">
        <v>1</v>
      </c>
      <c r="M1501" s="3">
        <v>0</v>
      </c>
      <c r="N1501" s="5">
        <v>5000</v>
      </c>
      <c r="O1501" s="3">
        <v>0</v>
      </c>
      <c r="P1501" s="3">
        <v>0</v>
      </c>
      <c r="Q1501" s="3">
        <v>0</v>
      </c>
      <c r="R1501" s="5">
        <v>15000</v>
      </c>
      <c r="S1501" s="3">
        <v>0</v>
      </c>
      <c r="T1501" s="5">
        <v>6000</v>
      </c>
      <c r="U1501" s="3">
        <v>0</v>
      </c>
      <c r="V1501" s="5">
        <v>1500</v>
      </c>
      <c r="W1501" s="3">
        <v>0</v>
      </c>
      <c r="X1501" s="5">
        <v>3000</v>
      </c>
      <c r="Y1501" s="3">
        <v>0</v>
      </c>
      <c r="Z1501" s="5">
        <v>6000</v>
      </c>
      <c r="AA1501" s="5">
        <v>20000</v>
      </c>
      <c r="AB1501" s="6">
        <v>2387159</v>
      </c>
      <c r="AC1501" s="2" t="str">
        <f>VLOOKUP(F1501,'[1]Detailed Transfer Report (12)'!$L:$Y,12,FALSE)</f>
        <v>Raja Noman</v>
      </c>
      <c r="AD1501" s="2" t="str">
        <f>VLOOKUP(F1501,'[1]Detailed Transfer Report (12)'!$L:$Y,13,FALSE)</f>
        <v>Sardar Tanveer Ilyas</v>
      </c>
      <c r="AE1501" s="16">
        <f>VLOOKUP(F1501,'[1]Detailed Transfer Report (12)'!$L:$Y,14,FALSE)</f>
        <v>45639</v>
      </c>
    </row>
    <row r="1502" spans="1:31" x14ac:dyDescent="0.25">
      <c r="A1502" s="9">
        <v>775</v>
      </c>
      <c r="B1502" s="4">
        <v>45646</v>
      </c>
      <c r="C1502" s="3" t="s">
        <v>44</v>
      </c>
      <c r="D1502" s="3" t="s">
        <v>1760</v>
      </c>
      <c r="E1502" s="3">
        <v>5989</v>
      </c>
      <c r="F1502" s="3">
        <v>9571</v>
      </c>
      <c r="G1502" s="3" t="s">
        <v>756</v>
      </c>
      <c r="H1502" s="3">
        <v>0</v>
      </c>
      <c r="I1502" s="5">
        <v>20000</v>
      </c>
      <c r="J1502" s="5">
        <v>60000</v>
      </c>
      <c r="K1502" s="3">
        <v>0</v>
      </c>
      <c r="L1502" s="3">
        <v>1</v>
      </c>
      <c r="M1502" s="3">
        <v>0</v>
      </c>
      <c r="N1502" s="5">
        <v>20000</v>
      </c>
      <c r="O1502" s="3">
        <v>0</v>
      </c>
      <c r="P1502" s="3">
        <v>0</v>
      </c>
      <c r="Q1502" s="3">
        <v>0</v>
      </c>
      <c r="R1502" s="5">
        <v>200000</v>
      </c>
      <c r="S1502" s="3">
        <v>0</v>
      </c>
      <c r="T1502" s="5">
        <v>6000</v>
      </c>
      <c r="U1502" s="3">
        <v>0</v>
      </c>
      <c r="V1502" s="5">
        <v>1500</v>
      </c>
      <c r="W1502" s="3">
        <v>0</v>
      </c>
      <c r="X1502" s="5">
        <v>3000</v>
      </c>
      <c r="Y1502" s="3">
        <v>0</v>
      </c>
      <c r="Z1502" s="5">
        <v>21000</v>
      </c>
      <c r="AA1502" s="5">
        <v>28000</v>
      </c>
      <c r="AB1502" s="6">
        <v>2746660</v>
      </c>
      <c r="AC1502" s="2" t="str">
        <f>VLOOKUP(E1502,'[1]Detailed Transfer Report (12)'!$K:$Y,13,FALSE)</f>
        <v>Muhammad Amjad</v>
      </c>
      <c r="AD1502" s="2" t="str">
        <f>VLOOKUP(E1502,'[1]Detailed Transfer Report (12)'!$K:$Y,14,FALSE)</f>
        <v>Sardar Tanveer Ilyas</v>
      </c>
      <c r="AE1502" s="16">
        <f>VLOOKUP(E1502,'[1]Detailed Transfer Report (12)'!$K:$Y,15,FALSE)</f>
        <v>45644</v>
      </c>
    </row>
    <row r="1503" spans="1:31" x14ac:dyDescent="0.25">
      <c r="A1503" s="9">
        <v>775</v>
      </c>
      <c r="B1503" s="4">
        <v>45646</v>
      </c>
      <c r="C1503" s="3" t="s">
        <v>278</v>
      </c>
      <c r="D1503" s="3" t="s">
        <v>1760</v>
      </c>
      <c r="E1503" s="3">
        <v>5992</v>
      </c>
      <c r="F1503" s="3">
        <v>9572</v>
      </c>
      <c r="G1503" s="3" t="s">
        <v>756</v>
      </c>
      <c r="H1503" s="3">
        <v>0</v>
      </c>
      <c r="I1503" s="5">
        <v>49340</v>
      </c>
      <c r="J1503" s="5">
        <v>148020</v>
      </c>
      <c r="K1503" s="3">
        <v>0</v>
      </c>
      <c r="L1503" s="3">
        <v>1</v>
      </c>
      <c r="M1503" s="3">
        <v>0</v>
      </c>
      <c r="N1503" s="5">
        <v>49340</v>
      </c>
      <c r="O1503" s="3">
        <v>0</v>
      </c>
      <c r="P1503" s="3">
        <v>0</v>
      </c>
      <c r="Q1503" s="3">
        <v>0</v>
      </c>
      <c r="R1503" s="5">
        <v>296040</v>
      </c>
      <c r="S1503" s="3">
        <v>0</v>
      </c>
      <c r="T1503" s="5">
        <v>6000</v>
      </c>
      <c r="U1503" s="3">
        <v>0</v>
      </c>
      <c r="V1503" s="5">
        <v>1500</v>
      </c>
      <c r="W1503" s="3">
        <v>0</v>
      </c>
      <c r="X1503" s="5">
        <v>4934</v>
      </c>
      <c r="Y1503" s="3">
        <v>0</v>
      </c>
      <c r="Z1503" s="5">
        <v>50340</v>
      </c>
      <c r="AA1503" s="5">
        <v>50000</v>
      </c>
      <c r="AB1503" s="6">
        <v>3402175</v>
      </c>
      <c r="AC1503" s="2" t="str">
        <f>VLOOKUP(E1503,'[1]Detailed Transfer Report (12)'!$K:$Y,13,FALSE)</f>
        <v>Muhammad Bashir</v>
      </c>
      <c r="AD1503" s="2" t="str">
        <f>VLOOKUP(E1503,'[1]Detailed Transfer Report (12)'!$K:$Y,14,FALSE)</f>
        <v>Sardar Tanveer Ilyas</v>
      </c>
      <c r="AE1503" s="16">
        <f>VLOOKUP(E1503,'[1]Detailed Transfer Report (12)'!$K:$Y,15,FALSE)</f>
        <v>45644</v>
      </c>
    </row>
    <row r="1504" spans="1:31" x14ac:dyDescent="0.25">
      <c r="A1504" s="9">
        <v>775</v>
      </c>
      <c r="B1504" s="4">
        <v>45674</v>
      </c>
      <c r="C1504" s="3" t="s">
        <v>1764</v>
      </c>
      <c r="D1504" s="3" t="s">
        <v>1763</v>
      </c>
      <c r="E1504" s="3">
        <v>4138</v>
      </c>
      <c r="F1504" s="3">
        <v>978</v>
      </c>
      <c r="G1504" s="3" t="s">
        <v>1179</v>
      </c>
      <c r="H1504" s="3">
        <v>0</v>
      </c>
      <c r="I1504" s="5">
        <v>46800</v>
      </c>
      <c r="J1504" s="5">
        <v>140400</v>
      </c>
      <c r="K1504" s="3">
        <v>0</v>
      </c>
      <c r="L1504" s="3">
        <v>1</v>
      </c>
      <c r="M1504" s="3">
        <v>0</v>
      </c>
      <c r="N1504" s="5">
        <v>46800</v>
      </c>
      <c r="O1504" s="3">
        <v>0</v>
      </c>
      <c r="P1504" s="3">
        <v>0</v>
      </c>
      <c r="Q1504" s="3">
        <v>0</v>
      </c>
      <c r="R1504" s="5">
        <v>280800</v>
      </c>
      <c r="S1504" s="3">
        <v>0</v>
      </c>
      <c r="T1504" s="5">
        <v>1500</v>
      </c>
      <c r="U1504" s="3">
        <v>0</v>
      </c>
      <c r="V1504" s="5">
        <v>6000</v>
      </c>
      <c r="W1504" s="3">
        <v>0</v>
      </c>
      <c r="X1504" s="5">
        <v>4680</v>
      </c>
      <c r="Y1504" s="3">
        <v>0</v>
      </c>
      <c r="Z1504" s="5">
        <v>47800</v>
      </c>
      <c r="AA1504" s="5">
        <v>35000</v>
      </c>
      <c r="AB1504" s="6">
        <v>4011956</v>
      </c>
      <c r="AC1504" s="2" t="str">
        <f>VLOOKUP(E1504,'[1]Detailed Transfer Report (12)'!$K:$Y,13,FALSE)</f>
        <v>Rubina Kousar</v>
      </c>
      <c r="AD1504" s="2" t="str">
        <f>VLOOKUP(E1504,'[1]Detailed Transfer Report (12)'!$K:$Y,14,FALSE)</f>
        <v>Sardar Tanveer Ilyas</v>
      </c>
      <c r="AE1504" s="16">
        <f>VLOOKUP(E1504,'[1]Detailed Transfer Report (12)'!$K:$Y,15,FALSE)</f>
        <v>45649</v>
      </c>
    </row>
    <row r="1505" spans="1:31" x14ac:dyDescent="0.25">
      <c r="A1505" s="9">
        <v>775</v>
      </c>
      <c r="B1505" s="4">
        <v>45674</v>
      </c>
      <c r="C1505" s="3" t="s">
        <v>114</v>
      </c>
      <c r="D1505" s="3" t="s">
        <v>1763</v>
      </c>
      <c r="E1505" s="3">
        <v>4126</v>
      </c>
      <c r="F1505" s="3">
        <v>260</v>
      </c>
      <c r="G1505" s="3" t="s">
        <v>1179</v>
      </c>
      <c r="H1505" s="3">
        <v>0</v>
      </c>
      <c r="I1505" s="5">
        <v>6240</v>
      </c>
      <c r="J1505" s="5">
        <v>18720</v>
      </c>
      <c r="K1505" s="3">
        <v>0</v>
      </c>
      <c r="L1505" s="3">
        <v>1</v>
      </c>
      <c r="M1505" s="3">
        <v>0</v>
      </c>
      <c r="N1505" s="5">
        <v>6340</v>
      </c>
      <c r="O1505" s="3">
        <v>0</v>
      </c>
      <c r="P1505" s="3">
        <v>0</v>
      </c>
      <c r="Q1505" s="3">
        <v>0</v>
      </c>
      <c r="R1505" s="5">
        <v>62400</v>
      </c>
      <c r="S1505" s="3">
        <v>0</v>
      </c>
      <c r="T1505" s="5">
        <v>1500</v>
      </c>
      <c r="U1505" s="3">
        <v>0</v>
      </c>
      <c r="V1505" s="5">
        <v>6000</v>
      </c>
      <c r="W1505" s="3">
        <v>0</v>
      </c>
      <c r="X1505" s="5">
        <v>3000</v>
      </c>
      <c r="Y1505" s="3">
        <v>0</v>
      </c>
      <c r="Z1505" s="5">
        <v>6240</v>
      </c>
      <c r="AA1505" s="5">
        <v>20000</v>
      </c>
      <c r="AB1505" s="6">
        <v>4142397</v>
      </c>
      <c r="AC1505" s="2" t="str">
        <f>VLOOKUP(E1505,'[1]Detailed Transfer Report (12)'!$K:$Y,13,FALSE)</f>
        <v>Muhammad Bilal</v>
      </c>
      <c r="AD1505" s="2" t="str">
        <f>VLOOKUP(E1505,'[1]Detailed Transfer Report (12)'!$K:$Y,14,FALSE)</f>
        <v>Sardar Tanveer Ilyas</v>
      </c>
      <c r="AE1505" s="16">
        <f>VLOOKUP(E1505,'[1]Detailed Transfer Report (12)'!$K:$Y,15,FALSE)</f>
        <v>45638</v>
      </c>
    </row>
    <row r="1506" spans="1:31" x14ac:dyDescent="0.25">
      <c r="A1506" s="9">
        <v>775</v>
      </c>
      <c r="B1506" s="4">
        <v>45674</v>
      </c>
      <c r="C1506" s="3" t="s">
        <v>1765</v>
      </c>
      <c r="D1506" s="3" t="s">
        <v>1761</v>
      </c>
      <c r="E1506" s="3">
        <v>6105</v>
      </c>
      <c r="F1506" s="3">
        <v>609</v>
      </c>
      <c r="G1506" s="3" t="s">
        <v>756</v>
      </c>
      <c r="H1506" s="3">
        <v>0</v>
      </c>
      <c r="I1506" s="5">
        <v>25600</v>
      </c>
      <c r="J1506" s="5">
        <v>76800</v>
      </c>
      <c r="K1506" s="3">
        <v>0</v>
      </c>
      <c r="L1506" s="3">
        <v>1</v>
      </c>
      <c r="M1506" s="3">
        <v>0</v>
      </c>
      <c r="N1506" s="5">
        <v>25600</v>
      </c>
      <c r="O1506" s="3">
        <v>0</v>
      </c>
      <c r="P1506" s="3">
        <v>0</v>
      </c>
      <c r="Q1506" s="3">
        <v>0</v>
      </c>
      <c r="R1506" s="5">
        <v>153600</v>
      </c>
      <c r="S1506" s="3">
        <v>0</v>
      </c>
      <c r="T1506" s="5">
        <v>1500</v>
      </c>
      <c r="U1506" s="3">
        <v>0</v>
      </c>
      <c r="V1506" s="5">
        <v>6000</v>
      </c>
      <c r="W1506" s="3">
        <v>0</v>
      </c>
      <c r="X1506" s="5">
        <v>3000</v>
      </c>
      <c r="Y1506" s="3">
        <v>0</v>
      </c>
      <c r="Z1506" s="5">
        <v>26600</v>
      </c>
      <c r="AA1506" s="5">
        <v>40000</v>
      </c>
      <c r="AB1506" s="6">
        <v>4501098</v>
      </c>
      <c r="AC1506" s="2" t="str">
        <f>VLOOKUP(E1506,'[1]Detailed Transfer Report (12)'!$K:$Y,13,FALSE)</f>
        <v>Rasheeda Bibi</v>
      </c>
      <c r="AD1506" s="2" t="str">
        <f>VLOOKUP(E1506,'[1]Detailed Transfer Report (12)'!$K:$Y,14,FALSE)</f>
        <v>Sardar Tanveer Ilyas</v>
      </c>
      <c r="AE1506" s="16">
        <f>VLOOKUP(E1506,'[1]Detailed Transfer Report (12)'!$K:$Y,15,FALSE)</f>
        <v>45665</v>
      </c>
    </row>
    <row r="1507" spans="1:31" x14ac:dyDescent="0.25">
      <c r="A1507" s="9">
        <v>775</v>
      </c>
      <c r="B1507" s="4">
        <v>45716</v>
      </c>
      <c r="C1507" s="3" t="s">
        <v>44</v>
      </c>
      <c r="D1507" s="3" t="s">
        <v>1740</v>
      </c>
      <c r="E1507" s="3">
        <v>6108</v>
      </c>
      <c r="F1507" s="3">
        <v>2811</v>
      </c>
      <c r="G1507" s="3" t="s">
        <v>756</v>
      </c>
      <c r="H1507" s="3">
        <v>0</v>
      </c>
      <c r="I1507" s="5">
        <v>20000</v>
      </c>
      <c r="J1507" s="5">
        <v>60000</v>
      </c>
      <c r="K1507" s="3">
        <v>0</v>
      </c>
      <c r="L1507" s="3">
        <v>0</v>
      </c>
      <c r="M1507" s="3">
        <v>0</v>
      </c>
      <c r="N1507" s="5">
        <v>20000</v>
      </c>
      <c r="O1507" s="3">
        <v>0</v>
      </c>
      <c r="P1507" s="3">
        <v>0</v>
      </c>
      <c r="Q1507" s="3">
        <v>0</v>
      </c>
      <c r="R1507" s="5">
        <v>200000</v>
      </c>
      <c r="S1507" s="3">
        <v>0</v>
      </c>
      <c r="T1507" s="5">
        <v>1500</v>
      </c>
      <c r="U1507" s="3">
        <v>0</v>
      </c>
      <c r="V1507" s="5">
        <v>6000</v>
      </c>
      <c r="W1507" s="3">
        <v>0</v>
      </c>
      <c r="X1507" s="5">
        <v>3000</v>
      </c>
      <c r="Y1507" s="3">
        <v>0</v>
      </c>
      <c r="Z1507" s="5">
        <v>21000</v>
      </c>
      <c r="AA1507" s="5">
        <v>28000</v>
      </c>
      <c r="AB1507" s="6">
        <v>4860598</v>
      </c>
      <c r="AC1507" s="2" t="str">
        <f>VLOOKUP(E1507,'[1]Detailed Transfer Report (12)'!$K:$Y,13,FALSE)</f>
        <v>Yasmeen</v>
      </c>
      <c r="AD1507" s="2" t="str">
        <f>VLOOKUP(E1507,'[1]Detailed Transfer Report (12)'!$K:$Y,14,FALSE)</f>
        <v>Sardar Tanveer Ilyas</v>
      </c>
      <c r="AE1507" s="16">
        <f>VLOOKUP(E1507,'[1]Detailed Transfer Report (12)'!$K:$Y,15,FALSE)</f>
        <v>45687</v>
      </c>
    </row>
    <row r="1508" spans="1:31" x14ac:dyDescent="0.25">
      <c r="A1508" s="9">
        <v>775</v>
      </c>
      <c r="B1508" s="4">
        <v>45791</v>
      </c>
      <c r="C1508" s="3" t="s">
        <v>137</v>
      </c>
      <c r="D1508" s="3" t="s">
        <v>1766</v>
      </c>
      <c r="E1508" s="3">
        <v>6098</v>
      </c>
      <c r="F1508" s="3">
        <v>2724</v>
      </c>
      <c r="G1508" s="3" t="s">
        <v>756</v>
      </c>
      <c r="H1508" s="3">
        <v>0</v>
      </c>
      <c r="I1508" s="5">
        <v>10000</v>
      </c>
      <c r="J1508" s="5">
        <v>30000</v>
      </c>
      <c r="K1508" s="3">
        <v>0</v>
      </c>
      <c r="L1508" s="3">
        <v>1</v>
      </c>
      <c r="M1508" s="3">
        <v>0</v>
      </c>
      <c r="N1508" s="5">
        <v>10000</v>
      </c>
      <c r="O1508" s="3">
        <v>0</v>
      </c>
      <c r="P1508" s="3">
        <v>0</v>
      </c>
      <c r="Q1508" s="3">
        <v>0</v>
      </c>
      <c r="R1508" s="5">
        <v>30000</v>
      </c>
      <c r="S1508" s="3">
        <v>0</v>
      </c>
      <c r="T1508" s="5">
        <v>1500</v>
      </c>
      <c r="U1508" s="3">
        <v>0</v>
      </c>
      <c r="V1508" s="5">
        <v>6000</v>
      </c>
      <c r="W1508" s="3">
        <v>0</v>
      </c>
      <c r="X1508" s="5">
        <v>3000</v>
      </c>
      <c r="Y1508" s="3">
        <v>0</v>
      </c>
      <c r="Z1508" s="5">
        <v>11000</v>
      </c>
      <c r="AA1508" s="5">
        <v>25000</v>
      </c>
      <c r="AB1508" s="6">
        <v>4987099</v>
      </c>
      <c r="AC1508" s="2" t="str">
        <f>VLOOKUP(E1508,'[1]Detailed Transfer Report (12)'!$K:$Y,13,FALSE)</f>
        <v>Manzoor Khan</v>
      </c>
      <c r="AD1508" s="2" t="str">
        <f>VLOOKUP(E1508,'[1]Detailed Transfer Report (12)'!$K:$Y,14,FALSE)</f>
        <v>Sardar Tanveer Ilyas</v>
      </c>
      <c r="AE1508" s="16">
        <f>VLOOKUP(E1508,'[1]Detailed Transfer Report (12)'!$K:$Y,15,FALSE)</f>
        <v>45720</v>
      </c>
    </row>
    <row r="1509" spans="1:31" x14ac:dyDescent="0.25">
      <c r="A1509" s="9">
        <v>775</v>
      </c>
      <c r="B1509" s="4">
        <v>45791</v>
      </c>
      <c r="C1509" s="3" t="s">
        <v>46</v>
      </c>
      <c r="D1509" s="3" t="s">
        <v>1767</v>
      </c>
      <c r="E1509" s="3">
        <v>760</v>
      </c>
      <c r="F1509" s="3">
        <v>5475</v>
      </c>
      <c r="G1509" s="3" t="s">
        <v>41</v>
      </c>
      <c r="H1509" s="3">
        <v>0</v>
      </c>
      <c r="I1509" s="5">
        <v>37000</v>
      </c>
      <c r="J1509" s="5">
        <v>111000</v>
      </c>
      <c r="K1509" s="3">
        <v>0</v>
      </c>
      <c r="L1509" s="3">
        <v>1</v>
      </c>
      <c r="M1509" s="3">
        <v>0</v>
      </c>
      <c r="N1509" s="5">
        <v>37000</v>
      </c>
      <c r="O1509" s="3">
        <v>0</v>
      </c>
      <c r="P1509" s="3">
        <v>0</v>
      </c>
      <c r="Q1509" s="3">
        <v>0</v>
      </c>
      <c r="R1509" s="5">
        <v>222000</v>
      </c>
      <c r="S1509" s="3">
        <v>0</v>
      </c>
      <c r="T1509" s="5">
        <v>6000</v>
      </c>
      <c r="U1509" s="3">
        <v>0</v>
      </c>
      <c r="V1509" s="5">
        <v>1500</v>
      </c>
      <c r="W1509" s="3">
        <v>0</v>
      </c>
      <c r="X1509" s="5">
        <v>3700</v>
      </c>
      <c r="Y1509" s="3">
        <v>0</v>
      </c>
      <c r="Z1509" s="5">
        <v>38000</v>
      </c>
      <c r="AA1509" s="5">
        <v>50000</v>
      </c>
      <c r="AB1509" s="6">
        <v>5493300</v>
      </c>
      <c r="AD1509" s="2" t="str">
        <f>VLOOKUP(E1509,'[1]Detailed Transfer Report (12)'!$K:$Y,14,FALSE)</f>
        <v>Sardar Tanveer Ilyas</v>
      </c>
      <c r="AE1509" s="16"/>
    </row>
    <row r="1510" spans="1:31" x14ac:dyDescent="0.25">
      <c r="A1510" s="9">
        <v>775</v>
      </c>
      <c r="B1510" s="4">
        <v>45791</v>
      </c>
      <c r="C1510" s="3" t="s">
        <v>1768</v>
      </c>
      <c r="D1510" s="3" t="s">
        <v>1766</v>
      </c>
      <c r="E1510" s="3">
        <v>4171</v>
      </c>
      <c r="F1510" s="3">
        <v>5556</v>
      </c>
      <c r="G1510" s="3" t="s">
        <v>1179</v>
      </c>
      <c r="H1510" s="3">
        <v>0</v>
      </c>
      <c r="I1510" s="5">
        <v>11780</v>
      </c>
      <c r="J1510" s="5">
        <v>35340</v>
      </c>
      <c r="K1510" s="3">
        <v>0</v>
      </c>
      <c r="L1510" s="3">
        <v>1</v>
      </c>
      <c r="M1510" s="3">
        <v>0</v>
      </c>
      <c r="N1510" s="5">
        <v>11780</v>
      </c>
      <c r="O1510" s="3">
        <v>0</v>
      </c>
      <c r="P1510" s="3">
        <v>0</v>
      </c>
      <c r="Q1510" s="3">
        <v>0</v>
      </c>
      <c r="R1510" s="5">
        <v>117800</v>
      </c>
      <c r="S1510" s="3">
        <v>0</v>
      </c>
      <c r="T1510" s="5">
        <v>6000</v>
      </c>
      <c r="U1510" s="3">
        <v>0</v>
      </c>
      <c r="V1510" s="5">
        <v>1500</v>
      </c>
      <c r="W1510" s="3">
        <v>0</v>
      </c>
      <c r="X1510" s="5">
        <v>3000</v>
      </c>
      <c r="Y1510" s="3">
        <v>0</v>
      </c>
      <c r="Z1510" s="5">
        <v>12780</v>
      </c>
      <c r="AA1510" s="5">
        <v>28000</v>
      </c>
      <c r="AB1510" s="6">
        <v>5721281</v>
      </c>
      <c r="AC1510" s="2" t="str">
        <f>VLOOKUP(E1510,'[1]Detailed Transfer Report (12)'!$K:$Y,13,FALSE)</f>
        <v>Mst Araaf Sohail</v>
      </c>
      <c r="AD1510" s="2" t="str">
        <f>VLOOKUP(E1510,'[1]Detailed Transfer Report (12)'!$K:$Y,14,FALSE)</f>
        <v>Sardar Tanveer Ilyas</v>
      </c>
      <c r="AE1510" s="16">
        <f>VLOOKUP(E1510,'[1]Detailed Transfer Report (12)'!$K:$Y,15,FALSE)</f>
        <v>45771</v>
      </c>
    </row>
    <row r="1511" spans="1:31" x14ac:dyDescent="0.25">
      <c r="A1511" s="9">
        <v>775</v>
      </c>
      <c r="B1511" s="4">
        <v>45791</v>
      </c>
      <c r="C1511" s="3" t="s">
        <v>44</v>
      </c>
      <c r="D1511" s="3" t="s">
        <v>1769</v>
      </c>
      <c r="E1511" s="3">
        <v>6102</v>
      </c>
      <c r="F1511" s="3">
        <v>2959</v>
      </c>
      <c r="G1511" s="3" t="s">
        <v>756</v>
      </c>
      <c r="H1511" s="3">
        <v>0</v>
      </c>
      <c r="I1511" s="5">
        <v>20000</v>
      </c>
      <c r="J1511" s="5">
        <v>60000</v>
      </c>
      <c r="K1511" s="3">
        <v>0</v>
      </c>
      <c r="L1511" s="3">
        <v>1</v>
      </c>
      <c r="M1511" s="3">
        <v>0</v>
      </c>
      <c r="N1511" s="5">
        <v>20000</v>
      </c>
      <c r="O1511" s="3">
        <v>0</v>
      </c>
      <c r="P1511" s="3">
        <v>0</v>
      </c>
      <c r="Q1511" s="3">
        <v>0</v>
      </c>
      <c r="R1511" s="5">
        <v>120000</v>
      </c>
      <c r="S1511" s="3">
        <v>0</v>
      </c>
      <c r="T1511" s="5">
        <v>6000</v>
      </c>
      <c r="U1511" s="3">
        <v>0</v>
      </c>
      <c r="V1511" s="5">
        <v>1500</v>
      </c>
      <c r="W1511" s="3">
        <v>0</v>
      </c>
      <c r="X1511" s="5">
        <v>3000</v>
      </c>
      <c r="Y1511" s="3">
        <v>0</v>
      </c>
      <c r="Z1511" s="5">
        <v>21000</v>
      </c>
      <c r="AA1511" s="5">
        <v>30000</v>
      </c>
      <c r="AB1511" s="6">
        <v>6002782</v>
      </c>
      <c r="AC1511" s="2" t="str">
        <f>VLOOKUP(E1511,'[1]Detailed Transfer Report (12)'!$K:$Y,13,FALSE)</f>
        <v>Rukhsana</v>
      </c>
      <c r="AD1511" s="2" t="str">
        <f>VLOOKUP(E1511,'[1]Detailed Transfer Report (12)'!$K:$Y,14,FALSE)</f>
        <v>Sardar Tanveer Ilyas</v>
      </c>
      <c r="AE1511" s="16">
        <f>VLOOKUP(E1511,'[1]Detailed Transfer Report (12)'!$K:$Y,15,FALSE)</f>
        <v>45687</v>
      </c>
    </row>
    <row r="1512" spans="1:31" x14ac:dyDescent="0.25">
      <c r="A1512" s="9">
        <v>775</v>
      </c>
      <c r="B1512" s="4">
        <v>45791</v>
      </c>
      <c r="C1512" s="3" t="s">
        <v>137</v>
      </c>
      <c r="D1512" s="3" t="s">
        <v>1767</v>
      </c>
      <c r="E1512" s="3">
        <v>758</v>
      </c>
      <c r="F1512" s="3">
        <v>4263</v>
      </c>
      <c r="G1512" s="3" t="s">
        <v>41</v>
      </c>
      <c r="H1512" s="3">
        <v>0</v>
      </c>
      <c r="I1512" s="5">
        <v>9300</v>
      </c>
      <c r="J1512" s="5">
        <v>27900</v>
      </c>
      <c r="K1512" s="3">
        <v>0</v>
      </c>
      <c r="L1512" s="3">
        <v>1</v>
      </c>
      <c r="M1512" s="3">
        <v>0</v>
      </c>
      <c r="N1512" s="5">
        <v>9300</v>
      </c>
      <c r="O1512" s="3">
        <v>0</v>
      </c>
      <c r="P1512" s="3">
        <v>0</v>
      </c>
      <c r="Q1512" s="3">
        <v>0</v>
      </c>
      <c r="R1512" s="5">
        <v>93000</v>
      </c>
      <c r="S1512" s="3">
        <v>0</v>
      </c>
      <c r="T1512" s="5">
        <v>6000</v>
      </c>
      <c r="U1512" s="3">
        <v>0</v>
      </c>
      <c r="V1512" s="5">
        <v>1500</v>
      </c>
      <c r="W1512" s="3">
        <v>0</v>
      </c>
      <c r="X1512" s="5">
        <v>3000</v>
      </c>
      <c r="Y1512" s="3">
        <v>0</v>
      </c>
      <c r="Z1512" s="5">
        <v>10300</v>
      </c>
      <c r="AA1512" s="5">
        <v>25000</v>
      </c>
      <c r="AB1512" s="6">
        <v>6188083</v>
      </c>
      <c r="AC1512" s="2" t="str">
        <f>VLOOKUP(E1512,'[1]Detailed Transfer Report (12)'!$K:$Y,13,FALSE)</f>
        <v>Mst Yasmeen Akhtar</v>
      </c>
      <c r="AD1512" s="2" t="str">
        <f>VLOOKUP(E1512,'[1]Detailed Transfer Report (12)'!$K:$Y,14,FALSE)</f>
        <v>Sardar Tanveer Ilyas</v>
      </c>
      <c r="AE1512" s="16">
        <f>VLOOKUP(E1512,'[1]Detailed Transfer Report (12)'!$K:$Y,15,FALSE)</f>
        <v>45757</v>
      </c>
    </row>
    <row r="1513" spans="1:31" x14ac:dyDescent="0.25">
      <c r="A1513" s="9">
        <v>775</v>
      </c>
      <c r="B1513" s="4">
        <v>45833</v>
      </c>
      <c r="C1513" s="3" t="s">
        <v>46</v>
      </c>
      <c r="D1513" s="3" t="s">
        <v>1770</v>
      </c>
      <c r="E1513" s="3">
        <v>6076</v>
      </c>
      <c r="F1513" s="3">
        <v>3925</v>
      </c>
      <c r="G1513" s="3" t="s">
        <v>756</v>
      </c>
      <c r="H1513" s="3">
        <v>0</v>
      </c>
      <c r="I1513" s="5">
        <v>40000</v>
      </c>
      <c r="J1513" s="5">
        <v>120000</v>
      </c>
      <c r="K1513" s="3">
        <v>0</v>
      </c>
      <c r="L1513" s="3">
        <v>1</v>
      </c>
      <c r="M1513" s="3">
        <v>0</v>
      </c>
      <c r="N1513" s="5">
        <v>40000</v>
      </c>
      <c r="O1513" s="3">
        <v>0</v>
      </c>
      <c r="P1513" s="3">
        <v>0</v>
      </c>
      <c r="Q1513" s="3">
        <v>0</v>
      </c>
      <c r="R1513" s="5">
        <v>240000</v>
      </c>
      <c r="S1513" s="3">
        <v>0</v>
      </c>
      <c r="T1513" s="5">
        <v>6000</v>
      </c>
      <c r="U1513" s="3">
        <v>0</v>
      </c>
      <c r="V1513" s="5">
        <v>1500</v>
      </c>
      <c r="W1513" s="3">
        <v>0</v>
      </c>
      <c r="X1513" s="5">
        <v>4000</v>
      </c>
      <c r="Y1513" s="3">
        <v>0</v>
      </c>
      <c r="Z1513" s="5">
        <v>41000</v>
      </c>
      <c r="AA1513" s="5">
        <v>50000</v>
      </c>
      <c r="AB1513" s="6">
        <v>6730584</v>
      </c>
      <c r="AC1513" s="2" t="str">
        <f>VLOOKUP(E1513,'[1]Detailed Transfer Report (12)'!$K:$Y,13,FALSE)</f>
        <v>Rukhsana</v>
      </c>
      <c r="AD1513" s="2" t="str">
        <f>VLOOKUP(E1513,'[1]Detailed Transfer Report (12)'!$K:$Y,14,FALSE)</f>
        <v>Sardar Tanveer Ilyas</v>
      </c>
      <c r="AE1513" s="16">
        <f>VLOOKUP(E1513,'[1]Detailed Transfer Report (12)'!$K:$Y,15,FALSE)</f>
        <v>45806</v>
      </c>
    </row>
    <row r="1514" spans="1:31" x14ac:dyDescent="0.25">
      <c r="A1514" s="9">
        <v>775</v>
      </c>
      <c r="B1514" s="4">
        <v>45833</v>
      </c>
      <c r="C1514" s="3" t="s">
        <v>44</v>
      </c>
      <c r="D1514" s="3" t="s">
        <v>1770</v>
      </c>
      <c r="E1514" s="3">
        <v>6074</v>
      </c>
      <c r="F1514" s="3">
        <v>3924</v>
      </c>
      <c r="G1514" s="3" t="s">
        <v>756</v>
      </c>
      <c r="H1514" s="3">
        <v>0</v>
      </c>
      <c r="I1514" s="5">
        <v>20000</v>
      </c>
      <c r="J1514" s="5">
        <v>60000</v>
      </c>
      <c r="K1514" s="3">
        <v>0</v>
      </c>
      <c r="L1514" s="3">
        <v>1</v>
      </c>
      <c r="M1514" s="3">
        <v>0</v>
      </c>
      <c r="N1514" s="5">
        <v>20000</v>
      </c>
      <c r="O1514" s="3">
        <v>0</v>
      </c>
      <c r="P1514" s="3">
        <v>0</v>
      </c>
      <c r="Q1514" s="3">
        <v>0</v>
      </c>
      <c r="R1514" s="5">
        <v>120000</v>
      </c>
      <c r="S1514" s="3">
        <v>0</v>
      </c>
      <c r="T1514" s="5">
        <v>6000</v>
      </c>
      <c r="U1514" s="3">
        <v>0</v>
      </c>
      <c r="V1514" s="5">
        <v>1500</v>
      </c>
      <c r="W1514" s="3">
        <v>0</v>
      </c>
      <c r="X1514" s="5">
        <v>3000</v>
      </c>
      <c r="Y1514" s="3">
        <v>0</v>
      </c>
      <c r="Z1514" s="5">
        <v>21000</v>
      </c>
      <c r="AA1514" s="5">
        <v>30000</v>
      </c>
      <c r="AB1514" s="6">
        <v>7012085</v>
      </c>
      <c r="AC1514" s="2" t="str">
        <f>VLOOKUP(E1514,'[1]Detailed Transfer Report (12)'!$K:$Y,13,FALSE)</f>
        <v>Sajid Mehmood</v>
      </c>
      <c r="AD1514" s="2" t="str">
        <f>VLOOKUP(E1514,'[1]Detailed Transfer Report (12)'!$K:$Y,14,FALSE)</f>
        <v>Sardar Tanveer Ilyas</v>
      </c>
      <c r="AE1514" s="16">
        <f>VLOOKUP(E1514,'[1]Detailed Transfer Report (12)'!$K:$Y,15,FALSE)</f>
        <v>45806</v>
      </c>
    </row>
    <row r="1515" spans="1:31" x14ac:dyDescent="0.25">
      <c r="A1515" s="9">
        <v>775</v>
      </c>
      <c r="B1515" s="4">
        <v>45841</v>
      </c>
      <c r="C1515" s="3" t="s">
        <v>1771</v>
      </c>
      <c r="D1515" s="3" t="s">
        <v>1770</v>
      </c>
      <c r="E1515" s="3" t="s">
        <v>1772</v>
      </c>
      <c r="F1515" s="3">
        <v>5160</v>
      </c>
      <c r="G1515" s="3" t="s">
        <v>756</v>
      </c>
      <c r="H1515" s="3">
        <v>0</v>
      </c>
      <c r="I1515" s="5">
        <v>64000</v>
      </c>
      <c r="J1515" s="5">
        <v>111975</v>
      </c>
      <c r="K1515" s="3">
        <v>0</v>
      </c>
      <c r="L1515" s="3">
        <v>1</v>
      </c>
      <c r="M1515" s="3">
        <v>0</v>
      </c>
      <c r="N1515" s="5">
        <v>37325</v>
      </c>
      <c r="O1515" s="3">
        <v>0</v>
      </c>
      <c r="P1515" s="3">
        <v>0</v>
      </c>
      <c r="Q1515" s="3">
        <v>0</v>
      </c>
      <c r="R1515" s="5">
        <v>228550</v>
      </c>
      <c r="S1515" s="3">
        <v>0</v>
      </c>
      <c r="T1515" s="5">
        <v>6000</v>
      </c>
      <c r="U1515" s="3">
        <v>0</v>
      </c>
      <c r="V1515" s="5">
        <v>3800</v>
      </c>
      <c r="W1515" s="3">
        <v>0</v>
      </c>
      <c r="X1515" s="5">
        <v>3733</v>
      </c>
      <c r="Y1515" s="3">
        <v>0</v>
      </c>
      <c r="Z1515" s="5">
        <v>38325</v>
      </c>
      <c r="AA1515" s="5">
        <v>50000</v>
      </c>
      <c r="AB1515" s="6">
        <v>7555794</v>
      </c>
      <c r="AC1515" s="2" t="str">
        <f>VLOOKUP(E1515,'[1]Detailed Transfer Report (12)'!$K:$Y,13,FALSE)</f>
        <v>Lal Khan</v>
      </c>
      <c r="AD1515" s="2" t="str">
        <f>VLOOKUP(E1515,'[1]Detailed Transfer Report (12)'!$K:$Y,14,FALSE)</f>
        <v>Sardar Tanveer Ilyas</v>
      </c>
      <c r="AE1515" s="16">
        <f>VLOOKUP(E1515,'[1]Detailed Transfer Report (12)'!$K:$Y,15,FALSE)</f>
        <v>45825</v>
      </c>
    </row>
    <row r="1516" spans="1:31" x14ac:dyDescent="0.25">
      <c r="A1516" s="9">
        <v>775</v>
      </c>
      <c r="B1516" s="4">
        <v>45799</v>
      </c>
      <c r="C1516" s="3" t="s">
        <v>495</v>
      </c>
      <c r="D1516" s="3" t="s">
        <v>1769</v>
      </c>
      <c r="E1516" s="3">
        <v>6101</v>
      </c>
      <c r="F1516" s="3">
        <v>3586</v>
      </c>
      <c r="G1516" s="3" t="s">
        <v>756</v>
      </c>
      <c r="H1516" s="3">
        <v>0</v>
      </c>
      <c r="I1516" s="5">
        <v>13000</v>
      </c>
      <c r="J1516" s="5">
        <v>39000</v>
      </c>
      <c r="K1516" s="3">
        <v>0</v>
      </c>
      <c r="L1516" s="3">
        <v>1</v>
      </c>
      <c r="M1516" s="3">
        <v>0</v>
      </c>
      <c r="N1516" s="5">
        <v>13000</v>
      </c>
      <c r="O1516" s="3">
        <v>0</v>
      </c>
      <c r="P1516" s="3">
        <v>0</v>
      </c>
      <c r="Q1516" s="3">
        <v>0</v>
      </c>
      <c r="R1516" s="5">
        <v>130000</v>
      </c>
      <c r="S1516" s="3">
        <v>0</v>
      </c>
      <c r="T1516" s="5">
        <v>6000</v>
      </c>
      <c r="U1516" s="3">
        <v>0</v>
      </c>
      <c r="V1516" s="5">
        <v>1500</v>
      </c>
      <c r="W1516" s="3">
        <v>0</v>
      </c>
      <c r="X1516" s="5">
        <v>3000</v>
      </c>
      <c r="Y1516" s="3">
        <v>0</v>
      </c>
      <c r="Z1516" s="5">
        <v>14000</v>
      </c>
      <c r="AA1516" s="5">
        <v>25000</v>
      </c>
      <c r="AB1516" s="6">
        <v>7800295</v>
      </c>
      <c r="AC1516" s="2" t="str">
        <f>VLOOKUP(E1516,'[1]Detailed Transfer Report (12)'!$K:$Y,13,FALSE)</f>
        <v>Muhammad Jamil</v>
      </c>
      <c r="AD1516" s="2" t="str">
        <f>VLOOKUP(E1516,'[1]Detailed Transfer Report (12)'!$K:$Y,14,FALSE)</f>
        <v>Sardar Tanveer Ilyas</v>
      </c>
      <c r="AE1516" s="16">
        <f>VLOOKUP(E1516,'[1]Detailed Transfer Report (12)'!$K:$Y,15,FALSE)</f>
        <v>45799</v>
      </c>
    </row>
    <row r="1517" spans="1:31" x14ac:dyDescent="0.25">
      <c r="A1517" s="9">
        <v>775</v>
      </c>
      <c r="B1517" s="4">
        <v>45909</v>
      </c>
      <c r="C1517" s="3" t="s">
        <v>1773</v>
      </c>
      <c r="D1517" s="3" t="s">
        <v>1774</v>
      </c>
      <c r="E1517" s="3"/>
      <c r="F1517" s="3">
        <v>7238</v>
      </c>
      <c r="G1517" s="3" t="s">
        <v>756</v>
      </c>
      <c r="H1517" s="3">
        <v>0</v>
      </c>
      <c r="I1517" s="5">
        <v>14650</v>
      </c>
      <c r="J1517" s="5">
        <v>21368</v>
      </c>
      <c r="K1517" s="3">
        <v>0</v>
      </c>
      <c r="L1517" s="3">
        <v>0</v>
      </c>
      <c r="M1517" s="3">
        <v>0</v>
      </c>
      <c r="N1517" s="5">
        <v>14245</v>
      </c>
      <c r="O1517" s="3">
        <v>0</v>
      </c>
      <c r="P1517" s="3">
        <v>0</v>
      </c>
      <c r="Q1517" s="3">
        <v>0</v>
      </c>
      <c r="R1517" s="5">
        <v>106836</v>
      </c>
      <c r="S1517" s="3">
        <v>0</v>
      </c>
      <c r="T1517" s="5">
        <v>40000</v>
      </c>
      <c r="U1517" s="3">
        <v>0</v>
      </c>
      <c r="V1517" s="5">
        <v>7500</v>
      </c>
      <c r="W1517" s="3">
        <v>0</v>
      </c>
      <c r="X1517" s="5">
        <v>3300</v>
      </c>
      <c r="Y1517" s="3">
        <v>0</v>
      </c>
      <c r="Z1517" s="5">
        <v>15245</v>
      </c>
      <c r="AA1517" s="5">
        <v>30000</v>
      </c>
      <c r="AB1517" s="6">
        <v>8053439</v>
      </c>
      <c r="AC1517" s="2" t="str">
        <f>VLOOKUP(F1517,'[1]Detailed Transfer Report (12)'!$L:$Y,12,FALSE)</f>
        <v>Baber Iqbal</v>
      </c>
      <c r="AD1517" s="2" t="str">
        <f>VLOOKUP(F1517,'[1]Detailed Transfer Report (12)'!$L:$Y,13,FALSE)</f>
        <v>Sardar Tanveer Ilyas</v>
      </c>
      <c r="AE1517" s="16">
        <f>VLOOKUP(F1517,'[1]Detailed Transfer Report (12)'!$L:$Y,14,FALSE)</f>
        <v>45877</v>
      </c>
    </row>
    <row r="1518" spans="1:31" x14ac:dyDescent="0.25">
      <c r="A1518" s="9">
        <v>775</v>
      </c>
      <c r="B1518" s="4">
        <v>45909</v>
      </c>
      <c r="C1518" s="3" t="s">
        <v>110</v>
      </c>
      <c r="D1518" s="3" t="s">
        <v>1774</v>
      </c>
      <c r="E1518" s="3"/>
      <c r="F1518" s="3">
        <v>8188</v>
      </c>
      <c r="G1518" s="3" t="s">
        <v>756</v>
      </c>
      <c r="H1518" s="3">
        <v>0</v>
      </c>
      <c r="I1518" s="5">
        <v>24800</v>
      </c>
      <c r="J1518" s="5">
        <v>37132</v>
      </c>
      <c r="K1518" s="3">
        <v>0</v>
      </c>
      <c r="L1518" s="3">
        <v>0</v>
      </c>
      <c r="M1518" s="3">
        <v>0</v>
      </c>
      <c r="N1518" s="5">
        <v>24755</v>
      </c>
      <c r="O1518" s="3">
        <v>0</v>
      </c>
      <c r="P1518" s="3">
        <v>0</v>
      </c>
      <c r="Q1518" s="3">
        <v>0</v>
      </c>
      <c r="R1518" s="5">
        <v>185662</v>
      </c>
      <c r="S1518" s="3">
        <v>0</v>
      </c>
      <c r="T1518" s="5">
        <v>40000</v>
      </c>
      <c r="U1518" s="3">
        <v>0</v>
      </c>
      <c r="V1518" s="5">
        <v>7500</v>
      </c>
      <c r="W1518" s="3">
        <v>0</v>
      </c>
      <c r="X1518" s="5">
        <v>3300</v>
      </c>
      <c r="Y1518" s="3">
        <v>0</v>
      </c>
      <c r="Z1518" s="5">
        <v>25755</v>
      </c>
      <c r="AA1518" s="5">
        <v>30000</v>
      </c>
      <c r="AB1518" s="6">
        <v>8432343</v>
      </c>
      <c r="AC1518" s="2" t="str">
        <f>VLOOKUP(F1518,'[1]Detailed Transfer Report (12)'!$L:$Y,12,FALSE)</f>
        <v>Muhammad Amjad</v>
      </c>
      <c r="AD1518" s="2" t="str">
        <f>VLOOKUP(F1518,'[1]Detailed Transfer Report (12)'!$L:$Y,13,FALSE)</f>
        <v>Sardar Tanveer Ilyas</v>
      </c>
      <c r="AE1518" s="16">
        <f>VLOOKUP(F1518,'[1]Detailed Transfer Report (12)'!$L:$Y,14,FALSE)</f>
        <v>45877</v>
      </c>
    </row>
    <row r="1519" spans="1:31" x14ac:dyDescent="0.25">
      <c r="A1519" s="10">
        <v>775</v>
      </c>
      <c r="B1519" s="4">
        <v>45909</v>
      </c>
      <c r="C1519" s="3" t="s">
        <v>1775</v>
      </c>
      <c r="D1519" s="3" t="s">
        <v>1774</v>
      </c>
      <c r="E1519" s="3"/>
      <c r="F1519" s="3">
        <v>7232</v>
      </c>
      <c r="G1519" s="3" t="s">
        <v>756</v>
      </c>
      <c r="H1519" s="3">
        <v>0</v>
      </c>
      <c r="I1519" s="5">
        <v>14100</v>
      </c>
      <c r="J1519" s="5">
        <v>21000</v>
      </c>
      <c r="K1519" s="3">
        <v>0</v>
      </c>
      <c r="L1519" s="3">
        <v>0</v>
      </c>
      <c r="M1519" s="3">
        <v>0</v>
      </c>
      <c r="N1519" s="5">
        <v>14000</v>
      </c>
      <c r="O1519" s="3">
        <v>0</v>
      </c>
      <c r="P1519" s="3">
        <v>0</v>
      </c>
      <c r="Q1519" s="3">
        <v>0</v>
      </c>
      <c r="R1519" s="5">
        <v>105000</v>
      </c>
      <c r="S1519" s="3">
        <v>0</v>
      </c>
      <c r="T1519" s="5">
        <v>40000</v>
      </c>
      <c r="U1519" s="3">
        <v>0</v>
      </c>
      <c r="V1519" s="5">
        <v>7500</v>
      </c>
      <c r="W1519" s="3">
        <v>0</v>
      </c>
      <c r="X1519" s="5">
        <v>3300</v>
      </c>
      <c r="Y1519" s="3">
        <v>0</v>
      </c>
      <c r="Z1519" s="5">
        <v>15000</v>
      </c>
      <c r="AA1519" s="5">
        <v>30000</v>
      </c>
      <c r="AB1519" s="6">
        <v>8682243</v>
      </c>
      <c r="AC1519" s="2" t="str">
        <f>VLOOKUP(F1519,'[1]Detailed Transfer Report (12)'!$L:$Y,12,FALSE)</f>
        <v>Mehlan Bibi</v>
      </c>
      <c r="AD1519" s="2" t="str">
        <f>VLOOKUP(F1519,'[1]Detailed Transfer Report (12)'!$L:$Y,13,FALSE)</f>
        <v>Sardar Tanveer Ilyas</v>
      </c>
      <c r="AE1519" s="16">
        <f>VLOOKUP(F1519,'[1]Detailed Transfer Report (12)'!$L:$Y,14,FALSE)</f>
        <v>45877</v>
      </c>
    </row>
    <row r="1520" spans="1:31" x14ac:dyDescent="0.25">
      <c r="A1520" s="3">
        <v>777</v>
      </c>
      <c r="B1520" s="4">
        <v>45623</v>
      </c>
      <c r="C1520" s="3" t="s">
        <v>44</v>
      </c>
      <c r="D1520" s="3" t="s">
        <v>1776</v>
      </c>
      <c r="E1520" s="3">
        <v>4102</v>
      </c>
      <c r="F1520" s="3">
        <v>12769</v>
      </c>
      <c r="G1520" s="3" t="s">
        <v>1179</v>
      </c>
      <c r="H1520" s="3">
        <v>0</v>
      </c>
      <c r="I1520" s="3">
        <v>0</v>
      </c>
      <c r="J1520" s="5">
        <v>187200</v>
      </c>
      <c r="K1520" s="3">
        <v>0</v>
      </c>
      <c r="L1520" s="3">
        <v>1</v>
      </c>
      <c r="M1520" s="3">
        <v>0</v>
      </c>
      <c r="N1520" s="5">
        <v>31200</v>
      </c>
      <c r="O1520" s="3">
        <v>0</v>
      </c>
      <c r="P1520" s="3">
        <v>0</v>
      </c>
      <c r="Q1520" s="3">
        <v>0</v>
      </c>
      <c r="R1520" s="5">
        <v>124800</v>
      </c>
      <c r="S1520" s="3">
        <v>0</v>
      </c>
      <c r="T1520" s="5">
        <v>1500</v>
      </c>
      <c r="U1520" s="3">
        <v>0</v>
      </c>
      <c r="V1520" s="5">
        <v>31000</v>
      </c>
      <c r="W1520" s="3">
        <v>0</v>
      </c>
      <c r="X1520" s="5">
        <v>1700</v>
      </c>
      <c r="Y1520" s="3">
        <v>0</v>
      </c>
      <c r="Z1520" s="5">
        <v>32200</v>
      </c>
      <c r="AA1520" s="3">
        <v>0</v>
      </c>
      <c r="AB1520" s="6">
        <v>409601</v>
      </c>
      <c r="AC1520" s="2" t="str">
        <f>VLOOKUP(E1520,'[1]Detailed Transfer Report (12)'!$K:$Y,13,FALSE)</f>
        <v>Muhammad Naseer</v>
      </c>
      <c r="AD1520" s="2" t="str">
        <f>VLOOKUP(E1520,'[1]Detailed Transfer Report (12)'!$K:$Y,14,FALSE)</f>
        <v>Sardar Tanveer Ilyas</v>
      </c>
      <c r="AE1520" s="16">
        <f>VLOOKUP(E1520,'[1]Detailed Transfer Report (12)'!$K:$Y,15,FALSE)</f>
        <v>45568</v>
      </c>
    </row>
    <row r="1521" spans="1:31" x14ac:dyDescent="0.25">
      <c r="A1521" s="7">
        <v>778</v>
      </c>
      <c r="B1521" s="4">
        <v>45553</v>
      </c>
      <c r="C1521" s="3" t="s">
        <v>141</v>
      </c>
      <c r="D1521" s="3" t="s">
        <v>822</v>
      </c>
      <c r="E1521" s="3">
        <v>2118</v>
      </c>
      <c r="F1521" s="3">
        <v>13272</v>
      </c>
      <c r="G1521" s="3" t="s">
        <v>1649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8">
        <v>0</v>
      </c>
      <c r="AC1521" s="2" t="str">
        <f>VLOOKUP(E1521,'[1]Detailed Transfer Report (12)'!$K:$Y,13,FALSE)</f>
        <v>Hammad Ashraf</v>
      </c>
      <c r="AD1521" s="2" t="str">
        <f>VLOOKUP(E1521,'[1]Detailed Transfer Report (12)'!$K:$Y,14,FALSE)</f>
        <v>Sardar Tanveer Ilyas</v>
      </c>
      <c r="AE1521" s="16">
        <f>VLOOKUP(E1521,'[1]Detailed Transfer Report (12)'!$K:$Y,15,FALSE)</f>
        <v>45553</v>
      </c>
    </row>
    <row r="1522" spans="1:31" x14ac:dyDescent="0.25">
      <c r="A1522" s="9">
        <v>778</v>
      </c>
      <c r="B1522" s="4">
        <v>45572</v>
      </c>
      <c r="C1522" s="3" t="s">
        <v>207</v>
      </c>
      <c r="D1522" s="3" t="s">
        <v>822</v>
      </c>
      <c r="E1522" s="3"/>
      <c r="F1522" s="3">
        <v>11857355</v>
      </c>
      <c r="G1522" s="3" t="s">
        <v>1611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8">
        <v>0</v>
      </c>
      <c r="AC1522" s="2" t="str">
        <f>VLOOKUP(F1522,'[1]Detailed Transfer Report (12)'!$L:$Y,12,FALSE)</f>
        <v>Gulzar Beghum</v>
      </c>
      <c r="AD1522" s="2" t="str">
        <f>VLOOKUP(F1522,'[1]Detailed Transfer Report (12)'!$L:$Y,13,FALSE)</f>
        <v>Sardar Tanveer Ilyas</v>
      </c>
      <c r="AE1522" s="16"/>
    </row>
    <row r="1523" spans="1:31" x14ac:dyDescent="0.25">
      <c r="A1523" s="9">
        <v>778</v>
      </c>
      <c r="B1523" s="4">
        <v>45533</v>
      </c>
      <c r="C1523" s="3" t="s">
        <v>1777</v>
      </c>
      <c r="D1523" s="3" t="s">
        <v>822</v>
      </c>
      <c r="E1523" s="3">
        <v>3077</v>
      </c>
      <c r="F1523" s="3">
        <v>7620</v>
      </c>
      <c r="G1523" s="3" t="s">
        <v>1611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8">
        <v>0</v>
      </c>
      <c r="AC1523" s="2" t="str">
        <f>VLOOKUP(E1523,'[1]Detailed Transfer Report (12)'!$K:$Y,13,FALSE)</f>
        <v>Hassan Akhtar</v>
      </c>
      <c r="AD1523" s="2" t="str">
        <f>VLOOKUP(E1523,'[1]Detailed Transfer Report (12)'!$K:$Y,14,FALSE)</f>
        <v>M idress khan</v>
      </c>
      <c r="AE1523" s="16">
        <f>VLOOKUP(E1523,'[1]Detailed Transfer Report (12)'!$K:$Y,15,FALSE)</f>
        <v>43249</v>
      </c>
    </row>
    <row r="1524" spans="1:31" x14ac:dyDescent="0.25">
      <c r="A1524" s="9">
        <v>778</v>
      </c>
      <c r="B1524" s="4">
        <v>45514</v>
      </c>
      <c r="C1524" s="3" t="s">
        <v>1778</v>
      </c>
      <c r="D1524" s="3" t="s">
        <v>822</v>
      </c>
      <c r="E1524" s="3"/>
      <c r="F1524" s="3">
        <v>11703585</v>
      </c>
      <c r="G1524" s="3" t="s">
        <v>1611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8">
        <v>0</v>
      </c>
      <c r="AC1524" s="2" t="str">
        <f>VLOOKUP(F1524,'[1]Detailed Transfer Report (12)'!$L:$Y,12,FALSE)</f>
        <v>Raja Muhammad Ashfaq</v>
      </c>
      <c r="AD1524" s="2" t="str">
        <f>VLOOKUP(F1524,'[1]Detailed Transfer Report (12)'!$L:$Y,13,FALSE)</f>
        <v>Sardar Tanveer Ilyas</v>
      </c>
      <c r="AE1524" s="16"/>
    </row>
    <row r="1525" spans="1:31" x14ac:dyDescent="0.25">
      <c r="A1525" s="9">
        <v>778</v>
      </c>
      <c r="B1525" s="4">
        <v>45640</v>
      </c>
      <c r="C1525" s="3" t="s">
        <v>1779</v>
      </c>
      <c r="D1525" s="3" t="s">
        <v>822</v>
      </c>
      <c r="E1525" s="3">
        <v>3039</v>
      </c>
      <c r="F1525" s="3">
        <v>13271</v>
      </c>
      <c r="G1525" s="3" t="s">
        <v>1611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8">
        <v>0</v>
      </c>
      <c r="AC1525" s="2" t="str">
        <f>VLOOKUP(E1525,'[1]Detailed Transfer Report (12)'!$K:$Y,13,FALSE)</f>
        <v>Atfi Shahzad</v>
      </c>
      <c r="AD1525" s="2" t="str">
        <f>VLOOKUP(E1525,'[1]Detailed Transfer Report (12)'!$K:$Y,14,FALSE)</f>
        <v>Sardar Tanveer Ilyas</v>
      </c>
      <c r="AE1525" s="16">
        <f>VLOOKUP(E1525,'[1]Detailed Transfer Report (12)'!$K:$Y,15,FALSE)</f>
        <v>45549</v>
      </c>
    </row>
    <row r="1526" spans="1:31" x14ac:dyDescent="0.25">
      <c r="A1526" s="9">
        <v>778</v>
      </c>
      <c r="B1526" s="4">
        <v>45888</v>
      </c>
      <c r="C1526" s="3" t="s">
        <v>1780</v>
      </c>
      <c r="D1526" s="3" t="s">
        <v>822</v>
      </c>
      <c r="E1526" s="3">
        <v>3112</v>
      </c>
      <c r="F1526" s="3">
        <v>13960</v>
      </c>
      <c r="G1526" s="3" t="s">
        <v>1611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8">
        <v>0</v>
      </c>
      <c r="AC1526" s="2" t="str">
        <f>VLOOKUP(E1526,'[1]Detailed Transfer Report (12)'!$K:$Y,13,FALSE)</f>
        <v>Safdar</v>
      </c>
      <c r="AD1526" s="2" t="str">
        <f>VLOOKUP(E1526,'[1]Detailed Transfer Report (12)'!$K:$Y,14,FALSE)</f>
        <v>Sardar Tanveer Ilyas</v>
      </c>
      <c r="AE1526" s="16">
        <f>VLOOKUP(E1526,'[1]Detailed Transfer Report (12)'!$K:$Y,15,FALSE)</f>
        <v>45917</v>
      </c>
    </row>
    <row r="1527" spans="1:31" x14ac:dyDescent="0.25">
      <c r="A1527" s="9">
        <v>778</v>
      </c>
      <c r="B1527" s="4">
        <v>45945</v>
      </c>
      <c r="C1527" s="3" t="s">
        <v>344</v>
      </c>
      <c r="D1527" s="3" t="s">
        <v>822</v>
      </c>
      <c r="E1527" s="3">
        <v>3116</v>
      </c>
      <c r="F1527" s="3">
        <v>14492</v>
      </c>
      <c r="G1527" s="3" t="s">
        <v>1611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8">
        <v>0</v>
      </c>
      <c r="AC1527" s="2" t="str">
        <f>VLOOKUP(E1527,'[1]Detailed Transfer Report (12)'!$K:$Y,13,FALSE)</f>
        <v>Mazhar Hussain</v>
      </c>
      <c r="AD1527" s="2" t="str">
        <f>VLOOKUP(E1527,'[1]Detailed Transfer Report (12)'!$K:$Y,14,FALSE)</f>
        <v>Sardar Tanveer Ilyas</v>
      </c>
      <c r="AE1527" s="16">
        <f>VLOOKUP(E1527,'[1]Detailed Transfer Report (12)'!$K:$Y,15,FALSE)</f>
        <v>45944</v>
      </c>
    </row>
    <row r="1528" spans="1:31" x14ac:dyDescent="0.25">
      <c r="A1528" s="9">
        <v>778</v>
      </c>
      <c r="B1528" s="4">
        <v>46038</v>
      </c>
      <c r="C1528" s="3" t="s">
        <v>1781</v>
      </c>
      <c r="D1528" s="3" t="s">
        <v>822</v>
      </c>
      <c r="E1528" s="3">
        <v>3034</v>
      </c>
      <c r="F1528" s="3">
        <v>12048</v>
      </c>
      <c r="G1528" s="3" t="s">
        <v>1611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8">
        <v>0</v>
      </c>
      <c r="AC1528" s="2" t="str">
        <f>VLOOKUP(E1528,'[1]Detailed Transfer Report (12)'!$K:$Y,13,FALSE)</f>
        <v>Hafiz Ejaz Hussain</v>
      </c>
      <c r="AD1528" s="2" t="str">
        <f>VLOOKUP(E1528,'[1]Detailed Transfer Report (12)'!$K:$Y,14,FALSE)</f>
        <v>Sardar Tanveer Ilyas</v>
      </c>
      <c r="AE1528" s="16">
        <f>VLOOKUP(E1528,'[1]Detailed Transfer Report (12)'!$K:$Y,15,FALSE)</f>
        <v>44113</v>
      </c>
    </row>
    <row r="1529" spans="1:31" x14ac:dyDescent="0.25">
      <c r="A1529" s="10">
        <v>778</v>
      </c>
      <c r="B1529" s="4">
        <v>46038</v>
      </c>
      <c r="C1529" s="3" t="s">
        <v>44</v>
      </c>
      <c r="D1529" s="3" t="s">
        <v>822</v>
      </c>
      <c r="E1529" s="3">
        <v>3122</v>
      </c>
      <c r="F1529" s="3">
        <v>15327</v>
      </c>
      <c r="G1529" s="3" t="s">
        <v>1611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8">
        <v>0</v>
      </c>
      <c r="AC1529" s="2" t="str">
        <f>VLOOKUP(E1529,'[1]Detailed Transfer Report (12)'!$K:$Y,13,FALSE)</f>
        <v>Adnan Afzal</v>
      </c>
      <c r="AD1529" s="2" t="str">
        <f>VLOOKUP(E1529,'[1]Detailed Transfer Report (12)'!$K:$Y,14,FALSE)</f>
        <v>Sardar Tanveer Ilyas</v>
      </c>
      <c r="AE1529" s="16">
        <f>VLOOKUP(E1529,'[1]Detailed Transfer Report (12)'!$K:$Y,15,FALSE)</f>
        <v>45958</v>
      </c>
    </row>
    <row r="1530" spans="1:31" x14ac:dyDescent="0.25">
      <c r="A1530" s="3">
        <v>780</v>
      </c>
      <c r="B1530" s="4">
        <v>45656</v>
      </c>
      <c r="C1530" s="3" t="s">
        <v>1782</v>
      </c>
      <c r="D1530" s="3" t="s">
        <v>822</v>
      </c>
      <c r="E1530" s="3">
        <v>721</v>
      </c>
      <c r="F1530" s="3">
        <v>11770</v>
      </c>
      <c r="G1530" s="3" t="s">
        <v>41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8">
        <v>0</v>
      </c>
      <c r="AC1530" s="2" t="str">
        <f>VLOOKUP(E1530,'[1]Detailed Transfer Report (12)'!$K:$Y,13,FALSE)</f>
        <v>Attique Ur Rehman</v>
      </c>
      <c r="AD1530" s="2" t="str">
        <f>VLOOKUP(E1530,'[1]Detailed Transfer Report (12)'!$K:$Y,14,FALSE)</f>
        <v>Sardar Tanveer Ilyas</v>
      </c>
      <c r="AE1530" s="16"/>
    </row>
    <row r="1531" spans="1:31" x14ac:dyDescent="0.25">
      <c r="A1531" s="3">
        <v>781</v>
      </c>
      <c r="B1531" s="4">
        <v>45664</v>
      </c>
      <c r="C1531" s="3" t="s">
        <v>1783</v>
      </c>
      <c r="D1531" s="3" t="s">
        <v>1784</v>
      </c>
      <c r="E1531" s="3"/>
      <c r="F1531" s="3">
        <v>16827</v>
      </c>
      <c r="G1531" s="3" t="s">
        <v>41</v>
      </c>
      <c r="H1531" s="3">
        <v>0</v>
      </c>
      <c r="I1531" s="3">
        <v>0</v>
      </c>
      <c r="J1531" s="5">
        <v>110760</v>
      </c>
      <c r="K1531" s="3">
        <v>0</v>
      </c>
      <c r="L1531" s="5">
        <v>1929600</v>
      </c>
      <c r="M1531" s="3">
        <v>0</v>
      </c>
      <c r="N1531" s="5">
        <v>36920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5">
        <v>56000</v>
      </c>
      <c r="U1531" s="3">
        <v>0</v>
      </c>
      <c r="V1531" s="5">
        <v>35000</v>
      </c>
      <c r="W1531" s="3">
        <v>0</v>
      </c>
      <c r="X1531" s="3">
        <v>0</v>
      </c>
      <c r="Y1531" s="3">
        <v>0</v>
      </c>
      <c r="Z1531" s="5">
        <v>37920</v>
      </c>
      <c r="AA1531" s="3">
        <v>0</v>
      </c>
      <c r="AB1531" s="6">
        <v>2206200</v>
      </c>
      <c r="AC1531" s="2" t="str">
        <f>VLOOKUP(F1531,'[1]Detailed Transfer Report (12)'!$L:$Y,12,FALSE)</f>
        <v>Hammad Nusrat</v>
      </c>
      <c r="AD1531" s="2" t="str">
        <f>VLOOKUP(F1531,'[1]Detailed Transfer Report (12)'!$L:$Y,13,FALSE)</f>
        <v>Sardar Tanveer Ilyas</v>
      </c>
      <c r="AE1531" s="16">
        <f>VLOOKUP(F1531,'[1]Detailed Transfer Report (12)'!$L:$Y,14,FALSE)</f>
        <v>45637</v>
      </c>
    </row>
    <row r="1532" spans="1:31" x14ac:dyDescent="0.25">
      <c r="A1532" s="3">
        <v>782</v>
      </c>
      <c r="B1532" s="4">
        <v>45910</v>
      </c>
      <c r="C1532" s="3" t="s">
        <v>44</v>
      </c>
      <c r="D1532" s="3" t="s">
        <v>822</v>
      </c>
      <c r="E1532" s="3"/>
      <c r="F1532" s="3">
        <v>12199</v>
      </c>
      <c r="G1532" s="3" t="s">
        <v>30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8">
        <v>0</v>
      </c>
      <c r="AC1532" s="2" t="str">
        <f>VLOOKUP(F1532,'[1]Detailed Transfer Report (12)'!$L:$Y,12,FALSE)</f>
        <v>Iftikhar Ahmed</v>
      </c>
      <c r="AD1532" s="2" t="str">
        <f>VLOOKUP(F1532,'[1]Detailed Transfer Report (12)'!$L:$Y,13,FALSE)</f>
        <v>Sardar Tanveer Ilyas</v>
      </c>
      <c r="AE1532" s="16">
        <f>VLOOKUP(F1532,'[1]Detailed Transfer Report (12)'!$L:$Y,14,FALSE)</f>
        <v>45898</v>
      </c>
    </row>
    <row r="1533" spans="1:31" x14ac:dyDescent="0.25">
      <c r="A1533" s="7">
        <v>783</v>
      </c>
      <c r="B1533" s="4">
        <v>45671</v>
      </c>
      <c r="C1533" s="3" t="s">
        <v>171</v>
      </c>
      <c r="D1533" s="3" t="s">
        <v>1785</v>
      </c>
      <c r="E1533" s="3"/>
      <c r="F1533" s="3">
        <v>3431</v>
      </c>
      <c r="G1533" s="3" t="s">
        <v>756</v>
      </c>
      <c r="H1533" s="3">
        <v>0</v>
      </c>
      <c r="I1533" s="3">
        <v>0</v>
      </c>
      <c r="J1533" s="5">
        <v>420000</v>
      </c>
      <c r="K1533" s="3">
        <v>0</v>
      </c>
      <c r="L1533" s="5">
        <v>4176000</v>
      </c>
      <c r="M1533" s="3">
        <v>0</v>
      </c>
      <c r="N1533" s="5">
        <v>141000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5">
        <v>200000</v>
      </c>
      <c r="U1533" s="3">
        <v>0</v>
      </c>
      <c r="V1533" s="5">
        <v>10000</v>
      </c>
      <c r="W1533" s="3">
        <v>0</v>
      </c>
      <c r="X1533" s="5">
        <v>15000</v>
      </c>
      <c r="Y1533" s="3">
        <v>0</v>
      </c>
      <c r="Z1533" s="3">
        <v>0</v>
      </c>
      <c r="AA1533" s="5">
        <v>141000</v>
      </c>
      <c r="AB1533" s="6">
        <v>5103000</v>
      </c>
      <c r="AC1533" s="2" t="str">
        <f>VLOOKUP(F1533,'[1]Detailed Transfer Report (12)'!$L:$Y,12,FALSE)</f>
        <v>Sajida Bibi</v>
      </c>
      <c r="AD1533" s="2" t="str">
        <f>VLOOKUP(F1533,'[1]Detailed Transfer Report (12)'!$L:$Y,13,FALSE)</f>
        <v>Sardar Tanveer Ilyas</v>
      </c>
      <c r="AE1533" s="16">
        <f>VLOOKUP(F1533,'[1]Detailed Transfer Report (12)'!$L:$Y,14,FALSE)</f>
        <v>45658</v>
      </c>
    </row>
    <row r="1534" spans="1:31" x14ac:dyDescent="0.25">
      <c r="A1534" s="9">
        <v>783</v>
      </c>
      <c r="B1534" s="4">
        <v>45671</v>
      </c>
      <c r="C1534" s="3" t="s">
        <v>188</v>
      </c>
      <c r="D1534" s="3" t="s">
        <v>1785</v>
      </c>
      <c r="E1534" s="3"/>
      <c r="F1534" s="3">
        <v>2823</v>
      </c>
      <c r="G1534" s="3" t="s">
        <v>756</v>
      </c>
      <c r="H1534" s="3">
        <v>0</v>
      </c>
      <c r="I1534" s="3">
        <v>0</v>
      </c>
      <c r="J1534" s="5">
        <v>475200</v>
      </c>
      <c r="K1534" s="3">
        <v>0</v>
      </c>
      <c r="L1534" s="5">
        <v>2600000</v>
      </c>
      <c r="M1534" s="3">
        <v>0</v>
      </c>
      <c r="N1534" s="5">
        <v>159400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5">
        <v>250000</v>
      </c>
      <c r="U1534" s="3">
        <v>0</v>
      </c>
      <c r="V1534" s="5">
        <v>10000</v>
      </c>
      <c r="W1534" s="3">
        <v>0</v>
      </c>
      <c r="X1534" s="5">
        <v>15840</v>
      </c>
      <c r="Y1534" s="3">
        <v>0</v>
      </c>
      <c r="Z1534" s="3">
        <v>0</v>
      </c>
      <c r="AA1534" s="5">
        <v>158400</v>
      </c>
      <c r="AB1534" s="6">
        <v>8771840</v>
      </c>
      <c r="AC1534" s="2" t="str">
        <f>VLOOKUP(F1534,'[1]Detailed Transfer Report (12)'!$L:$Y,12,FALSE)</f>
        <v>Hayat Muhammad</v>
      </c>
      <c r="AD1534" s="2" t="str">
        <f>VLOOKUP(F1534,'[1]Detailed Transfer Report (12)'!$L:$Y,13,FALSE)</f>
        <v>Sardar Tanveer Ilyas</v>
      </c>
      <c r="AE1534" s="16">
        <f>VLOOKUP(F1534,'[1]Detailed Transfer Report (12)'!$L:$Y,14,FALSE)</f>
        <v>45743</v>
      </c>
    </row>
    <row r="1535" spans="1:31" x14ac:dyDescent="0.25">
      <c r="A1535" s="10">
        <v>783</v>
      </c>
      <c r="B1535" s="4">
        <v>45792</v>
      </c>
      <c r="C1535" s="3" t="s">
        <v>46</v>
      </c>
      <c r="D1535" s="3" t="s">
        <v>1786</v>
      </c>
      <c r="E1535" s="3"/>
      <c r="F1535" s="3">
        <v>2511</v>
      </c>
      <c r="G1535" s="3" t="s">
        <v>756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5">
        <v>1950000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6">
        <v>10721840</v>
      </c>
      <c r="AC1535" s="2" t="str">
        <f>VLOOKUP(F1535,'[1]Detailed Transfer Report (12)'!$L:$Y,12,FALSE)</f>
        <v>Muhammad Riyasat</v>
      </c>
      <c r="AD1535" s="2" t="str">
        <f>VLOOKUP(F1535,'[1]Detailed Transfer Report (12)'!$L:$Y,13,FALSE)</f>
        <v>Sardar Tanveer Ilyas</v>
      </c>
      <c r="AE1535" s="16">
        <f>VLOOKUP(F1535,'[1]Detailed Transfer Report (12)'!$L:$Y,14,FALSE)</f>
        <v>45775</v>
      </c>
    </row>
    <row r="1536" spans="1:31" x14ac:dyDescent="0.25">
      <c r="A1536" s="7">
        <v>784</v>
      </c>
      <c r="B1536" s="4">
        <v>45671</v>
      </c>
      <c r="C1536" s="3" t="s">
        <v>308</v>
      </c>
      <c r="D1536" s="3" t="s">
        <v>822</v>
      </c>
      <c r="E1536" s="3"/>
      <c r="F1536" s="3">
        <v>11988364</v>
      </c>
      <c r="G1536" s="3" t="s">
        <v>1179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8">
        <v>0</v>
      </c>
      <c r="AC1536" s="2" t="str">
        <f>VLOOKUP(F1536,'[1]Detailed Transfer Report (12)'!$L:$Y,12,FALSE)</f>
        <v>Raja Kamran</v>
      </c>
      <c r="AD1536" s="2" t="str">
        <f>VLOOKUP(F1536,'[1]Detailed Transfer Report (12)'!$L:$Y,13,FALSE)</f>
        <v>Sardar Tanveer Ilyas</v>
      </c>
      <c r="AE1536" s="16"/>
    </row>
    <row r="1537" spans="1:31" x14ac:dyDescent="0.25">
      <c r="A1537" s="9">
        <v>784</v>
      </c>
      <c r="B1537" s="4">
        <v>45671</v>
      </c>
      <c r="C1537" s="3" t="s">
        <v>137</v>
      </c>
      <c r="D1537" s="3" t="s">
        <v>822</v>
      </c>
      <c r="E1537" s="3"/>
      <c r="F1537" s="3">
        <v>11991732</v>
      </c>
      <c r="G1537" s="3" t="s">
        <v>1179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8">
        <v>0</v>
      </c>
      <c r="AC1537" s="2" t="str">
        <f>VLOOKUP(F1537,'[1]Detailed Transfer Report (12)'!$L:$Y,12,FALSE)</f>
        <v>Muhammad Naseer</v>
      </c>
      <c r="AD1537" s="2" t="str">
        <f>VLOOKUP(F1537,'[1]Detailed Transfer Report (12)'!$L:$Y,13,FALSE)</f>
        <v>Sardar Tanveer Ilyas</v>
      </c>
      <c r="AE1537" s="16"/>
    </row>
    <row r="1538" spans="1:31" x14ac:dyDescent="0.25">
      <c r="A1538" s="9">
        <v>784</v>
      </c>
      <c r="B1538" s="4">
        <v>45671</v>
      </c>
      <c r="C1538" s="3" t="s">
        <v>44</v>
      </c>
      <c r="D1538" s="3" t="s">
        <v>822</v>
      </c>
      <c r="E1538" s="3"/>
      <c r="F1538" s="3">
        <v>11991786</v>
      </c>
      <c r="G1538" s="3" t="s">
        <v>1179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8">
        <v>0</v>
      </c>
      <c r="AC1538" s="2" t="str">
        <f>VLOOKUP(F1538,'[1]Detailed Transfer Report (12)'!$L:$Y,12,FALSE)</f>
        <v>Rasheeda begum</v>
      </c>
      <c r="AD1538" s="2" t="str">
        <f>VLOOKUP(F1538,'[1]Detailed Transfer Report (12)'!$L:$Y,13,FALSE)</f>
        <v>Sardar Tanveer Ilyas</v>
      </c>
      <c r="AE1538" s="16"/>
    </row>
    <row r="1539" spans="1:31" x14ac:dyDescent="0.25">
      <c r="A1539" s="9">
        <v>784</v>
      </c>
      <c r="B1539" s="4">
        <v>45889</v>
      </c>
      <c r="C1539" s="3" t="s">
        <v>153</v>
      </c>
      <c r="D1539" s="3" t="s">
        <v>822</v>
      </c>
      <c r="E1539" s="3"/>
      <c r="F1539" s="3">
        <v>11935084</v>
      </c>
      <c r="G1539" s="3" t="s">
        <v>1179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8">
        <v>0</v>
      </c>
      <c r="AE1539" s="16"/>
    </row>
    <row r="1540" spans="1:31" x14ac:dyDescent="0.25">
      <c r="A1540" s="9">
        <v>784</v>
      </c>
      <c r="B1540" s="4">
        <v>45889</v>
      </c>
      <c r="C1540" s="3" t="s">
        <v>153</v>
      </c>
      <c r="D1540" s="3" t="s">
        <v>822</v>
      </c>
      <c r="E1540" s="3"/>
      <c r="F1540" s="3">
        <v>11935114</v>
      </c>
      <c r="G1540" s="3" t="s">
        <v>1179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8">
        <v>0</v>
      </c>
      <c r="AE1540" s="16"/>
    </row>
    <row r="1541" spans="1:31" x14ac:dyDescent="0.25">
      <c r="A1541" s="9">
        <v>784</v>
      </c>
      <c r="B1541" s="4">
        <v>45889</v>
      </c>
      <c r="C1541" s="3" t="s">
        <v>44</v>
      </c>
      <c r="D1541" s="3" t="s">
        <v>822</v>
      </c>
      <c r="E1541" s="3"/>
      <c r="F1541" s="3">
        <v>12013890</v>
      </c>
      <c r="G1541" s="3" t="s">
        <v>1179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8">
        <v>0</v>
      </c>
      <c r="AC1541" s="2" t="str">
        <f>VLOOKUP(F1541,'[1]Detailed Transfer Report (12)'!$L:$Y,12,FALSE)</f>
        <v>Muhammad</v>
      </c>
      <c r="AD1541" s="2" t="str">
        <f>VLOOKUP(F1541,'[1]Detailed Transfer Report (12)'!$L:$Y,13,FALSE)</f>
        <v>Sardar Tanveer Ilyas</v>
      </c>
      <c r="AE1541" s="16"/>
    </row>
    <row r="1542" spans="1:31" x14ac:dyDescent="0.25">
      <c r="A1542" s="9">
        <v>784</v>
      </c>
      <c r="B1542" s="4">
        <v>45889</v>
      </c>
      <c r="C1542" s="3" t="s">
        <v>1787</v>
      </c>
      <c r="D1542" s="3" t="s">
        <v>822</v>
      </c>
      <c r="E1542" s="3">
        <v>4172</v>
      </c>
      <c r="F1542" s="3">
        <v>5685</v>
      </c>
      <c r="G1542" s="3" t="s">
        <v>1179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8">
        <v>0</v>
      </c>
      <c r="AC1542" s="2" t="str">
        <f>VLOOKUP(E1542,'[1]Detailed Transfer Report (12)'!$K:$Y,13,FALSE)</f>
        <v>Rasheeda begum</v>
      </c>
      <c r="AD1542" s="2" t="str">
        <f>VLOOKUP(E1542,'[1]Detailed Transfer Report (12)'!$K:$Y,14,FALSE)</f>
        <v>Sardar Tanveer Ilyas</v>
      </c>
      <c r="AE1542" s="16">
        <f>VLOOKUP(E1542,'[1]Detailed Transfer Report (12)'!$K:$Y,15,FALSE)</f>
        <v>45884</v>
      </c>
    </row>
    <row r="1543" spans="1:31" x14ac:dyDescent="0.25">
      <c r="A1543" s="9">
        <v>784</v>
      </c>
      <c r="B1543" s="4">
        <v>45889</v>
      </c>
      <c r="C1543" s="3" t="s">
        <v>855</v>
      </c>
      <c r="D1543" s="3" t="s">
        <v>822</v>
      </c>
      <c r="E1543" s="3"/>
      <c r="F1543" s="3">
        <v>12009345</v>
      </c>
      <c r="G1543" s="3" t="s">
        <v>1179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8">
        <v>0</v>
      </c>
      <c r="AC1543" s="2" t="str">
        <f>VLOOKUP(F1543,'[1]Detailed Transfer Report (12)'!$L:$Y,12,FALSE)</f>
        <v>Sajida</v>
      </c>
      <c r="AD1543" s="2" t="str">
        <f>VLOOKUP(F1543,'[1]Detailed Transfer Report (12)'!$L:$Y,13,FALSE)</f>
        <v>Sardar Tanveer Ilyas</v>
      </c>
      <c r="AE1543" s="16"/>
    </row>
    <row r="1544" spans="1:31" x14ac:dyDescent="0.25">
      <c r="A1544" s="10">
        <v>784</v>
      </c>
      <c r="B1544" s="4">
        <v>45889</v>
      </c>
      <c r="C1544" s="3" t="s">
        <v>1788</v>
      </c>
      <c r="D1544" s="3" t="s">
        <v>822</v>
      </c>
      <c r="E1544" s="3">
        <v>4148</v>
      </c>
      <c r="F1544" s="3">
        <v>1864</v>
      </c>
      <c r="G1544" s="3" t="s">
        <v>1179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8">
        <v>0</v>
      </c>
      <c r="AC1544" s="2" t="str">
        <f>VLOOKUP(E1544,'[1]Detailed Transfer Report (12)'!$K:$Y,13,FALSE)</f>
        <v>Attique Ur Rehman</v>
      </c>
      <c r="AD1544" s="2" t="str">
        <f>VLOOKUP(E1544,'[1]Detailed Transfer Report (12)'!$K:$Y,14,FALSE)</f>
        <v>Sardar Tanveer Ilyas</v>
      </c>
      <c r="AE1544" s="16">
        <f>VLOOKUP(E1544,'[1]Detailed Transfer Report (12)'!$K:$Y,15,FALSE)</f>
        <v>45692</v>
      </c>
    </row>
    <row r="1545" spans="1:31" x14ac:dyDescent="0.25">
      <c r="A1545" s="3">
        <v>785</v>
      </c>
      <c r="B1545" s="4">
        <v>45721</v>
      </c>
      <c r="C1545" s="3" t="s">
        <v>44</v>
      </c>
      <c r="D1545" s="3" t="s">
        <v>822</v>
      </c>
      <c r="E1545" s="3"/>
      <c r="F1545" s="3"/>
      <c r="G1545" s="3" t="s">
        <v>1469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8">
        <v>0</v>
      </c>
      <c r="AE1545" s="16"/>
    </row>
    <row r="1546" spans="1:31" x14ac:dyDescent="0.25">
      <c r="A1546" s="3">
        <v>786</v>
      </c>
      <c r="B1546" s="4">
        <v>45738</v>
      </c>
      <c r="C1546" s="3" t="s">
        <v>44</v>
      </c>
      <c r="D1546" s="3" t="s">
        <v>822</v>
      </c>
      <c r="E1546" s="3"/>
      <c r="F1546" s="3"/>
      <c r="G1546" s="3" t="s">
        <v>756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8">
        <v>0</v>
      </c>
      <c r="AE1546" s="16"/>
    </row>
    <row r="1547" spans="1:31" x14ac:dyDescent="0.25">
      <c r="A1547" s="7">
        <v>787</v>
      </c>
      <c r="B1547" s="4">
        <v>45743</v>
      </c>
      <c r="C1547" s="3" t="s">
        <v>521</v>
      </c>
      <c r="D1547" s="3" t="s">
        <v>822</v>
      </c>
      <c r="E1547" s="3"/>
      <c r="F1547" s="3">
        <v>18371</v>
      </c>
      <c r="G1547" s="3" t="s">
        <v>756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8">
        <v>0</v>
      </c>
      <c r="AC1547" s="2" t="str">
        <f>VLOOKUP(F1547,'[1]Detailed Transfer Report (12)'!$L:$Y,12,FALSE)</f>
        <v>Taimoor Younis</v>
      </c>
      <c r="AD1547" s="2" t="str">
        <f>VLOOKUP(F1547,'[1]Detailed Transfer Report (12)'!$L:$Y,13,FALSE)</f>
        <v>Sardar Tanveer Ilyas</v>
      </c>
      <c r="AE1547" s="16">
        <f>VLOOKUP(F1547,'[1]Detailed Transfer Report (12)'!$L:$Y,14,FALSE)</f>
        <v>45743</v>
      </c>
    </row>
    <row r="1548" spans="1:31" x14ac:dyDescent="0.25">
      <c r="A1548" s="10">
        <v>787</v>
      </c>
      <c r="B1548" s="4">
        <v>45743</v>
      </c>
      <c r="C1548" s="3" t="s">
        <v>68</v>
      </c>
      <c r="D1548" s="3" t="s">
        <v>1789</v>
      </c>
      <c r="E1548" s="3"/>
      <c r="F1548" s="3">
        <v>13560</v>
      </c>
      <c r="G1548" s="3" t="s">
        <v>756</v>
      </c>
      <c r="H1548" s="3">
        <v>0</v>
      </c>
      <c r="I1548" s="3">
        <v>0</v>
      </c>
      <c r="J1548" s="5">
        <v>50000</v>
      </c>
      <c r="K1548" s="3">
        <v>0</v>
      </c>
      <c r="L1548" s="3">
        <v>0</v>
      </c>
      <c r="M1548" s="3">
        <v>0</v>
      </c>
      <c r="N1548" s="5">
        <v>25000</v>
      </c>
      <c r="O1548" s="3">
        <v>0</v>
      </c>
      <c r="P1548" s="5">
        <v>26000</v>
      </c>
      <c r="Q1548" s="3">
        <v>0</v>
      </c>
      <c r="R1548" s="5">
        <v>100000</v>
      </c>
      <c r="S1548" s="5">
        <v>13500</v>
      </c>
      <c r="T1548" s="5">
        <v>8000</v>
      </c>
      <c r="U1548" s="3">
        <v>0</v>
      </c>
      <c r="V1548" s="3">
        <v>0</v>
      </c>
      <c r="W1548" s="3">
        <v>0</v>
      </c>
      <c r="X1548" s="5">
        <v>1100</v>
      </c>
      <c r="Y1548" s="3">
        <v>0</v>
      </c>
      <c r="Z1548" s="5">
        <v>2000</v>
      </c>
      <c r="AA1548" s="5">
        <v>16000</v>
      </c>
      <c r="AB1548" s="6">
        <v>241600</v>
      </c>
      <c r="AC1548" s="2" t="str">
        <f>VLOOKUP(F1548,'[1]Detailed Transfer Report (12)'!$L:$Y,12,FALSE)</f>
        <v>Waqar Younis</v>
      </c>
      <c r="AD1548" s="2" t="str">
        <f>VLOOKUP(F1548,'[1]Detailed Transfer Report (12)'!$L:$Y,13,FALSE)</f>
        <v>Sardar Tanveer Ilyas</v>
      </c>
      <c r="AE1548" s="16">
        <f>VLOOKUP(F1548,'[1]Detailed Transfer Report (12)'!$L:$Y,14,FALSE)</f>
        <v>45743</v>
      </c>
    </row>
    <row r="1549" spans="1:31" ht="23.25" x14ac:dyDescent="0.25">
      <c r="A1549" s="3">
        <v>788</v>
      </c>
      <c r="B1549" s="4">
        <v>45761</v>
      </c>
      <c r="C1549" s="3" t="s">
        <v>754</v>
      </c>
      <c r="D1549" s="3" t="s">
        <v>1790</v>
      </c>
      <c r="E1549" s="3"/>
      <c r="F1549" s="3">
        <v>11728</v>
      </c>
      <c r="G1549" s="3" t="s">
        <v>30</v>
      </c>
      <c r="H1549" s="3">
        <v>0</v>
      </c>
      <c r="I1549" s="3">
        <v>0</v>
      </c>
      <c r="J1549" s="5">
        <v>504000</v>
      </c>
      <c r="K1549" s="3">
        <v>0</v>
      </c>
      <c r="L1549" s="3">
        <v>0</v>
      </c>
      <c r="M1549" s="3">
        <v>0</v>
      </c>
      <c r="N1549" s="5">
        <v>185600</v>
      </c>
      <c r="O1549" s="3">
        <v>0</v>
      </c>
      <c r="P1549" s="5">
        <v>169000</v>
      </c>
      <c r="Q1549" s="5">
        <v>17600</v>
      </c>
      <c r="R1549" s="5">
        <v>2123960</v>
      </c>
      <c r="S1549" s="3">
        <v>0</v>
      </c>
      <c r="T1549" s="5">
        <v>258000</v>
      </c>
      <c r="U1549" s="3">
        <v>0</v>
      </c>
      <c r="V1549" s="5">
        <v>100000</v>
      </c>
      <c r="W1549" s="3">
        <v>0</v>
      </c>
      <c r="X1549" s="5">
        <v>19800</v>
      </c>
      <c r="Y1549" s="3">
        <v>0</v>
      </c>
      <c r="Z1549" s="5">
        <v>2000</v>
      </c>
      <c r="AA1549" s="5">
        <v>268000</v>
      </c>
      <c r="AB1549" s="6">
        <v>3647960</v>
      </c>
      <c r="AC1549" s="2" t="str">
        <f>VLOOKUP(F1549,'[1]Detailed Transfer Report (12)'!$L:$Y,12,FALSE)</f>
        <v>Malik Irfan</v>
      </c>
      <c r="AD1549" s="2" t="str">
        <f>VLOOKUP(F1549,'[1]Detailed Transfer Report (12)'!$L:$Y,13,FALSE)</f>
        <v>Sardar Tanveer Ilyas</v>
      </c>
      <c r="AE1549" s="16">
        <f>VLOOKUP(F1549,'[1]Detailed Transfer Report (12)'!$L:$Y,14,FALSE)</f>
        <v>45790</v>
      </c>
    </row>
    <row r="1550" spans="1:31" x14ac:dyDescent="0.25">
      <c r="A1550" s="3">
        <v>790</v>
      </c>
      <c r="B1550" s="4">
        <v>45789</v>
      </c>
      <c r="C1550" s="3" t="s">
        <v>44</v>
      </c>
      <c r="D1550" s="3" t="s">
        <v>1791</v>
      </c>
      <c r="E1550" s="3" t="s">
        <v>1792</v>
      </c>
      <c r="F1550" s="3"/>
      <c r="G1550" s="3" t="s">
        <v>30</v>
      </c>
      <c r="H1550" s="3">
        <v>0</v>
      </c>
      <c r="I1550" s="3">
        <v>0</v>
      </c>
      <c r="J1550" s="5">
        <v>52000</v>
      </c>
      <c r="K1550" s="3">
        <v>0</v>
      </c>
      <c r="L1550" s="3">
        <v>0</v>
      </c>
      <c r="M1550" s="3">
        <v>0</v>
      </c>
      <c r="N1550" s="5">
        <v>17000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5">
        <v>6000</v>
      </c>
      <c r="U1550" s="3">
        <v>0</v>
      </c>
      <c r="V1550" s="5">
        <v>50000</v>
      </c>
      <c r="W1550" s="3">
        <v>0</v>
      </c>
      <c r="X1550" s="5">
        <v>3000</v>
      </c>
      <c r="Y1550" s="3">
        <v>0</v>
      </c>
      <c r="Z1550" s="5">
        <v>18000</v>
      </c>
      <c r="AA1550" s="3">
        <v>0</v>
      </c>
      <c r="AB1550" s="6">
        <v>146000</v>
      </c>
      <c r="AE1550" s="16"/>
    </row>
    <row r="1551" spans="1:31" x14ac:dyDescent="0.25">
      <c r="A1551" s="3">
        <v>791</v>
      </c>
      <c r="B1551" s="4">
        <v>45791</v>
      </c>
      <c r="C1551" s="3" t="s">
        <v>1793</v>
      </c>
      <c r="D1551" s="3" t="s">
        <v>1794</v>
      </c>
      <c r="E1551" s="3">
        <v>4190</v>
      </c>
      <c r="F1551" s="3">
        <v>7851</v>
      </c>
      <c r="G1551" s="3" t="s">
        <v>1179</v>
      </c>
      <c r="H1551" s="3">
        <v>0</v>
      </c>
      <c r="I1551" s="3">
        <v>0</v>
      </c>
      <c r="J1551" s="5">
        <v>594180</v>
      </c>
      <c r="K1551" s="3">
        <v>0</v>
      </c>
      <c r="L1551" s="3">
        <v>0</v>
      </c>
      <c r="M1551" s="3">
        <v>0</v>
      </c>
      <c r="N1551" s="5">
        <v>198060</v>
      </c>
      <c r="O1551" s="3">
        <v>0</v>
      </c>
      <c r="P1551" s="5">
        <v>199060</v>
      </c>
      <c r="Q1551" s="3">
        <v>0</v>
      </c>
      <c r="R1551" s="5">
        <v>792140</v>
      </c>
      <c r="S1551" s="3">
        <v>0</v>
      </c>
      <c r="T1551" s="5">
        <v>5000</v>
      </c>
      <c r="U1551" s="3">
        <v>0</v>
      </c>
      <c r="V1551" s="5">
        <v>8000</v>
      </c>
      <c r="W1551" s="3">
        <v>0</v>
      </c>
      <c r="X1551" s="5">
        <v>19906</v>
      </c>
      <c r="Y1551" s="3">
        <v>0</v>
      </c>
      <c r="Z1551" s="5">
        <v>107000</v>
      </c>
      <c r="AA1551" s="5">
        <v>2000</v>
      </c>
      <c r="AB1551" s="6">
        <v>1925346</v>
      </c>
      <c r="AC1551" s="2" t="str">
        <f>VLOOKUP(E1551,'[1]Detailed Transfer Report (12)'!$K:$Y,13,FALSE)</f>
        <v>Raja Mujahid Haneef kiyani</v>
      </c>
      <c r="AD1551" s="2" t="str">
        <f>VLOOKUP(E1551,'[1]Detailed Transfer Report (12)'!$K:$Y,14,FALSE)</f>
        <v>Sardar Tanveer Ilyas</v>
      </c>
      <c r="AE1551" s="16">
        <f>VLOOKUP(E1551,'[1]Detailed Transfer Report (12)'!$K:$Y,15,FALSE)</f>
        <v>45807</v>
      </c>
    </row>
    <row r="1552" spans="1:31" ht="23.25" x14ac:dyDescent="0.25">
      <c r="A1552" s="7">
        <v>793</v>
      </c>
      <c r="B1552" s="4">
        <v>45793</v>
      </c>
      <c r="C1552" s="3" t="s">
        <v>1635</v>
      </c>
      <c r="D1552" s="3" t="s">
        <v>1795</v>
      </c>
      <c r="E1552" s="3" t="s">
        <v>1796</v>
      </c>
      <c r="F1552" s="3"/>
      <c r="G1552" s="3" t="s">
        <v>41</v>
      </c>
      <c r="H1552" s="3">
        <v>0</v>
      </c>
      <c r="I1552" s="3">
        <v>0</v>
      </c>
      <c r="J1552" s="5">
        <v>62790</v>
      </c>
      <c r="K1552" s="3">
        <v>0</v>
      </c>
      <c r="L1552" s="3">
        <v>0</v>
      </c>
      <c r="M1552" s="3">
        <v>0</v>
      </c>
      <c r="N1552" s="5">
        <v>23300</v>
      </c>
      <c r="O1552" s="3">
        <v>0</v>
      </c>
      <c r="P1552" s="5">
        <v>21930</v>
      </c>
      <c r="Q1552" s="5">
        <v>2370</v>
      </c>
      <c r="R1552" s="5">
        <v>147985</v>
      </c>
      <c r="S1552" s="3">
        <v>0</v>
      </c>
      <c r="T1552" s="5">
        <v>8000</v>
      </c>
      <c r="U1552" s="3">
        <v>0</v>
      </c>
      <c r="V1552" s="5">
        <v>33470</v>
      </c>
      <c r="W1552" s="3">
        <v>0</v>
      </c>
      <c r="X1552" s="5">
        <v>3300</v>
      </c>
      <c r="Y1552" s="3">
        <v>0</v>
      </c>
      <c r="Z1552" s="5">
        <v>16000</v>
      </c>
      <c r="AA1552" s="5">
        <v>2000</v>
      </c>
      <c r="AB1552" s="6">
        <v>321145</v>
      </c>
      <c r="AE1552" s="16"/>
    </row>
    <row r="1553" spans="1:31" ht="23.25" x14ac:dyDescent="0.25">
      <c r="A1553" s="9">
        <v>793</v>
      </c>
      <c r="B1553" s="4">
        <v>45904</v>
      </c>
      <c r="C1553" s="3" t="s">
        <v>104</v>
      </c>
      <c r="D1553" s="3" t="s">
        <v>822</v>
      </c>
      <c r="E1553" s="3" t="s">
        <v>1797</v>
      </c>
      <c r="F1553" s="3"/>
      <c r="G1553" s="3" t="s">
        <v>41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6">
        <v>321145</v>
      </c>
      <c r="AE1553" s="16"/>
    </row>
    <row r="1554" spans="1:31" ht="23.25" x14ac:dyDescent="0.25">
      <c r="A1554" s="10">
        <v>793</v>
      </c>
      <c r="B1554" s="4">
        <v>45793</v>
      </c>
      <c r="C1554" s="3" t="s">
        <v>1798</v>
      </c>
      <c r="D1554" s="3" t="s">
        <v>1795</v>
      </c>
      <c r="E1554" s="3" t="s">
        <v>1796</v>
      </c>
      <c r="F1554" s="3"/>
      <c r="G1554" s="3" t="s">
        <v>41</v>
      </c>
      <c r="H1554" s="3">
        <v>0</v>
      </c>
      <c r="I1554" s="3">
        <v>0</v>
      </c>
      <c r="J1554" s="5">
        <v>48000</v>
      </c>
      <c r="K1554" s="3">
        <v>0</v>
      </c>
      <c r="L1554" s="3">
        <v>0</v>
      </c>
      <c r="M1554" s="3">
        <v>0</v>
      </c>
      <c r="N1554" s="5">
        <v>17800</v>
      </c>
      <c r="O1554" s="3">
        <v>0</v>
      </c>
      <c r="P1554" s="5">
        <v>18800</v>
      </c>
      <c r="Q1554" s="3">
        <v>0</v>
      </c>
      <c r="R1554" s="5">
        <v>204700</v>
      </c>
      <c r="S1554" s="3">
        <v>0</v>
      </c>
      <c r="T1554" s="5">
        <v>8000</v>
      </c>
      <c r="U1554" s="3">
        <v>0</v>
      </c>
      <c r="V1554" s="5">
        <v>25585</v>
      </c>
      <c r="W1554" s="3">
        <v>0</v>
      </c>
      <c r="X1554" s="5">
        <v>3300</v>
      </c>
      <c r="Y1554" s="3">
        <v>0</v>
      </c>
      <c r="Z1554" s="5">
        <v>16000</v>
      </c>
      <c r="AA1554" s="5">
        <v>2000</v>
      </c>
      <c r="AB1554" s="6">
        <v>665330</v>
      </c>
      <c r="AE1554" s="16"/>
    </row>
    <row r="1555" spans="1:31" x14ac:dyDescent="0.25">
      <c r="A1555" s="7">
        <v>794</v>
      </c>
      <c r="B1555" s="4">
        <v>45820</v>
      </c>
      <c r="C1555" s="3" t="s">
        <v>754</v>
      </c>
      <c r="D1555" s="3" t="s">
        <v>1799</v>
      </c>
      <c r="E1555" s="3">
        <v>148</v>
      </c>
      <c r="F1555" s="3">
        <v>11734</v>
      </c>
      <c r="G1555" s="3" t="s">
        <v>1469</v>
      </c>
      <c r="H1555" s="3">
        <v>0</v>
      </c>
      <c r="I1555" s="3">
        <v>0</v>
      </c>
      <c r="J1555" s="5">
        <v>2074680</v>
      </c>
      <c r="K1555" s="3">
        <v>0</v>
      </c>
      <c r="L1555" s="5">
        <v>5000000</v>
      </c>
      <c r="M1555" s="3">
        <v>0</v>
      </c>
      <c r="N1555" s="5">
        <v>691560</v>
      </c>
      <c r="O1555" s="3">
        <v>0</v>
      </c>
      <c r="P1555" s="5">
        <v>693560</v>
      </c>
      <c r="Q1555" s="3">
        <v>0</v>
      </c>
      <c r="R1555" s="5">
        <v>3918840</v>
      </c>
      <c r="S1555" s="5">
        <v>162000</v>
      </c>
      <c r="T1555" s="5">
        <v>20000</v>
      </c>
      <c r="U1555" s="3">
        <v>0</v>
      </c>
      <c r="V1555" s="3">
        <v>0</v>
      </c>
      <c r="W1555" s="3">
        <v>0</v>
      </c>
      <c r="X1555" s="5">
        <v>69156</v>
      </c>
      <c r="Y1555" s="3">
        <v>0</v>
      </c>
      <c r="Z1555" s="3">
        <v>0</v>
      </c>
      <c r="AA1555" s="5">
        <v>250000</v>
      </c>
      <c r="AB1555" s="6">
        <v>12879796</v>
      </c>
      <c r="AC1555" s="2" t="str">
        <f>VLOOKUP(E1555,'[1]Detailed Transfer Report (12)'!$K:$Y,13,FALSE)</f>
        <v>Naheed Akhtar</v>
      </c>
      <c r="AD1555" s="2" t="str">
        <f>VLOOKUP(E1555,'[1]Detailed Transfer Report (12)'!$K:$Y,14,FALSE)</f>
        <v>Sardar Tanveer Ilyas</v>
      </c>
      <c r="AE1555" s="16">
        <f>VLOOKUP(E1555,'[1]Detailed Transfer Report (12)'!$K:$Y,15,FALSE)</f>
        <v>45881</v>
      </c>
    </row>
    <row r="1556" spans="1:31" x14ac:dyDescent="0.25">
      <c r="A1556" s="10">
        <v>794</v>
      </c>
      <c r="B1556" s="4">
        <v>45909</v>
      </c>
      <c r="C1556" s="3" t="s">
        <v>188</v>
      </c>
      <c r="D1556" s="3" t="s">
        <v>1799</v>
      </c>
      <c r="E1556" s="3">
        <v>149</v>
      </c>
      <c r="F1556" s="3">
        <v>11721</v>
      </c>
      <c r="G1556" s="3" t="s">
        <v>1469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6">
        <v>12879796</v>
      </c>
      <c r="AC1556" s="2" t="str">
        <f>VLOOKUP(E1556,'[1]Detailed Transfer Report (12)'!$K:$Y,13,FALSE)</f>
        <v>Qaiser Maskeen</v>
      </c>
      <c r="AD1556" s="2" t="str">
        <f>VLOOKUP(E1556,'[1]Detailed Transfer Report (12)'!$K:$Y,14,FALSE)</f>
        <v>Sardar Tanveer Ilyas</v>
      </c>
      <c r="AE1556" s="16">
        <f>VLOOKUP(E1556,'[1]Detailed Transfer Report (12)'!$K:$Y,15,FALSE)</f>
        <v>45881</v>
      </c>
    </row>
    <row r="1557" spans="1:31" x14ac:dyDescent="0.25">
      <c r="A1557" s="7">
        <v>795</v>
      </c>
      <c r="B1557" s="4">
        <v>45822</v>
      </c>
      <c r="C1557" s="3" t="s">
        <v>137</v>
      </c>
      <c r="D1557" s="3" t="s">
        <v>822</v>
      </c>
      <c r="E1557" s="3"/>
      <c r="F1557" s="3"/>
      <c r="G1557" s="3" t="s">
        <v>1179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8">
        <v>0</v>
      </c>
      <c r="AE1557" s="16"/>
    </row>
    <row r="1558" spans="1:31" x14ac:dyDescent="0.25">
      <c r="A1558" s="9">
        <v>795</v>
      </c>
      <c r="B1558" s="4">
        <v>45822</v>
      </c>
      <c r="C1558" s="3" t="s">
        <v>308</v>
      </c>
      <c r="D1558" s="3" t="s">
        <v>822</v>
      </c>
      <c r="E1558" s="3"/>
      <c r="F1558" s="3"/>
      <c r="G1558" s="3" t="s">
        <v>1179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8">
        <v>0</v>
      </c>
      <c r="AE1558" s="16"/>
    </row>
    <row r="1559" spans="1:31" x14ac:dyDescent="0.25">
      <c r="A1559" s="9">
        <v>795</v>
      </c>
      <c r="B1559" s="4">
        <v>45822</v>
      </c>
      <c r="C1559" s="3" t="s">
        <v>68</v>
      </c>
      <c r="D1559" s="3" t="s">
        <v>822</v>
      </c>
      <c r="E1559" s="3"/>
      <c r="F1559" s="3"/>
      <c r="G1559" s="3" t="s">
        <v>1179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8">
        <v>0</v>
      </c>
      <c r="AE1559" s="16"/>
    </row>
    <row r="1560" spans="1:31" x14ac:dyDescent="0.25">
      <c r="A1560" s="9">
        <v>795</v>
      </c>
      <c r="B1560" s="4">
        <v>45822</v>
      </c>
      <c r="C1560" s="3" t="s">
        <v>141</v>
      </c>
      <c r="D1560" s="3" t="s">
        <v>822</v>
      </c>
      <c r="E1560" s="3"/>
      <c r="F1560" s="3"/>
      <c r="G1560" s="3" t="s">
        <v>1179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8">
        <v>0</v>
      </c>
      <c r="AE1560" s="16"/>
    </row>
    <row r="1561" spans="1:31" x14ac:dyDescent="0.25">
      <c r="A1561" s="9">
        <v>795</v>
      </c>
      <c r="B1561" s="4">
        <v>45822</v>
      </c>
      <c r="C1561" s="3" t="s">
        <v>1800</v>
      </c>
      <c r="D1561" s="3" t="s">
        <v>822</v>
      </c>
      <c r="E1561" s="3">
        <v>4172</v>
      </c>
      <c r="F1561" s="3">
        <v>5685</v>
      </c>
      <c r="G1561" s="3" t="s">
        <v>1179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8">
        <v>0</v>
      </c>
      <c r="AC1561" s="2" t="str">
        <f>VLOOKUP(E1561,'[1]Detailed Transfer Report (12)'!$K:$Y,13,FALSE)</f>
        <v>Rasheeda begum</v>
      </c>
      <c r="AD1561" s="2" t="str">
        <f>VLOOKUP(E1561,'[1]Detailed Transfer Report (12)'!$K:$Y,14,FALSE)</f>
        <v>Sardar Tanveer Ilyas</v>
      </c>
      <c r="AE1561" s="16">
        <f>VLOOKUP(E1561,'[1]Detailed Transfer Report (12)'!$K:$Y,15,FALSE)</f>
        <v>45884</v>
      </c>
    </row>
    <row r="1562" spans="1:31" x14ac:dyDescent="0.25">
      <c r="A1562" s="10">
        <v>795</v>
      </c>
      <c r="B1562" s="4">
        <v>45988</v>
      </c>
      <c r="C1562" s="3" t="s">
        <v>1801</v>
      </c>
      <c r="D1562" s="3" t="s">
        <v>822</v>
      </c>
      <c r="E1562" s="3" t="s">
        <v>1802</v>
      </c>
      <c r="F1562" s="3">
        <v>6014</v>
      </c>
      <c r="G1562" s="3" t="s">
        <v>30</v>
      </c>
      <c r="H1562" s="3">
        <v>0</v>
      </c>
      <c r="I1562" s="3">
        <v>0</v>
      </c>
      <c r="J1562" s="5">
        <v>56310</v>
      </c>
      <c r="K1562" s="3">
        <v>0</v>
      </c>
      <c r="L1562" s="3">
        <v>0</v>
      </c>
      <c r="M1562" s="3">
        <v>0</v>
      </c>
      <c r="N1562" s="5">
        <v>37540</v>
      </c>
      <c r="O1562" s="3">
        <v>0</v>
      </c>
      <c r="P1562" s="5">
        <v>38540</v>
      </c>
      <c r="Q1562" s="3">
        <v>0</v>
      </c>
      <c r="R1562" s="5">
        <v>431710</v>
      </c>
      <c r="S1562" s="5">
        <v>18450</v>
      </c>
      <c r="T1562" s="5">
        <v>38000</v>
      </c>
      <c r="U1562" s="3">
        <v>0</v>
      </c>
      <c r="V1562" s="3">
        <v>0</v>
      </c>
      <c r="W1562" s="3">
        <v>0</v>
      </c>
      <c r="X1562" s="5">
        <v>3754</v>
      </c>
      <c r="Y1562" s="3">
        <v>0</v>
      </c>
      <c r="Z1562" s="5">
        <v>2000</v>
      </c>
      <c r="AA1562" s="5">
        <v>34000</v>
      </c>
      <c r="AB1562" s="6">
        <v>660304</v>
      </c>
      <c r="AC1562" s="2" t="str">
        <f>VLOOKUP(E1562,'[1]Detailed Transfer Report (12)'!$K:$Y,13,FALSE)</f>
        <v>Dilawar Khan</v>
      </c>
      <c r="AD1562" s="2" t="str">
        <f>VLOOKUP(E1562,'[1]Detailed Transfer Report (12)'!$K:$Y,14,FALSE)</f>
        <v>Sardar Group of Companies Pvt Ltd</v>
      </c>
      <c r="AE1562" s="16">
        <f>VLOOKUP(E1562,'[1]Detailed Transfer Report (12)'!$K:$Y,15,FALSE)</f>
        <v>46130</v>
      </c>
    </row>
    <row r="1563" spans="1:31" ht="23.25" x14ac:dyDescent="0.25">
      <c r="A1563" s="7">
        <v>796</v>
      </c>
      <c r="B1563" s="4">
        <v>45834</v>
      </c>
      <c r="C1563" s="3" t="s">
        <v>346</v>
      </c>
      <c r="D1563" s="3" t="s">
        <v>822</v>
      </c>
      <c r="E1563" s="3" t="s">
        <v>1803</v>
      </c>
      <c r="F1563" s="3">
        <v>6327</v>
      </c>
      <c r="G1563" s="3" t="s">
        <v>41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8">
        <v>0</v>
      </c>
      <c r="AC1563" s="2" t="str">
        <f>VLOOKUP(E1563,'[1]Detailed Transfer Report (12)'!$K:$Y,13,FALSE)</f>
        <v>Zubaida Bibi</v>
      </c>
      <c r="AD1563" s="2" t="str">
        <f>VLOOKUP(E1563,'[1]Detailed Transfer Report (12)'!$K:$Y,14,FALSE)</f>
        <v>Sardar Tanveer Ilyas</v>
      </c>
      <c r="AE1563" s="16"/>
    </row>
    <row r="1564" spans="1:31" x14ac:dyDescent="0.25">
      <c r="A1564" s="10">
        <v>796</v>
      </c>
      <c r="B1564" s="4">
        <v>45826</v>
      </c>
      <c r="C1564" s="3" t="s">
        <v>1804</v>
      </c>
      <c r="D1564" s="3" t="s">
        <v>822</v>
      </c>
      <c r="E1564" s="3"/>
      <c r="F1564" s="3">
        <v>8327</v>
      </c>
      <c r="G1564" s="3" t="s">
        <v>41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8">
        <v>0</v>
      </c>
      <c r="AE1564" s="16"/>
    </row>
    <row r="1565" spans="1:31" x14ac:dyDescent="0.25">
      <c r="A1565" s="7">
        <v>797</v>
      </c>
      <c r="B1565" s="4">
        <v>45845</v>
      </c>
      <c r="C1565" s="3" t="s">
        <v>1805</v>
      </c>
      <c r="D1565" s="3" t="s">
        <v>1806</v>
      </c>
      <c r="E1565" s="3"/>
      <c r="F1565" s="3">
        <v>10221</v>
      </c>
      <c r="G1565" s="3" t="s">
        <v>30</v>
      </c>
      <c r="H1565" s="3">
        <v>0</v>
      </c>
      <c r="I1565" s="3">
        <v>0</v>
      </c>
      <c r="J1565" s="5">
        <v>79500</v>
      </c>
      <c r="K1565" s="3">
        <v>0</v>
      </c>
      <c r="L1565" s="3">
        <v>0</v>
      </c>
      <c r="M1565" s="3">
        <v>0</v>
      </c>
      <c r="N1565" s="5">
        <v>53000</v>
      </c>
      <c r="O1565" s="3">
        <v>0</v>
      </c>
      <c r="P1565" s="5">
        <v>54000</v>
      </c>
      <c r="Q1565" s="3">
        <v>0</v>
      </c>
      <c r="R1565" s="5">
        <v>609500</v>
      </c>
      <c r="S1565" s="5">
        <v>25000</v>
      </c>
      <c r="T1565" s="5">
        <v>10000</v>
      </c>
      <c r="U1565" s="3">
        <v>0</v>
      </c>
      <c r="V1565" s="3">
        <v>0</v>
      </c>
      <c r="W1565" s="3">
        <v>0</v>
      </c>
      <c r="X1565" s="5">
        <v>5300</v>
      </c>
      <c r="Y1565" s="3">
        <v>0</v>
      </c>
      <c r="Z1565" s="3">
        <v>0</v>
      </c>
      <c r="AA1565" s="5">
        <v>48000</v>
      </c>
      <c r="AB1565" s="6">
        <v>884300</v>
      </c>
      <c r="AC1565" s="2" t="str">
        <f>VLOOKUP(F1565,'[1]Detailed Transfer Report (12)'!$L:$Y,12,FALSE)</f>
        <v>Karim Jan</v>
      </c>
      <c r="AD1565" s="2" t="str">
        <f>VLOOKUP(F1565,'[1]Detailed Transfer Report (12)'!$L:$Y,13,FALSE)</f>
        <v>Sardar Tanveer Ilyas</v>
      </c>
      <c r="AE1565" s="16">
        <f>VLOOKUP(F1565,'[1]Detailed Transfer Report (12)'!$L:$Y,14,FALSE)</f>
        <v>45856</v>
      </c>
    </row>
    <row r="1566" spans="1:31" x14ac:dyDescent="0.25">
      <c r="A1566" s="10">
        <v>797</v>
      </c>
      <c r="B1566" s="4">
        <v>45845</v>
      </c>
      <c r="C1566" s="3" t="s">
        <v>1807</v>
      </c>
      <c r="D1566" s="3" t="s">
        <v>822</v>
      </c>
      <c r="E1566" s="3" t="s">
        <v>1808</v>
      </c>
      <c r="F1566" s="3"/>
      <c r="G1566" s="3" t="s">
        <v>30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6">
        <v>884300</v>
      </c>
      <c r="AE1566" s="16"/>
    </row>
    <row r="1567" spans="1:31" x14ac:dyDescent="0.25">
      <c r="A1567" s="7">
        <v>798</v>
      </c>
      <c r="B1567" s="4">
        <v>45846</v>
      </c>
      <c r="C1567" s="3" t="s">
        <v>141</v>
      </c>
      <c r="D1567" s="3" t="s">
        <v>1809</v>
      </c>
      <c r="E1567" s="3">
        <v>4215</v>
      </c>
      <c r="F1567" s="3">
        <v>10950</v>
      </c>
      <c r="G1567" s="3" t="s">
        <v>1179</v>
      </c>
      <c r="H1567" s="3">
        <v>0</v>
      </c>
      <c r="I1567" s="3">
        <v>0</v>
      </c>
      <c r="J1567" s="5">
        <v>155160</v>
      </c>
      <c r="K1567" s="3">
        <v>0</v>
      </c>
      <c r="L1567" s="3">
        <v>0</v>
      </c>
      <c r="M1567" s="3">
        <v>0</v>
      </c>
      <c r="N1567" s="5">
        <v>103440</v>
      </c>
      <c r="O1567" s="3">
        <v>0</v>
      </c>
      <c r="P1567" s="5">
        <v>104440</v>
      </c>
      <c r="Q1567" s="3">
        <v>0</v>
      </c>
      <c r="R1567" s="5">
        <v>1189560</v>
      </c>
      <c r="S1567" s="5">
        <v>15000</v>
      </c>
      <c r="T1567" s="5">
        <v>10000</v>
      </c>
      <c r="U1567" s="3">
        <v>0</v>
      </c>
      <c r="V1567" s="3">
        <v>0</v>
      </c>
      <c r="W1567" s="3">
        <v>0</v>
      </c>
      <c r="X1567" s="5">
        <v>10344</v>
      </c>
      <c r="Y1567" s="3">
        <v>0</v>
      </c>
      <c r="Z1567" s="3">
        <v>0</v>
      </c>
      <c r="AA1567" s="5">
        <v>48000</v>
      </c>
      <c r="AB1567" s="6">
        <v>1635944</v>
      </c>
      <c r="AC1567" s="2" t="str">
        <f>VLOOKUP(E1567,'[1]Detailed Transfer Report (12)'!$K:$Y,13,FALSE)</f>
        <v>Liaqat Ali Mughal</v>
      </c>
      <c r="AD1567" s="2" t="str">
        <f>VLOOKUP(E1567,'[1]Detailed Transfer Report (12)'!$K:$Y,14,FALSE)</f>
        <v>Sardar Tanveer Ilyas</v>
      </c>
      <c r="AE1567" s="16">
        <f>VLOOKUP(E1567,'[1]Detailed Transfer Report (12)'!$K:$Y,15,FALSE)</f>
        <v>45874</v>
      </c>
    </row>
    <row r="1568" spans="1:31" x14ac:dyDescent="0.25">
      <c r="A1568" s="9">
        <v>798</v>
      </c>
      <c r="B1568" s="4">
        <v>45852</v>
      </c>
      <c r="C1568" s="3" t="s">
        <v>1177</v>
      </c>
      <c r="D1568" s="3" t="s">
        <v>1809</v>
      </c>
      <c r="E1568" s="3">
        <v>4205</v>
      </c>
      <c r="F1568" s="3">
        <v>9701</v>
      </c>
      <c r="G1568" s="3" t="s">
        <v>1179</v>
      </c>
      <c r="H1568" s="3">
        <v>0</v>
      </c>
      <c r="I1568" s="5">
        <v>74132</v>
      </c>
      <c r="J1568" s="5">
        <v>111198</v>
      </c>
      <c r="K1568" s="3">
        <v>0</v>
      </c>
      <c r="L1568" s="3">
        <v>0</v>
      </c>
      <c r="M1568" s="3">
        <v>0</v>
      </c>
      <c r="N1568" s="5">
        <v>75132</v>
      </c>
      <c r="O1568" s="3">
        <v>0</v>
      </c>
      <c r="P1568" s="5">
        <v>75132</v>
      </c>
      <c r="Q1568" s="3">
        <v>0</v>
      </c>
      <c r="R1568" s="5">
        <v>555990</v>
      </c>
      <c r="S1568" s="5">
        <v>11000</v>
      </c>
      <c r="T1568" s="5">
        <v>10000</v>
      </c>
      <c r="U1568" s="3">
        <v>0</v>
      </c>
      <c r="V1568" s="3">
        <v>0</v>
      </c>
      <c r="W1568" s="3">
        <v>0</v>
      </c>
      <c r="X1568" s="5">
        <v>7413</v>
      </c>
      <c r="Y1568" s="3">
        <v>0</v>
      </c>
      <c r="Z1568" s="3">
        <v>0</v>
      </c>
      <c r="AA1568" s="5">
        <v>32000</v>
      </c>
      <c r="AB1568" s="6">
        <v>2587941</v>
      </c>
      <c r="AC1568" s="2" t="str">
        <f>VLOOKUP(E1568,'[1]Detailed Transfer Report (12)'!$K:$Y,13,FALSE)</f>
        <v>Arban Bibi</v>
      </c>
      <c r="AD1568" s="2" t="str">
        <f>VLOOKUP(E1568,'[1]Detailed Transfer Report (12)'!$K:$Y,14,FALSE)</f>
        <v>Sardar Tanveer Ilyas</v>
      </c>
      <c r="AE1568" s="16">
        <f>VLOOKUP(E1568,'[1]Detailed Transfer Report (12)'!$K:$Y,15,FALSE)</f>
        <v>45853</v>
      </c>
    </row>
    <row r="1569" spans="1:31" x14ac:dyDescent="0.25">
      <c r="A1569" s="10">
        <v>798</v>
      </c>
      <c r="B1569" s="4">
        <v>45852</v>
      </c>
      <c r="C1569" s="3" t="s">
        <v>304</v>
      </c>
      <c r="D1569" s="3" t="s">
        <v>1809</v>
      </c>
      <c r="E1569" s="3">
        <v>4204</v>
      </c>
      <c r="F1569" s="3">
        <v>9696</v>
      </c>
      <c r="G1569" s="3" t="s">
        <v>1179</v>
      </c>
      <c r="H1569" s="3">
        <v>0</v>
      </c>
      <c r="I1569" s="5">
        <v>63800</v>
      </c>
      <c r="J1569" s="5">
        <v>95700</v>
      </c>
      <c r="K1569" s="3">
        <v>0</v>
      </c>
      <c r="L1569" s="3">
        <v>0</v>
      </c>
      <c r="M1569" s="3">
        <v>0</v>
      </c>
      <c r="N1569" s="5">
        <v>63800</v>
      </c>
      <c r="O1569" s="3">
        <v>0</v>
      </c>
      <c r="P1569" s="5">
        <v>64800</v>
      </c>
      <c r="Q1569" s="3">
        <v>0</v>
      </c>
      <c r="R1569" s="5">
        <v>478500</v>
      </c>
      <c r="S1569" s="5">
        <v>10000</v>
      </c>
      <c r="T1569" s="5">
        <v>10000</v>
      </c>
      <c r="U1569" s="3">
        <v>0</v>
      </c>
      <c r="V1569" s="3">
        <v>0</v>
      </c>
      <c r="W1569" s="3">
        <v>0</v>
      </c>
      <c r="X1569" s="5">
        <v>6380</v>
      </c>
      <c r="Y1569" s="3">
        <v>0</v>
      </c>
      <c r="Z1569" s="3">
        <v>0</v>
      </c>
      <c r="AA1569" s="5">
        <v>32000</v>
      </c>
      <c r="AB1569" s="6">
        <v>3412921</v>
      </c>
      <c r="AC1569" s="2" t="str">
        <f>VLOOKUP(E1569,'[1]Detailed Transfer Report (12)'!$K:$Y,13,FALSE)</f>
        <v>Ghazanfar Ali</v>
      </c>
      <c r="AD1569" s="2" t="str">
        <f>VLOOKUP(E1569,'[1]Detailed Transfer Report (12)'!$K:$Y,14,FALSE)</f>
        <v>Sardar Tanveer Ilyas</v>
      </c>
      <c r="AE1569" s="16">
        <f>VLOOKUP(E1569,'[1]Detailed Transfer Report (12)'!$K:$Y,15,FALSE)</f>
        <v>45853</v>
      </c>
    </row>
    <row r="1570" spans="1:31" x14ac:dyDescent="0.25">
      <c r="A1570" s="7">
        <v>800</v>
      </c>
      <c r="B1570" s="4">
        <v>45890</v>
      </c>
      <c r="C1570" s="3" t="s">
        <v>1810</v>
      </c>
      <c r="D1570" s="3" t="s">
        <v>1811</v>
      </c>
      <c r="E1570" s="3">
        <v>4243</v>
      </c>
      <c r="F1570" s="3">
        <v>13515</v>
      </c>
      <c r="G1570" s="3" t="s">
        <v>1179</v>
      </c>
      <c r="H1570" s="3">
        <v>0</v>
      </c>
      <c r="I1570" s="3">
        <v>0</v>
      </c>
      <c r="J1570" s="5">
        <v>52208</v>
      </c>
      <c r="K1570" s="3">
        <v>0</v>
      </c>
      <c r="L1570" s="3">
        <v>0</v>
      </c>
      <c r="M1570" s="3">
        <v>0</v>
      </c>
      <c r="N1570" s="5">
        <v>35805</v>
      </c>
      <c r="O1570" s="3">
        <v>0</v>
      </c>
      <c r="P1570" s="5">
        <v>34805</v>
      </c>
      <c r="Q1570" s="3">
        <v>0</v>
      </c>
      <c r="R1570" s="5">
        <v>261360</v>
      </c>
      <c r="S1570" s="5">
        <v>5000</v>
      </c>
      <c r="T1570" s="5">
        <v>10000</v>
      </c>
      <c r="U1570" s="3">
        <v>0</v>
      </c>
      <c r="V1570" s="3">
        <v>0</v>
      </c>
      <c r="W1570" s="3">
        <v>0</v>
      </c>
      <c r="X1570" s="5">
        <v>3481</v>
      </c>
      <c r="Y1570" s="3">
        <v>0</v>
      </c>
      <c r="Z1570" s="3">
        <v>0</v>
      </c>
      <c r="AA1570" s="5">
        <v>16000</v>
      </c>
      <c r="AB1570" s="6">
        <v>418659</v>
      </c>
      <c r="AC1570" s="2" t="str">
        <f>VLOOKUP(E1570,'[1]Detailed Transfer Report (12)'!$K:$Y,13,FALSE)</f>
        <v>Yasmeen Bibi</v>
      </c>
      <c r="AD1570" s="2" t="str">
        <f>VLOOKUP(E1570,'[1]Detailed Transfer Report (12)'!$K:$Y,14,FALSE)</f>
        <v>Sardar Tanveer Ilyas</v>
      </c>
      <c r="AE1570" s="16">
        <f>VLOOKUP(E1570,'[1]Detailed Transfer Report (12)'!$K:$Y,15,FALSE)</f>
        <v>45919</v>
      </c>
    </row>
    <row r="1571" spans="1:31" x14ac:dyDescent="0.25">
      <c r="A1571" s="9">
        <v>800</v>
      </c>
      <c r="B1571" s="4">
        <v>45890</v>
      </c>
      <c r="C1571" s="3" t="s">
        <v>1812</v>
      </c>
      <c r="D1571" s="3" t="s">
        <v>1813</v>
      </c>
      <c r="E1571" s="3">
        <v>4245</v>
      </c>
      <c r="F1571" s="3">
        <v>13517</v>
      </c>
      <c r="G1571" s="3" t="s">
        <v>1179</v>
      </c>
      <c r="H1571" s="3">
        <v>0</v>
      </c>
      <c r="I1571" s="3">
        <v>0</v>
      </c>
      <c r="J1571" s="5">
        <v>104415</v>
      </c>
      <c r="K1571" s="3">
        <v>0</v>
      </c>
      <c r="L1571" s="3">
        <v>0</v>
      </c>
      <c r="M1571" s="3">
        <v>0</v>
      </c>
      <c r="N1571" s="5">
        <v>69610</v>
      </c>
      <c r="O1571" s="3">
        <v>0</v>
      </c>
      <c r="P1571" s="5">
        <v>70610</v>
      </c>
      <c r="Q1571" s="3">
        <v>0</v>
      </c>
      <c r="R1571" s="5">
        <v>313245</v>
      </c>
      <c r="S1571" s="5">
        <v>9000</v>
      </c>
      <c r="T1571" s="5">
        <v>10000</v>
      </c>
      <c r="U1571" s="3">
        <v>0</v>
      </c>
      <c r="V1571" s="3">
        <v>0</v>
      </c>
      <c r="W1571" s="3">
        <v>0</v>
      </c>
      <c r="X1571" s="5">
        <v>6961</v>
      </c>
      <c r="Y1571" s="3">
        <v>0</v>
      </c>
      <c r="Z1571" s="3">
        <v>0</v>
      </c>
      <c r="AA1571" s="5">
        <v>32000</v>
      </c>
      <c r="AB1571" s="6">
        <v>1034500</v>
      </c>
      <c r="AD1571" s="2" t="str">
        <f>VLOOKUP(E1571,'[1]Detailed Transfer Report (12)'!$K:$Y,14,FALSE)</f>
        <v>Sardar Tanveer Ilyas</v>
      </c>
      <c r="AE1571" s="16"/>
    </row>
    <row r="1572" spans="1:31" x14ac:dyDescent="0.25">
      <c r="A1572" s="9">
        <v>800</v>
      </c>
      <c r="B1572" s="4">
        <v>45890</v>
      </c>
      <c r="C1572" s="3" t="s">
        <v>1812</v>
      </c>
      <c r="D1572" s="3" t="s">
        <v>1813</v>
      </c>
      <c r="E1572" s="3">
        <v>4246</v>
      </c>
      <c r="F1572" s="3">
        <v>13518</v>
      </c>
      <c r="G1572" s="3" t="s">
        <v>1179</v>
      </c>
      <c r="H1572" s="3">
        <v>0</v>
      </c>
      <c r="I1572" s="3">
        <v>0</v>
      </c>
      <c r="J1572" s="5">
        <v>104415</v>
      </c>
      <c r="K1572" s="3">
        <v>0</v>
      </c>
      <c r="L1572" s="3">
        <v>0</v>
      </c>
      <c r="M1572" s="3">
        <v>0</v>
      </c>
      <c r="N1572" s="5">
        <v>69610</v>
      </c>
      <c r="O1572" s="3">
        <v>0</v>
      </c>
      <c r="P1572" s="5">
        <v>70610</v>
      </c>
      <c r="Q1572" s="3">
        <v>0</v>
      </c>
      <c r="R1572" s="5">
        <v>313245</v>
      </c>
      <c r="S1572" s="5">
        <v>9000</v>
      </c>
      <c r="T1572" s="5">
        <v>10000</v>
      </c>
      <c r="U1572" s="3">
        <v>0</v>
      </c>
      <c r="V1572" s="3">
        <v>0</v>
      </c>
      <c r="W1572" s="3">
        <v>0</v>
      </c>
      <c r="X1572" s="5">
        <v>6961</v>
      </c>
      <c r="Y1572" s="3">
        <v>0</v>
      </c>
      <c r="Z1572" s="3">
        <v>0</v>
      </c>
      <c r="AA1572" s="5">
        <v>32000</v>
      </c>
      <c r="AB1572" s="6">
        <v>1650341</v>
      </c>
      <c r="AC1572" s="2" t="str">
        <f>VLOOKUP(E1572,'[1]Detailed Transfer Report (12)'!$K:$Y,13,FALSE)</f>
        <v>Raja Tahir Zaman Kayani</v>
      </c>
      <c r="AD1572" s="2" t="str">
        <f>VLOOKUP(E1572,'[1]Detailed Transfer Report (12)'!$K:$Y,14,FALSE)</f>
        <v>Sardar Tanveer Ilyas</v>
      </c>
      <c r="AE1572" s="16">
        <f>VLOOKUP(E1572,'[1]Detailed Transfer Report (12)'!$K:$Y,15,FALSE)</f>
        <v>45923</v>
      </c>
    </row>
    <row r="1573" spans="1:31" x14ac:dyDescent="0.25">
      <c r="A1573" s="9">
        <v>800</v>
      </c>
      <c r="B1573" s="4">
        <v>45890</v>
      </c>
      <c r="C1573" s="3" t="s">
        <v>1814</v>
      </c>
      <c r="D1573" s="3" t="s">
        <v>1815</v>
      </c>
      <c r="E1573" s="3">
        <v>4297</v>
      </c>
      <c r="F1573" s="3">
        <v>2799</v>
      </c>
      <c r="G1573" s="3" t="s">
        <v>1179</v>
      </c>
      <c r="H1573" s="3">
        <v>0</v>
      </c>
      <c r="I1573" s="5">
        <v>300080</v>
      </c>
      <c r="J1573" s="5">
        <v>3150840</v>
      </c>
      <c r="K1573" s="3">
        <v>0</v>
      </c>
      <c r="L1573" s="5">
        <v>6500000</v>
      </c>
      <c r="M1573" s="3">
        <v>0</v>
      </c>
      <c r="N1573" s="5">
        <v>300080</v>
      </c>
      <c r="O1573" s="3">
        <v>0</v>
      </c>
      <c r="P1573" s="5">
        <v>301080</v>
      </c>
      <c r="Q1573" s="3">
        <v>0</v>
      </c>
      <c r="R1573" s="5">
        <v>1350360</v>
      </c>
      <c r="S1573" s="5">
        <v>16000</v>
      </c>
      <c r="T1573" s="5">
        <v>25000</v>
      </c>
      <c r="U1573" s="3">
        <v>0</v>
      </c>
      <c r="V1573" s="3">
        <v>0</v>
      </c>
      <c r="W1573" s="3">
        <v>0</v>
      </c>
      <c r="X1573" s="5">
        <v>30008</v>
      </c>
      <c r="Y1573" s="3">
        <v>0</v>
      </c>
      <c r="Z1573" s="5">
        <v>2000</v>
      </c>
      <c r="AA1573" s="5">
        <v>144000</v>
      </c>
      <c r="AB1573" s="6">
        <v>13769789</v>
      </c>
      <c r="AC1573" s="2" t="str">
        <f>VLOOKUP(E1573,'[1]Detailed Transfer Report (12)'!$K:$Y,13,FALSE)</f>
        <v>Tasleem Bibi</v>
      </c>
      <c r="AD1573" s="2" t="str">
        <f>VLOOKUP(E1573,'[1]Detailed Transfer Report (12)'!$K:$Y,14,FALSE)</f>
        <v>Sardar Group of Companies Pvt Ltd</v>
      </c>
      <c r="AE1573" s="16">
        <f>VLOOKUP(E1573,'[1]Detailed Transfer Report (12)'!$K:$Y,15,FALSE)</f>
        <v>46050</v>
      </c>
    </row>
    <row r="1574" spans="1:31" x14ac:dyDescent="0.25">
      <c r="A1574" s="9">
        <v>800</v>
      </c>
      <c r="B1574" s="4">
        <v>45861</v>
      </c>
      <c r="C1574" s="3" t="s">
        <v>1810</v>
      </c>
      <c r="D1574" s="3" t="s">
        <v>1816</v>
      </c>
      <c r="E1574" s="3">
        <v>4244</v>
      </c>
      <c r="F1574" s="3">
        <v>13516</v>
      </c>
      <c r="G1574" s="3" t="s">
        <v>1179</v>
      </c>
      <c r="H1574" s="3">
        <v>0</v>
      </c>
      <c r="I1574" s="3">
        <v>0</v>
      </c>
      <c r="J1574" s="5">
        <v>52208</v>
      </c>
      <c r="K1574" s="3">
        <v>0</v>
      </c>
      <c r="L1574" s="3">
        <v>0</v>
      </c>
      <c r="M1574" s="3">
        <v>0</v>
      </c>
      <c r="N1574" s="5">
        <v>35805</v>
      </c>
      <c r="O1574" s="3">
        <v>0</v>
      </c>
      <c r="P1574" s="5">
        <v>34805</v>
      </c>
      <c r="Q1574" s="3">
        <v>0</v>
      </c>
      <c r="R1574" s="5">
        <v>261360</v>
      </c>
      <c r="S1574" s="5">
        <v>5000</v>
      </c>
      <c r="T1574" s="5">
        <v>10000</v>
      </c>
      <c r="U1574" s="3">
        <v>0</v>
      </c>
      <c r="V1574" s="3">
        <v>0</v>
      </c>
      <c r="W1574" s="3">
        <v>0</v>
      </c>
      <c r="X1574" s="5">
        <v>3481</v>
      </c>
      <c r="Y1574" s="3">
        <v>0</v>
      </c>
      <c r="Z1574" s="3">
        <v>0</v>
      </c>
      <c r="AA1574" s="5">
        <v>16000</v>
      </c>
      <c r="AB1574" s="6">
        <v>14188448</v>
      </c>
      <c r="AC1574" s="2" t="str">
        <f>VLOOKUP(E1574,'[1]Detailed Transfer Report (12)'!$K:$Y,13,FALSE)</f>
        <v>Shabnam Bibi</v>
      </c>
      <c r="AD1574" s="2" t="str">
        <f>VLOOKUP(E1574,'[1]Detailed Transfer Report (12)'!$K:$Y,14,FALSE)</f>
        <v>Sardar Tanveer Ilyas</v>
      </c>
      <c r="AE1574" s="16">
        <f>VLOOKUP(E1574,'[1]Detailed Transfer Report (12)'!$K:$Y,15,FALSE)</f>
        <v>45919</v>
      </c>
    </row>
    <row r="1575" spans="1:31" x14ac:dyDescent="0.25">
      <c r="A1575" s="10">
        <v>800</v>
      </c>
      <c r="B1575" s="4">
        <v>46002</v>
      </c>
      <c r="C1575" s="3" t="s">
        <v>1817</v>
      </c>
      <c r="D1575" s="3" t="s">
        <v>1815</v>
      </c>
      <c r="E1575" s="3">
        <v>4298</v>
      </c>
      <c r="F1575" s="3">
        <v>2801</v>
      </c>
      <c r="G1575" s="3" t="s">
        <v>1179</v>
      </c>
      <c r="H1575" s="3">
        <v>0</v>
      </c>
      <c r="I1575" s="5">
        <v>216565</v>
      </c>
      <c r="J1575" s="5">
        <v>324848</v>
      </c>
      <c r="K1575" s="3">
        <v>0</v>
      </c>
      <c r="L1575" s="3">
        <v>0</v>
      </c>
      <c r="M1575" s="3">
        <v>0</v>
      </c>
      <c r="N1575" s="5">
        <v>217565</v>
      </c>
      <c r="O1575" s="3">
        <v>0</v>
      </c>
      <c r="P1575" s="5">
        <v>218565</v>
      </c>
      <c r="Q1575" s="3">
        <v>0</v>
      </c>
      <c r="R1575" s="5">
        <v>974543</v>
      </c>
      <c r="S1575" s="5">
        <v>12000</v>
      </c>
      <c r="T1575" s="5">
        <v>25000</v>
      </c>
      <c r="U1575" s="3">
        <v>0</v>
      </c>
      <c r="V1575" s="3">
        <v>0</v>
      </c>
      <c r="W1575" s="3">
        <v>0</v>
      </c>
      <c r="X1575" s="5">
        <v>21657</v>
      </c>
      <c r="Y1575" s="3">
        <v>0</v>
      </c>
      <c r="Z1575" s="5">
        <v>2000</v>
      </c>
      <c r="AA1575" s="5">
        <v>112000</v>
      </c>
      <c r="AB1575" s="6">
        <v>16313191</v>
      </c>
      <c r="AC1575" s="2" t="str">
        <f>VLOOKUP(E1575,'[1]Detailed Transfer Report (12)'!$K:$Y,13,FALSE)</f>
        <v>Asiya Bibi</v>
      </c>
      <c r="AD1575" s="2" t="str">
        <f>VLOOKUP(E1575,'[1]Detailed Transfer Report (12)'!$K:$Y,14,FALSE)</f>
        <v>Sardar Group of Companies Pvt Ltd</v>
      </c>
      <c r="AE1575" s="16">
        <f>VLOOKUP(E1575,'[1]Detailed Transfer Report (12)'!$K:$Y,15,FALSE)</f>
        <v>46072</v>
      </c>
    </row>
    <row r="1576" spans="1:31" x14ac:dyDescent="0.25">
      <c r="A1576" s="7">
        <v>801</v>
      </c>
      <c r="B1576" s="4">
        <v>45868</v>
      </c>
      <c r="C1576" s="3" t="s">
        <v>44</v>
      </c>
      <c r="D1576" s="3" t="s">
        <v>1789</v>
      </c>
      <c r="E1576" s="3">
        <v>4224</v>
      </c>
      <c r="F1576" s="3">
        <v>11311</v>
      </c>
      <c r="G1576" s="3" t="s">
        <v>1179</v>
      </c>
      <c r="H1576" s="3">
        <v>0</v>
      </c>
      <c r="I1576" s="3">
        <v>0</v>
      </c>
      <c r="J1576" s="5">
        <v>93600</v>
      </c>
      <c r="K1576" s="3">
        <v>0</v>
      </c>
      <c r="L1576" s="3">
        <v>0</v>
      </c>
      <c r="M1576" s="3">
        <v>0</v>
      </c>
      <c r="N1576" s="5">
        <v>31200</v>
      </c>
      <c r="O1576" s="3">
        <v>0</v>
      </c>
      <c r="P1576" s="5">
        <v>32200</v>
      </c>
      <c r="Q1576" s="3">
        <v>0</v>
      </c>
      <c r="R1576" s="5">
        <v>312000</v>
      </c>
      <c r="S1576" s="5">
        <v>9000</v>
      </c>
      <c r="T1576" s="5">
        <v>8000</v>
      </c>
      <c r="U1576" s="3">
        <v>0</v>
      </c>
      <c r="V1576" s="3">
        <v>0</v>
      </c>
      <c r="W1576" s="3">
        <v>0</v>
      </c>
      <c r="X1576" s="5">
        <v>3120</v>
      </c>
      <c r="Y1576" s="3">
        <v>0</v>
      </c>
      <c r="Z1576" s="5">
        <v>2000</v>
      </c>
      <c r="AA1576" s="5">
        <v>16000</v>
      </c>
      <c r="AB1576" s="6">
        <v>507120</v>
      </c>
      <c r="AC1576" s="2" t="str">
        <f>VLOOKUP(E1576,'[1]Detailed Transfer Report (12)'!$K:$Y,13,FALSE)</f>
        <v>Muhammad Iqbal</v>
      </c>
      <c r="AD1576" s="2" t="str">
        <f>VLOOKUP(E1576,'[1]Detailed Transfer Report (12)'!$K:$Y,14,FALSE)</f>
        <v>Sardar Tanveer Ilyas</v>
      </c>
      <c r="AE1576" s="16">
        <f>VLOOKUP(E1576,'[1]Detailed Transfer Report (12)'!$K:$Y,15,FALSE)</f>
        <v>45884</v>
      </c>
    </row>
    <row r="1577" spans="1:31" ht="34.5" x14ac:dyDescent="0.25">
      <c r="A1577" s="9">
        <v>801</v>
      </c>
      <c r="B1577" s="4">
        <v>45888</v>
      </c>
      <c r="C1577" s="3" t="s">
        <v>1818</v>
      </c>
      <c r="D1577" s="3" t="s">
        <v>822</v>
      </c>
      <c r="E1577" s="3" t="s">
        <v>1295</v>
      </c>
      <c r="F1577" s="3"/>
      <c r="G1577" s="3" t="s">
        <v>1179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6">
        <v>507120</v>
      </c>
      <c r="AE1577" s="16"/>
    </row>
    <row r="1578" spans="1:31" x14ac:dyDescent="0.25">
      <c r="A1578" s="10">
        <v>801</v>
      </c>
      <c r="B1578" s="4">
        <v>45868</v>
      </c>
      <c r="C1578" s="3" t="s">
        <v>1819</v>
      </c>
      <c r="D1578" s="3" t="s">
        <v>822</v>
      </c>
      <c r="E1578" s="3">
        <v>4227</v>
      </c>
      <c r="F1578" s="3">
        <v>11732</v>
      </c>
      <c r="G1578" s="3" t="s">
        <v>1179</v>
      </c>
      <c r="H1578" s="3">
        <v>0</v>
      </c>
      <c r="I1578" s="3">
        <v>0</v>
      </c>
      <c r="J1578" s="5">
        <v>93765</v>
      </c>
      <c r="K1578" s="3">
        <v>0</v>
      </c>
      <c r="L1578" s="3">
        <v>0</v>
      </c>
      <c r="M1578" s="3">
        <v>0</v>
      </c>
      <c r="N1578" s="5">
        <v>63520</v>
      </c>
      <c r="O1578" s="3">
        <v>0</v>
      </c>
      <c r="P1578" s="5">
        <v>62520</v>
      </c>
      <c r="Q1578" s="3">
        <v>0</v>
      </c>
      <c r="R1578" s="5">
        <v>281318</v>
      </c>
      <c r="S1578" s="5">
        <v>8000</v>
      </c>
      <c r="T1578" s="5">
        <v>12000</v>
      </c>
      <c r="U1578" s="3">
        <v>0</v>
      </c>
      <c r="V1578" s="3">
        <v>0</v>
      </c>
      <c r="W1578" s="3">
        <v>0</v>
      </c>
      <c r="X1578" s="5">
        <v>6250</v>
      </c>
      <c r="Y1578" s="3">
        <v>0</v>
      </c>
      <c r="Z1578" s="5">
        <v>2000</v>
      </c>
      <c r="AA1578" s="5">
        <v>32000</v>
      </c>
      <c r="AB1578" s="6">
        <v>1068493</v>
      </c>
      <c r="AC1578" s="2" t="str">
        <f>VLOOKUP(E1578,'[1]Detailed Transfer Report (12)'!$K:$Y,13,FALSE)</f>
        <v>Qari Abdul Mannan Anwar</v>
      </c>
      <c r="AD1578" s="2" t="str">
        <f>VLOOKUP(E1578,'[1]Detailed Transfer Report (12)'!$K:$Y,14,FALSE)</f>
        <v>Sardar Tanveer Ilyas</v>
      </c>
      <c r="AE1578" s="16">
        <f>VLOOKUP(E1578,'[1]Detailed Transfer Report (12)'!$K:$Y,15,FALSE)</f>
        <v>45881</v>
      </c>
    </row>
    <row r="1579" spans="1:31" x14ac:dyDescent="0.25">
      <c r="A1579" s="3">
        <v>802</v>
      </c>
      <c r="B1579" s="4">
        <v>45868</v>
      </c>
      <c r="C1579" s="3" t="s">
        <v>207</v>
      </c>
      <c r="D1579" s="3" t="s">
        <v>822</v>
      </c>
      <c r="E1579" s="3"/>
      <c r="F1579" s="3"/>
      <c r="G1579" s="3" t="s">
        <v>1469</v>
      </c>
      <c r="H1579" s="3">
        <v>0</v>
      </c>
      <c r="I1579" s="3">
        <v>0</v>
      </c>
      <c r="J1579" s="5">
        <v>322050</v>
      </c>
      <c r="K1579" s="3">
        <v>0</v>
      </c>
      <c r="L1579" s="3">
        <v>0</v>
      </c>
      <c r="M1579" s="3">
        <v>0</v>
      </c>
      <c r="N1579" s="5">
        <v>215700</v>
      </c>
      <c r="O1579" s="3">
        <v>0</v>
      </c>
      <c r="P1579" s="5">
        <v>214700</v>
      </c>
      <c r="Q1579" s="3">
        <v>0</v>
      </c>
      <c r="R1579" s="3">
        <v>0</v>
      </c>
      <c r="S1579" s="5">
        <v>75000</v>
      </c>
      <c r="T1579" s="5">
        <v>458000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5">
        <v>125000</v>
      </c>
      <c r="AA1579" s="3">
        <v>0</v>
      </c>
      <c r="AB1579" s="6">
        <v>1410450</v>
      </c>
      <c r="AE1579" s="16"/>
    </row>
    <row r="1580" spans="1:31" x14ac:dyDescent="0.25">
      <c r="A1580" s="3">
        <v>803</v>
      </c>
      <c r="B1580" s="4">
        <v>45888</v>
      </c>
      <c r="C1580" s="3" t="s">
        <v>110</v>
      </c>
      <c r="D1580" s="3" t="s">
        <v>822</v>
      </c>
      <c r="E1580" s="3">
        <v>6064</v>
      </c>
      <c r="F1580" s="3">
        <v>2203</v>
      </c>
      <c r="G1580" s="3" t="s">
        <v>756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8">
        <v>0</v>
      </c>
      <c r="AC1580" s="2" t="str">
        <f>VLOOKUP(E1580,'[1]Detailed Transfer Report (12)'!$K:$Y,13,FALSE)</f>
        <v>Sajid Mehmood</v>
      </c>
      <c r="AD1580" s="2" t="str">
        <f>VLOOKUP(E1580,'[1]Detailed Transfer Report (12)'!$K:$Y,14,FALSE)</f>
        <v>Sardar Tanveer Ilyas</v>
      </c>
      <c r="AE1580" s="16">
        <f>VLOOKUP(E1580,'[1]Detailed Transfer Report (12)'!$K:$Y,15,FALSE)</f>
        <v>45763</v>
      </c>
    </row>
    <row r="1581" spans="1:31" ht="23.25" x14ac:dyDescent="0.25">
      <c r="A1581" s="7">
        <v>805</v>
      </c>
      <c r="B1581" s="4">
        <v>45944</v>
      </c>
      <c r="C1581" s="3" t="s">
        <v>1820</v>
      </c>
      <c r="D1581" s="3" t="s">
        <v>1821</v>
      </c>
      <c r="E1581" s="3" t="s">
        <v>1822</v>
      </c>
      <c r="F1581" s="3"/>
      <c r="G1581" s="3" t="s">
        <v>1469</v>
      </c>
      <c r="H1581" s="3">
        <v>0</v>
      </c>
      <c r="I1581" s="5">
        <v>111891</v>
      </c>
      <c r="J1581" s="5">
        <v>167822</v>
      </c>
      <c r="K1581" s="3">
        <v>0</v>
      </c>
      <c r="L1581" s="3">
        <v>0</v>
      </c>
      <c r="M1581" s="3">
        <v>0</v>
      </c>
      <c r="N1581" s="5">
        <v>111881</v>
      </c>
      <c r="O1581" s="3">
        <v>0</v>
      </c>
      <c r="P1581" s="5">
        <v>112891</v>
      </c>
      <c r="Q1581" s="3">
        <v>0</v>
      </c>
      <c r="R1581" s="5">
        <v>1286632</v>
      </c>
      <c r="S1581" s="5">
        <v>25000</v>
      </c>
      <c r="T1581" s="5">
        <v>10000</v>
      </c>
      <c r="U1581" s="3">
        <v>0</v>
      </c>
      <c r="V1581" s="3">
        <v>0</v>
      </c>
      <c r="W1581" s="3">
        <v>0</v>
      </c>
      <c r="X1581" s="5">
        <v>11188</v>
      </c>
      <c r="Y1581" s="3">
        <v>0</v>
      </c>
      <c r="Z1581" s="5">
        <v>2000</v>
      </c>
      <c r="AA1581" s="5">
        <v>40000</v>
      </c>
      <c r="AB1581" s="6">
        <v>1879305</v>
      </c>
      <c r="AE1581" s="16"/>
    </row>
    <row r="1582" spans="1:31" x14ac:dyDescent="0.25">
      <c r="A1582" s="9">
        <v>805</v>
      </c>
      <c r="B1582" s="4">
        <v>45944</v>
      </c>
      <c r="C1582" s="3" t="s">
        <v>44</v>
      </c>
      <c r="D1582" s="3" t="s">
        <v>822</v>
      </c>
      <c r="E1582" s="3"/>
      <c r="F1582" s="3">
        <v>1544</v>
      </c>
      <c r="G1582" s="3" t="s">
        <v>1469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500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6">
        <v>1879805</v>
      </c>
      <c r="AC1582" s="2" t="str">
        <f>VLOOKUP(F1582,'[1]Detailed Transfer Report (12)'!$L:$Y,12,FALSE)</f>
        <v>Mst Mira Jan</v>
      </c>
      <c r="AD1582" s="2" t="str">
        <f>VLOOKUP(F1582,'[1]Detailed Transfer Report (12)'!$L:$Y,13,FALSE)</f>
        <v>Sardar Tanveer Ilyas</v>
      </c>
      <c r="AE1582" s="16">
        <f>VLOOKUP(F1582,'[1]Detailed Transfer Report (12)'!$L:$Y,14,FALSE)</f>
        <v>45716</v>
      </c>
    </row>
    <row r="1583" spans="1:31" ht="23.25" x14ac:dyDescent="0.25">
      <c r="A1583" s="9">
        <v>805</v>
      </c>
      <c r="B1583" s="4">
        <v>45944</v>
      </c>
      <c r="C1583" s="3" t="s">
        <v>1823</v>
      </c>
      <c r="D1583" s="3" t="s">
        <v>822</v>
      </c>
      <c r="E1583" s="3" t="s">
        <v>1822</v>
      </c>
      <c r="F1583" s="3"/>
      <c r="G1583" s="3" t="s">
        <v>1469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6">
        <v>1879805</v>
      </c>
      <c r="AE1583" s="16"/>
    </row>
    <row r="1584" spans="1:31" ht="23.25" x14ac:dyDescent="0.25">
      <c r="A1584" s="9">
        <v>805</v>
      </c>
      <c r="B1584" s="4">
        <v>45944</v>
      </c>
      <c r="C1584" s="3" t="s">
        <v>141</v>
      </c>
      <c r="D1584" s="3" t="s">
        <v>1821</v>
      </c>
      <c r="E1584" s="3" t="s">
        <v>1824</v>
      </c>
      <c r="F1584" s="3"/>
      <c r="G1584" s="3" t="s">
        <v>1469</v>
      </c>
      <c r="H1584" s="3">
        <v>0</v>
      </c>
      <c r="I1584" s="5">
        <v>193230</v>
      </c>
      <c r="J1584" s="5">
        <v>289845</v>
      </c>
      <c r="K1584" s="3">
        <v>0</v>
      </c>
      <c r="L1584" s="3">
        <v>0</v>
      </c>
      <c r="M1584" s="3">
        <v>0</v>
      </c>
      <c r="N1584" s="5">
        <v>193230</v>
      </c>
      <c r="O1584" s="3">
        <v>0</v>
      </c>
      <c r="P1584" s="5">
        <v>194230</v>
      </c>
      <c r="Q1584" s="3">
        <v>0</v>
      </c>
      <c r="R1584" s="5">
        <v>869535</v>
      </c>
      <c r="S1584" s="5">
        <v>40000</v>
      </c>
      <c r="T1584" s="5">
        <v>10000</v>
      </c>
      <c r="U1584" s="3">
        <v>0</v>
      </c>
      <c r="V1584" s="5">
        <v>10000</v>
      </c>
      <c r="W1584" s="3">
        <v>0</v>
      </c>
      <c r="X1584" s="5">
        <v>19323</v>
      </c>
      <c r="Y1584" s="3">
        <v>0</v>
      </c>
      <c r="Z1584" s="5">
        <v>2000</v>
      </c>
      <c r="AA1584" s="5">
        <v>72000</v>
      </c>
      <c r="AB1584" s="6">
        <v>3773198</v>
      </c>
      <c r="AC1584" s="2" t="str">
        <f>VLOOKUP(E1584,'[1]Detailed Transfer Report (12)'!$K:$Y,13,FALSE)</f>
        <v>Muhammad Nazak</v>
      </c>
      <c r="AD1584" s="2" t="str">
        <f>VLOOKUP(E1584,'[1]Detailed Transfer Report (12)'!$K:$Y,14,FALSE)</f>
        <v>Sardar Group of Companies Pvt Ltd</v>
      </c>
      <c r="AE1584" s="16"/>
    </row>
    <row r="1585" spans="1:31" ht="23.25" x14ac:dyDescent="0.25">
      <c r="A1585" s="9">
        <v>805</v>
      </c>
      <c r="B1585" s="4">
        <v>46128</v>
      </c>
      <c r="C1585" s="3" t="s">
        <v>44</v>
      </c>
      <c r="D1585" s="3" t="s">
        <v>822</v>
      </c>
      <c r="E1585" s="3" t="s">
        <v>1824</v>
      </c>
      <c r="F1585" s="3"/>
      <c r="G1585" s="3" t="s">
        <v>1469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6">
        <v>3773198</v>
      </c>
      <c r="AC1585" s="2" t="str">
        <f>VLOOKUP(E1585,'[1]Detailed Transfer Report (12)'!$K:$Y,13,FALSE)</f>
        <v>Muhammad Nazak</v>
      </c>
      <c r="AD1585" s="2" t="str">
        <f>VLOOKUP(E1585,'[1]Detailed Transfer Report (12)'!$K:$Y,14,FALSE)</f>
        <v>Sardar Group of Companies Pvt Ltd</v>
      </c>
      <c r="AE1585" s="16"/>
    </row>
    <row r="1586" spans="1:31" ht="23.25" x14ac:dyDescent="0.25">
      <c r="A1586" s="10">
        <v>805</v>
      </c>
      <c r="B1586" s="4">
        <v>46128</v>
      </c>
      <c r="C1586" s="3" t="s">
        <v>44</v>
      </c>
      <c r="D1586" s="3" t="s">
        <v>822</v>
      </c>
      <c r="E1586" s="3" t="s">
        <v>1824</v>
      </c>
      <c r="F1586" s="3"/>
      <c r="G1586" s="3" t="s">
        <v>1469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5">
        <v>20000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5">
        <v>5000</v>
      </c>
      <c r="AA1586" s="3">
        <v>0</v>
      </c>
      <c r="AB1586" s="6">
        <v>3798198</v>
      </c>
      <c r="AC1586" s="2" t="str">
        <f>VLOOKUP(E1586,'[1]Detailed Transfer Report (12)'!$K:$Y,13,FALSE)</f>
        <v>Muhammad Nazak</v>
      </c>
      <c r="AD1586" s="2" t="str">
        <f>VLOOKUP(E1586,'[1]Detailed Transfer Report (12)'!$K:$Y,14,FALSE)</f>
        <v>Sardar Group of Companies Pvt Ltd</v>
      </c>
      <c r="AE1586" s="16"/>
    </row>
    <row r="1587" spans="1:31" x14ac:dyDescent="0.25">
      <c r="A1587" s="7">
        <v>806</v>
      </c>
      <c r="B1587" s="4">
        <v>45944</v>
      </c>
      <c r="C1587" s="3" t="s">
        <v>1825</v>
      </c>
      <c r="D1587" s="3" t="s">
        <v>1826</v>
      </c>
      <c r="E1587" s="3">
        <v>4334</v>
      </c>
      <c r="F1587" s="3">
        <v>9929</v>
      </c>
      <c r="G1587" s="3" t="s">
        <v>1179</v>
      </c>
      <c r="H1587" s="3">
        <v>0</v>
      </c>
      <c r="I1587" s="3">
        <v>0</v>
      </c>
      <c r="J1587" s="5">
        <v>227550</v>
      </c>
      <c r="K1587" s="3">
        <v>0</v>
      </c>
      <c r="L1587" s="3">
        <v>0</v>
      </c>
      <c r="M1587" s="3">
        <v>0</v>
      </c>
      <c r="N1587" s="5">
        <v>151700</v>
      </c>
      <c r="O1587" s="3">
        <v>0</v>
      </c>
      <c r="P1587" s="5">
        <v>152700</v>
      </c>
      <c r="Q1587" s="3">
        <v>0</v>
      </c>
      <c r="R1587" s="5">
        <v>1137750</v>
      </c>
      <c r="S1587" s="3">
        <v>0</v>
      </c>
      <c r="T1587" s="5">
        <v>30000</v>
      </c>
      <c r="U1587" s="3">
        <v>0</v>
      </c>
      <c r="V1587" s="5">
        <v>21000</v>
      </c>
      <c r="W1587" s="3">
        <v>0</v>
      </c>
      <c r="X1587" s="5">
        <v>15170</v>
      </c>
      <c r="Y1587" s="3">
        <v>0</v>
      </c>
      <c r="Z1587" s="5">
        <v>10000</v>
      </c>
      <c r="AA1587" s="5">
        <v>66000</v>
      </c>
      <c r="AB1587" s="6">
        <v>1811870</v>
      </c>
      <c r="AC1587" s="2" t="str">
        <f>VLOOKUP(E1587,'[1]Detailed Transfer Report (12)'!$K:$Y,13,FALSE)</f>
        <v>Parveen Bibi</v>
      </c>
      <c r="AD1587" s="2" t="str">
        <f>VLOOKUP(E1587,'[1]Detailed Transfer Report (12)'!$K:$Y,14,FALSE)</f>
        <v>Sardar Group of Companies Pvt Ltd</v>
      </c>
      <c r="AE1587" s="16">
        <f>VLOOKUP(E1587,'[1]Detailed Transfer Report (12)'!$K:$Y,15,FALSE)</f>
        <v>46188</v>
      </c>
    </row>
    <row r="1588" spans="1:31" x14ac:dyDescent="0.25">
      <c r="A1588" s="9">
        <v>806</v>
      </c>
      <c r="B1588" s="4">
        <v>46072</v>
      </c>
      <c r="C1588" s="3" t="s">
        <v>1827</v>
      </c>
      <c r="D1588" s="3" t="s">
        <v>822</v>
      </c>
      <c r="E1588" s="3">
        <v>4299</v>
      </c>
      <c r="F1588" s="3">
        <v>3005</v>
      </c>
      <c r="G1588" s="3" t="s">
        <v>1179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6">
        <v>1811870</v>
      </c>
      <c r="AC1588" s="2" t="str">
        <f>VLOOKUP(E1588,'[1]Detailed Transfer Report (12)'!$K:$Y,13,FALSE)</f>
        <v>Raja Faisal Imran</v>
      </c>
      <c r="AD1588" s="2" t="str">
        <f>VLOOKUP(E1588,'[1]Detailed Transfer Report (12)'!$K:$Y,14,FALSE)</f>
        <v>Sardar Group of Companies Pvt Ltd</v>
      </c>
      <c r="AE1588" s="16">
        <f>VLOOKUP(E1588,'[1]Detailed Transfer Report (12)'!$K:$Y,15,FALSE)</f>
        <v>46074</v>
      </c>
    </row>
    <row r="1589" spans="1:31" x14ac:dyDescent="0.25">
      <c r="A1589" s="10">
        <v>806</v>
      </c>
      <c r="B1589" s="4">
        <v>45944</v>
      </c>
      <c r="C1589" s="3" t="s">
        <v>1828</v>
      </c>
      <c r="D1589" s="3" t="s">
        <v>1826</v>
      </c>
      <c r="E1589" s="3">
        <v>4305</v>
      </c>
      <c r="F1589" s="3">
        <v>4010</v>
      </c>
      <c r="G1589" s="3" t="s">
        <v>1179</v>
      </c>
      <c r="H1589" s="3">
        <v>0</v>
      </c>
      <c r="I1589" s="3">
        <v>0</v>
      </c>
      <c r="J1589" s="5">
        <v>197820</v>
      </c>
      <c r="K1589" s="3">
        <v>0</v>
      </c>
      <c r="L1589" s="3">
        <v>0</v>
      </c>
      <c r="M1589" s="3">
        <v>0</v>
      </c>
      <c r="N1589" s="5">
        <v>131880</v>
      </c>
      <c r="O1589" s="3">
        <v>0</v>
      </c>
      <c r="P1589" s="5">
        <v>132880</v>
      </c>
      <c r="Q1589" s="3">
        <v>0</v>
      </c>
      <c r="R1589" s="5">
        <v>593460</v>
      </c>
      <c r="S1589" s="5">
        <v>16000</v>
      </c>
      <c r="T1589" s="5">
        <v>30000</v>
      </c>
      <c r="U1589" s="3">
        <v>0</v>
      </c>
      <c r="V1589" s="3">
        <v>0</v>
      </c>
      <c r="W1589" s="3">
        <v>0</v>
      </c>
      <c r="X1589" s="5">
        <v>13188</v>
      </c>
      <c r="Y1589" s="3">
        <v>0</v>
      </c>
      <c r="Z1589" s="5">
        <v>10000</v>
      </c>
      <c r="AA1589" s="5">
        <v>64000</v>
      </c>
      <c r="AB1589" s="6">
        <v>3001098</v>
      </c>
      <c r="AC1589" s="2" t="str">
        <f>VLOOKUP(E1589,'[1]Detailed Transfer Report (12)'!$K:$Y,13,FALSE)</f>
        <v>Raja Faisal Imran</v>
      </c>
      <c r="AD1589" s="2" t="str">
        <f>VLOOKUP(E1589,'[1]Detailed Transfer Report (12)'!$K:$Y,14,FALSE)</f>
        <v>Sardar Group of Companies Pvt Ltd</v>
      </c>
      <c r="AE1589" s="16">
        <f>VLOOKUP(E1589,'[1]Detailed Transfer Report (12)'!$K:$Y,15,FALSE)</f>
        <v>46087</v>
      </c>
    </row>
    <row r="1590" spans="1:31" ht="23.25" x14ac:dyDescent="0.25">
      <c r="A1590" s="3">
        <v>807</v>
      </c>
      <c r="B1590" s="4">
        <v>45994</v>
      </c>
      <c r="C1590" s="3" t="s">
        <v>1829</v>
      </c>
      <c r="D1590" s="3" t="s">
        <v>1830</v>
      </c>
      <c r="E1590" s="3" t="s">
        <v>1831</v>
      </c>
      <c r="F1590" s="3"/>
      <c r="G1590" s="3" t="s">
        <v>41</v>
      </c>
      <c r="H1590" s="3">
        <v>0</v>
      </c>
      <c r="I1590" s="3">
        <v>0</v>
      </c>
      <c r="J1590" s="5">
        <v>252495</v>
      </c>
      <c r="K1590" s="3">
        <v>0</v>
      </c>
      <c r="L1590" s="3">
        <v>0</v>
      </c>
      <c r="M1590" s="3">
        <v>0</v>
      </c>
      <c r="N1590" s="5">
        <v>168333</v>
      </c>
      <c r="O1590" s="3">
        <v>0</v>
      </c>
      <c r="P1590" s="5">
        <v>169333</v>
      </c>
      <c r="Q1590" s="3">
        <v>0</v>
      </c>
      <c r="R1590" s="3">
        <v>0</v>
      </c>
      <c r="S1590" s="5">
        <v>74000</v>
      </c>
      <c r="T1590" s="5">
        <v>15000</v>
      </c>
      <c r="U1590" s="3">
        <v>0</v>
      </c>
      <c r="V1590" s="3">
        <v>0</v>
      </c>
      <c r="W1590" s="3">
        <v>0</v>
      </c>
      <c r="X1590" s="5">
        <v>16833</v>
      </c>
      <c r="Y1590" s="3">
        <v>0</v>
      </c>
      <c r="Z1590" s="5">
        <v>5000</v>
      </c>
      <c r="AA1590" s="5">
        <v>132000</v>
      </c>
      <c r="AB1590" s="6">
        <v>832994</v>
      </c>
      <c r="AC1590" s="2" t="str">
        <f>VLOOKUP(E1590,'[1]Detailed Transfer Report (12)'!$K:$Y,13,FALSE)</f>
        <v>Ameer Gul Shah</v>
      </c>
      <c r="AD1590" s="2" t="str">
        <f>VLOOKUP(E1590,'[1]Detailed Transfer Report (12)'!$K:$Y,14,FALSE)</f>
        <v>Sardar Group of Companies Pvt Ltd</v>
      </c>
      <c r="AE1590" s="16"/>
    </row>
    <row r="1591" spans="1:31" x14ac:dyDescent="0.25">
      <c r="A1591" s="3">
        <v>808</v>
      </c>
      <c r="B1591" s="4">
        <v>45959</v>
      </c>
      <c r="C1591" s="3" t="s">
        <v>323</v>
      </c>
      <c r="D1591" s="3" t="s">
        <v>1832</v>
      </c>
      <c r="E1591" s="3" t="s">
        <v>1833</v>
      </c>
      <c r="F1591" s="3"/>
      <c r="G1591" s="3" t="s">
        <v>1469</v>
      </c>
      <c r="H1591" s="3">
        <v>0</v>
      </c>
      <c r="I1591" s="3">
        <v>0</v>
      </c>
      <c r="J1591" s="5">
        <v>257640</v>
      </c>
      <c r="K1591" s="3">
        <v>0</v>
      </c>
      <c r="L1591" s="3">
        <v>0</v>
      </c>
      <c r="M1591" s="3">
        <v>0</v>
      </c>
      <c r="N1591" s="5">
        <v>171760</v>
      </c>
      <c r="O1591" s="3">
        <v>0</v>
      </c>
      <c r="P1591" s="5">
        <v>172840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5">
        <v>17176</v>
      </c>
      <c r="Y1591" s="3">
        <v>0</v>
      </c>
      <c r="Z1591" s="3">
        <v>0</v>
      </c>
      <c r="AA1591" s="3">
        <v>0</v>
      </c>
      <c r="AB1591" s="6">
        <v>619416</v>
      </c>
      <c r="AE1591" s="16"/>
    </row>
    <row r="1592" spans="1:31" x14ac:dyDescent="0.25">
      <c r="A1592" s="7">
        <v>809</v>
      </c>
      <c r="B1592" s="4">
        <v>45961</v>
      </c>
      <c r="C1592" s="3" t="s">
        <v>1834</v>
      </c>
      <c r="D1592" s="3" t="s">
        <v>1835</v>
      </c>
      <c r="E1592" s="3"/>
      <c r="F1592" s="3">
        <v>16547</v>
      </c>
      <c r="G1592" s="3" t="s">
        <v>30</v>
      </c>
      <c r="H1592" s="3">
        <v>0</v>
      </c>
      <c r="I1592" s="3">
        <v>0</v>
      </c>
      <c r="J1592" s="5">
        <v>496248</v>
      </c>
      <c r="K1592" s="3">
        <v>0</v>
      </c>
      <c r="L1592" s="5">
        <v>1900000</v>
      </c>
      <c r="M1592" s="3">
        <v>0</v>
      </c>
      <c r="N1592" s="5">
        <v>330830</v>
      </c>
      <c r="O1592" s="3">
        <v>0</v>
      </c>
      <c r="P1592" s="5">
        <v>331832</v>
      </c>
      <c r="Q1592" s="3">
        <v>0</v>
      </c>
      <c r="R1592" s="5">
        <v>1488744</v>
      </c>
      <c r="S1592" s="5">
        <v>160500</v>
      </c>
      <c r="T1592" s="5">
        <v>25000</v>
      </c>
      <c r="U1592" s="3">
        <v>0</v>
      </c>
      <c r="V1592" s="3">
        <v>0</v>
      </c>
      <c r="W1592" s="3">
        <v>0</v>
      </c>
      <c r="X1592" s="5">
        <v>33083</v>
      </c>
      <c r="Y1592" s="3">
        <v>0</v>
      </c>
      <c r="Z1592" s="5">
        <v>5000</v>
      </c>
      <c r="AA1592" s="5">
        <v>288000</v>
      </c>
      <c r="AB1592" s="6">
        <v>5059237</v>
      </c>
      <c r="AC1592" s="2" t="str">
        <f>VLOOKUP(F1592,'[1]Detailed Transfer Report (12)'!$L:$Y,12,FALSE)</f>
        <v>Muhammad Shabbir Awan</v>
      </c>
      <c r="AD1592" s="2" t="str">
        <f>VLOOKUP(F1592,'[1]Detailed Transfer Report (12)'!$L:$Y,13,FALSE)</f>
        <v>Sardar Tanveer Ilyas</v>
      </c>
      <c r="AE1592" s="16">
        <f>VLOOKUP(F1592,'[1]Detailed Transfer Report (12)'!$L:$Y,14,FALSE)</f>
        <v>45975</v>
      </c>
    </row>
    <row r="1593" spans="1:31" x14ac:dyDescent="0.25">
      <c r="A1593" s="10">
        <v>809</v>
      </c>
      <c r="B1593" s="4">
        <v>45961</v>
      </c>
      <c r="C1593" s="3" t="s">
        <v>1836</v>
      </c>
      <c r="D1593" s="3" t="s">
        <v>1835</v>
      </c>
      <c r="E1593" s="3"/>
      <c r="F1593" s="3">
        <v>16548</v>
      </c>
      <c r="G1593" s="3" t="s">
        <v>30</v>
      </c>
      <c r="H1593" s="3">
        <v>0</v>
      </c>
      <c r="I1593" s="3">
        <v>0</v>
      </c>
      <c r="J1593" s="5">
        <v>30165</v>
      </c>
      <c r="K1593" s="3">
        <v>0</v>
      </c>
      <c r="L1593" s="5">
        <v>1000000</v>
      </c>
      <c r="M1593" s="3">
        <v>0</v>
      </c>
      <c r="N1593" s="5">
        <v>20110</v>
      </c>
      <c r="O1593" s="3">
        <v>0</v>
      </c>
      <c r="P1593" s="5">
        <v>21110</v>
      </c>
      <c r="Q1593" s="3">
        <v>0</v>
      </c>
      <c r="R1593" s="5">
        <v>231265</v>
      </c>
      <c r="S1593" s="5">
        <v>9500</v>
      </c>
      <c r="T1593" s="5">
        <v>10000</v>
      </c>
      <c r="U1593" s="3">
        <v>0</v>
      </c>
      <c r="V1593" s="3">
        <v>0</v>
      </c>
      <c r="W1593" s="3">
        <v>0</v>
      </c>
      <c r="X1593" s="5">
        <v>3300</v>
      </c>
      <c r="Y1593" s="3">
        <v>0</v>
      </c>
      <c r="Z1593" s="5">
        <v>2000</v>
      </c>
      <c r="AA1593" s="5">
        <v>16000</v>
      </c>
      <c r="AB1593" s="6">
        <v>6402687</v>
      </c>
      <c r="AC1593" s="2" t="str">
        <f>VLOOKUP(F1593,'[1]Detailed Transfer Report (12)'!$L:$Y,12,FALSE)</f>
        <v>Muhammad Shabbir Awan</v>
      </c>
      <c r="AD1593" s="2" t="str">
        <f>VLOOKUP(F1593,'[1]Detailed Transfer Report (12)'!$L:$Y,13,FALSE)</f>
        <v>Sardar Tanveer Ilyas</v>
      </c>
      <c r="AE1593" s="16">
        <f>VLOOKUP(F1593,'[1]Detailed Transfer Report (12)'!$L:$Y,14,FALSE)</f>
        <v>45977</v>
      </c>
    </row>
    <row r="1594" spans="1:31" x14ac:dyDescent="0.25">
      <c r="A1594" s="7">
        <v>810</v>
      </c>
      <c r="B1594" s="4">
        <v>45987</v>
      </c>
      <c r="C1594" s="3" t="s">
        <v>1072</v>
      </c>
      <c r="D1594" s="3" t="s">
        <v>822</v>
      </c>
      <c r="E1594" s="3">
        <v>1154</v>
      </c>
      <c r="F1594" s="3"/>
      <c r="G1594" s="3" t="s">
        <v>41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8">
        <v>0</v>
      </c>
      <c r="AC1594" s="2" t="str">
        <f>VLOOKUP(E1594,'[1]Detailed Transfer Report (12)'!$K:$Y,13,FALSE)</f>
        <v>Zohra Begum</v>
      </c>
      <c r="AD1594" s="2" t="str">
        <f>VLOOKUP(E1594,'[1]Detailed Transfer Report (12)'!$K:$Y,14,FALSE)</f>
        <v>Sardar Tanveer Ilyas</v>
      </c>
      <c r="AE1594" s="16"/>
    </row>
    <row r="1595" spans="1:31" x14ac:dyDescent="0.25">
      <c r="A1595" s="9">
        <v>810</v>
      </c>
      <c r="B1595" s="4">
        <v>45987</v>
      </c>
      <c r="C1595" s="3" t="s">
        <v>1474</v>
      </c>
      <c r="D1595" s="3" t="s">
        <v>822</v>
      </c>
      <c r="E1595" s="3">
        <v>5</v>
      </c>
      <c r="F1595" s="3"/>
      <c r="G1595" s="3" t="s">
        <v>41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8">
        <v>0</v>
      </c>
      <c r="AC1595" s="2" t="str">
        <f>VLOOKUP(E1595,'[1]Detailed Transfer Report (12)'!$K:$Y,13,FALSE)</f>
        <v>Shameem Akhtar</v>
      </c>
      <c r="AD1595" s="2" t="str">
        <f>VLOOKUP(E1595,'[1]Detailed Transfer Report (12)'!$K:$Y,14,FALSE)</f>
        <v>Sardar Tanveer Ilyas</v>
      </c>
      <c r="AE1595" s="16"/>
    </row>
    <row r="1596" spans="1:31" x14ac:dyDescent="0.25">
      <c r="A1596" s="9">
        <v>810</v>
      </c>
      <c r="B1596" s="4">
        <v>45987</v>
      </c>
      <c r="C1596" s="3" t="s">
        <v>106</v>
      </c>
      <c r="D1596" s="3" t="s">
        <v>822</v>
      </c>
      <c r="E1596" s="3">
        <v>192</v>
      </c>
      <c r="F1596" s="3"/>
      <c r="G1596" s="3" t="s">
        <v>41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8">
        <v>0</v>
      </c>
      <c r="AC1596" s="2" t="str">
        <f>VLOOKUP(E1596,'[1]Detailed Transfer Report (12)'!$K:$Y,13,FALSE)</f>
        <v>Ghulam Sakeena</v>
      </c>
      <c r="AD1596" s="2" t="str">
        <f>VLOOKUP(E1596,'[1]Detailed Transfer Report (12)'!$K:$Y,14,FALSE)</f>
        <v>Sardar Tanveer Ilyas</v>
      </c>
      <c r="AE1596" s="16"/>
    </row>
    <row r="1597" spans="1:31" x14ac:dyDescent="0.25">
      <c r="A1597" s="9">
        <v>810</v>
      </c>
      <c r="B1597" s="4">
        <v>45987</v>
      </c>
      <c r="C1597" s="3" t="s">
        <v>137</v>
      </c>
      <c r="D1597" s="3" t="s">
        <v>822</v>
      </c>
      <c r="E1597" s="3">
        <v>243</v>
      </c>
      <c r="F1597" s="3"/>
      <c r="G1597" s="3" t="s">
        <v>41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8">
        <v>0</v>
      </c>
      <c r="AC1597" s="2" t="str">
        <f>VLOOKUP(E1597,'[1]Detailed Transfer Report (12)'!$K:$Y,13,FALSE)</f>
        <v>Zameer Haider</v>
      </c>
      <c r="AD1597" s="2" t="str">
        <f>VLOOKUP(E1597,'[1]Detailed Transfer Report (12)'!$K:$Y,14,FALSE)</f>
        <v>Sardar Tanveer Ilyas</v>
      </c>
      <c r="AE1597" s="16"/>
    </row>
    <row r="1598" spans="1:31" x14ac:dyDescent="0.25">
      <c r="A1598" s="9">
        <v>810</v>
      </c>
      <c r="B1598" s="4">
        <v>45987</v>
      </c>
      <c r="C1598" s="3" t="s">
        <v>1837</v>
      </c>
      <c r="D1598" s="3" t="s">
        <v>822</v>
      </c>
      <c r="E1598" s="3">
        <v>289</v>
      </c>
      <c r="F1598" s="3"/>
      <c r="G1598" s="3" t="s">
        <v>41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8">
        <v>0</v>
      </c>
      <c r="AC1598" s="2" t="str">
        <f>VLOOKUP(E1598,'[1]Detailed Transfer Report (12)'!$K:$Y,13,FALSE)</f>
        <v>Kalsoom Baigum</v>
      </c>
      <c r="AD1598" s="2" t="str">
        <f>VLOOKUP(E1598,'[1]Detailed Transfer Report (12)'!$K:$Y,14,FALSE)</f>
        <v>Sardar Tanveer Ilyas</v>
      </c>
      <c r="AE1598" s="16"/>
    </row>
    <row r="1599" spans="1:31" x14ac:dyDescent="0.25">
      <c r="A1599" s="9">
        <v>810</v>
      </c>
      <c r="B1599" s="4">
        <v>45987</v>
      </c>
      <c r="C1599" s="3" t="s">
        <v>1838</v>
      </c>
      <c r="D1599" s="3" t="s">
        <v>822</v>
      </c>
      <c r="E1599" s="3">
        <v>298</v>
      </c>
      <c r="F1599" s="3"/>
      <c r="G1599" s="3" t="s">
        <v>41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8">
        <v>0</v>
      </c>
      <c r="AC1599" s="2" t="str">
        <f>VLOOKUP(E1599,'[1]Detailed Transfer Report (12)'!$K:$Y,13,FALSE)</f>
        <v>Aqib Khan</v>
      </c>
      <c r="AD1599" s="2" t="str">
        <f>VLOOKUP(E1599,'[1]Detailed Transfer Report (12)'!$K:$Y,14,FALSE)</f>
        <v>Sardar Tanveer Ilyas</v>
      </c>
      <c r="AE1599" s="16"/>
    </row>
    <row r="1600" spans="1:31" x14ac:dyDescent="0.25">
      <c r="A1600" s="9">
        <v>810</v>
      </c>
      <c r="B1600" s="4">
        <v>45987</v>
      </c>
      <c r="C1600" s="3" t="s">
        <v>1839</v>
      </c>
      <c r="D1600" s="3" t="s">
        <v>822</v>
      </c>
      <c r="E1600" s="3">
        <v>301</v>
      </c>
      <c r="F1600" s="3"/>
      <c r="G1600" s="3" t="s">
        <v>41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8">
        <v>0</v>
      </c>
      <c r="AC1600" s="2" t="str">
        <f>VLOOKUP(E1600,'[1]Detailed Transfer Report (12)'!$K:$Y,13,FALSE)</f>
        <v>Ghulam Shabbir</v>
      </c>
      <c r="AD1600" s="2" t="str">
        <f>VLOOKUP(E1600,'[1]Detailed Transfer Report (12)'!$K:$Y,14,FALSE)</f>
        <v>Sardar Tanveer Ilyas</v>
      </c>
      <c r="AE1600" s="16"/>
    </row>
    <row r="1601" spans="1:31" x14ac:dyDescent="0.25">
      <c r="A1601" s="9">
        <v>810</v>
      </c>
      <c r="B1601" s="4">
        <v>45987</v>
      </c>
      <c r="C1601" s="3" t="s">
        <v>1840</v>
      </c>
      <c r="D1601" s="3" t="s">
        <v>822</v>
      </c>
      <c r="E1601" s="3">
        <v>305</v>
      </c>
      <c r="F1601" s="3"/>
      <c r="G1601" s="3" t="s">
        <v>41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8">
        <v>0</v>
      </c>
      <c r="AC1601" s="2" t="str">
        <f>VLOOKUP(E1601,'[1]Detailed Transfer Report (12)'!$K:$Y,13,FALSE)</f>
        <v>Mehirban</v>
      </c>
      <c r="AD1601" s="2" t="str">
        <f>VLOOKUP(E1601,'[1]Detailed Transfer Report (12)'!$K:$Y,14,FALSE)</f>
        <v>Sardar Tanveer Ilyas</v>
      </c>
      <c r="AE1601" s="16"/>
    </row>
    <row r="1602" spans="1:31" x14ac:dyDescent="0.25">
      <c r="A1602" s="9">
        <v>810</v>
      </c>
      <c r="B1602" s="4">
        <v>45987</v>
      </c>
      <c r="C1602" s="3" t="s">
        <v>504</v>
      </c>
      <c r="D1602" s="3" t="s">
        <v>822</v>
      </c>
      <c r="E1602" s="3">
        <v>909</v>
      </c>
      <c r="F1602" s="3"/>
      <c r="G1602" s="3" t="s">
        <v>41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8">
        <v>0</v>
      </c>
      <c r="AC1602" s="2" t="str">
        <f>VLOOKUP(E1602,'[1]Detailed Transfer Report (12)'!$K:$Y,13,FALSE)</f>
        <v>Muhammad Ilyas</v>
      </c>
      <c r="AD1602" s="2" t="str">
        <f>VLOOKUP(E1602,'[1]Detailed Transfer Report (12)'!$K:$Y,14,FALSE)</f>
        <v>Sardar Tanveer Ilyas</v>
      </c>
      <c r="AE1602" s="16"/>
    </row>
    <row r="1603" spans="1:31" x14ac:dyDescent="0.25">
      <c r="A1603" s="9">
        <v>810</v>
      </c>
      <c r="B1603" s="4">
        <v>45987</v>
      </c>
      <c r="C1603" s="3" t="s">
        <v>137</v>
      </c>
      <c r="D1603" s="3" t="s">
        <v>822</v>
      </c>
      <c r="E1603" s="3">
        <v>973</v>
      </c>
      <c r="F1603" s="3"/>
      <c r="G1603" s="3" t="s">
        <v>41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8">
        <v>0</v>
      </c>
      <c r="AC1603" s="2" t="str">
        <f>VLOOKUP(E1603,'[1]Detailed Transfer Report (12)'!$K:$Y,13,FALSE)</f>
        <v>Waliat Khan</v>
      </c>
      <c r="AD1603" s="2" t="str">
        <f>VLOOKUP(E1603,'[1]Detailed Transfer Report (12)'!$K:$Y,14,FALSE)</f>
        <v>Sardar Tanveer Ilyas</v>
      </c>
      <c r="AE1603" s="16"/>
    </row>
    <row r="1604" spans="1:31" x14ac:dyDescent="0.25">
      <c r="A1604" s="9">
        <v>810</v>
      </c>
      <c r="B1604" s="4">
        <v>45987</v>
      </c>
      <c r="C1604" s="3" t="s">
        <v>730</v>
      </c>
      <c r="D1604" s="3" t="s">
        <v>822</v>
      </c>
      <c r="E1604" s="3">
        <v>1120</v>
      </c>
      <c r="F1604" s="3"/>
      <c r="G1604" s="3" t="s">
        <v>41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8">
        <v>0</v>
      </c>
      <c r="AC1604" s="2" t="str">
        <f>VLOOKUP(E1604,'[1]Detailed Transfer Report (12)'!$K:$Y,13,FALSE)</f>
        <v>Zahid Mehmood</v>
      </c>
      <c r="AD1604" s="2" t="str">
        <f>VLOOKUP(E1604,'[1]Detailed Transfer Report (12)'!$K:$Y,14,FALSE)</f>
        <v>Sardar Tanveer Ilyas</v>
      </c>
      <c r="AE1604" s="16"/>
    </row>
    <row r="1605" spans="1:31" x14ac:dyDescent="0.25">
      <c r="A1605" s="9">
        <v>810</v>
      </c>
      <c r="B1605" s="4">
        <v>45987</v>
      </c>
      <c r="C1605" s="3" t="s">
        <v>1841</v>
      </c>
      <c r="D1605" s="3" t="s">
        <v>822</v>
      </c>
      <c r="E1605" s="3">
        <v>1153</v>
      </c>
      <c r="F1605" s="3"/>
      <c r="G1605" s="3" t="s">
        <v>41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8">
        <v>0</v>
      </c>
      <c r="AC1605" s="2" t="str">
        <f>VLOOKUP(E1605,'[1]Detailed Transfer Report (12)'!$K:$Y,13,FALSE)</f>
        <v>Kosar</v>
      </c>
      <c r="AD1605" s="2" t="str">
        <f>VLOOKUP(E1605,'[1]Detailed Transfer Report (12)'!$K:$Y,14,FALSE)</f>
        <v>Sardar Tanveer Ilyas</v>
      </c>
      <c r="AE1605" s="16"/>
    </row>
    <row r="1606" spans="1:31" x14ac:dyDescent="0.25">
      <c r="A1606" s="9">
        <v>810</v>
      </c>
      <c r="B1606" s="4">
        <v>45987</v>
      </c>
      <c r="C1606" s="3" t="s">
        <v>536</v>
      </c>
      <c r="D1606" s="3" t="s">
        <v>822</v>
      </c>
      <c r="E1606" s="3">
        <v>1155</v>
      </c>
      <c r="F1606" s="3"/>
      <c r="G1606" s="3" t="s">
        <v>41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8">
        <v>0</v>
      </c>
      <c r="AC1606" s="2" t="str">
        <f>VLOOKUP(E1606,'[1]Detailed Transfer Report (12)'!$K:$Y,13,FALSE)</f>
        <v>Ansar Begham</v>
      </c>
      <c r="AD1606" s="2" t="str">
        <f>VLOOKUP(E1606,'[1]Detailed Transfer Report (12)'!$K:$Y,14,FALSE)</f>
        <v>Sardar Tanveer Ilyas</v>
      </c>
      <c r="AE1606" s="16"/>
    </row>
    <row r="1607" spans="1:31" x14ac:dyDescent="0.25">
      <c r="A1607" s="9">
        <v>810</v>
      </c>
      <c r="B1607" s="4">
        <v>45987</v>
      </c>
      <c r="C1607" s="3" t="s">
        <v>323</v>
      </c>
      <c r="D1607" s="3" t="s">
        <v>822</v>
      </c>
      <c r="E1607" s="3">
        <v>1167</v>
      </c>
      <c r="F1607" s="3"/>
      <c r="G1607" s="3" t="s">
        <v>41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8">
        <v>0</v>
      </c>
      <c r="AC1607" s="2" t="str">
        <f>VLOOKUP(E1607,'[1]Detailed Transfer Report (12)'!$K:$Y,13,FALSE)</f>
        <v>Muhammad Yaseen</v>
      </c>
      <c r="AD1607" s="2" t="str">
        <f>VLOOKUP(E1607,'[1]Detailed Transfer Report (12)'!$K:$Y,14,FALSE)</f>
        <v>Sardar Tanveer Ilyas</v>
      </c>
      <c r="AE1607" s="16"/>
    </row>
    <row r="1608" spans="1:31" x14ac:dyDescent="0.25">
      <c r="A1608" s="9">
        <v>810</v>
      </c>
      <c r="B1608" s="4">
        <v>45987</v>
      </c>
      <c r="C1608" s="3" t="s">
        <v>1842</v>
      </c>
      <c r="D1608" s="3" t="s">
        <v>822</v>
      </c>
      <c r="E1608" s="3">
        <v>1169</v>
      </c>
      <c r="F1608" s="3"/>
      <c r="G1608" s="3" t="s">
        <v>41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8">
        <v>0</v>
      </c>
      <c r="AC1608" s="2" t="str">
        <f>VLOOKUP(E1608,'[1]Detailed Transfer Report (12)'!$K:$Y,13,FALSE)</f>
        <v>Ansar Begham</v>
      </c>
      <c r="AD1608" s="2" t="str">
        <f>VLOOKUP(E1608,'[1]Detailed Transfer Report (12)'!$K:$Y,14,FALSE)</f>
        <v>Sardar Tanveer Ilyas</v>
      </c>
      <c r="AE1608" s="16"/>
    </row>
    <row r="1609" spans="1:31" x14ac:dyDescent="0.25">
      <c r="A1609" s="10">
        <v>810</v>
      </c>
      <c r="B1609" s="4">
        <v>45987</v>
      </c>
      <c r="C1609" s="3" t="s">
        <v>44</v>
      </c>
      <c r="D1609" s="3" t="s">
        <v>822</v>
      </c>
      <c r="E1609" s="3">
        <v>1174</v>
      </c>
      <c r="F1609" s="3"/>
      <c r="G1609" s="3" t="s">
        <v>41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8">
        <v>0</v>
      </c>
      <c r="AC1609" s="2" t="str">
        <f>VLOOKUP(E1609,'[1]Detailed Transfer Report (12)'!$K:$Y,13,FALSE)</f>
        <v>Zameer Khan</v>
      </c>
      <c r="AD1609" s="2" t="str">
        <f>VLOOKUP(E1609,'[1]Detailed Transfer Report (12)'!$K:$Y,14,FALSE)</f>
        <v>Sardar Tanveer Ilyas</v>
      </c>
      <c r="AE1609" s="16"/>
    </row>
    <row r="1610" spans="1:31" x14ac:dyDescent="0.25">
      <c r="A1610" s="7">
        <v>811</v>
      </c>
      <c r="B1610" s="4">
        <v>45992</v>
      </c>
      <c r="C1610" s="3" t="s">
        <v>308</v>
      </c>
      <c r="D1610" s="3" t="s">
        <v>822</v>
      </c>
      <c r="E1610" s="3">
        <v>166</v>
      </c>
      <c r="F1610" s="3"/>
      <c r="G1610" s="3" t="s">
        <v>30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8">
        <v>0</v>
      </c>
      <c r="AC1610" s="2" t="str">
        <f>VLOOKUP(E1610,'[1]Detailed Transfer Report (12)'!$K:$Y,13,FALSE)</f>
        <v>Zaheer Ahmed Khan</v>
      </c>
      <c r="AD1610" s="2" t="str">
        <f>VLOOKUP(E1610,'[1]Detailed Transfer Report (12)'!$K:$Y,14,FALSE)</f>
        <v>Sardar Tanveer Ilyas</v>
      </c>
      <c r="AE1610" s="16"/>
    </row>
    <row r="1611" spans="1:31" x14ac:dyDescent="0.25">
      <c r="A1611" s="9">
        <v>811</v>
      </c>
      <c r="B1611" s="4">
        <v>45992</v>
      </c>
      <c r="C1611" s="3" t="s">
        <v>1843</v>
      </c>
      <c r="D1611" s="3" t="s">
        <v>822</v>
      </c>
      <c r="E1611" s="3">
        <v>246</v>
      </c>
      <c r="F1611" s="3"/>
      <c r="G1611" s="3" t="s">
        <v>30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8">
        <v>0</v>
      </c>
      <c r="AD1611" s="2" t="str">
        <f>VLOOKUP(E1611,'[1]Detailed Transfer Report (12)'!$K:$Y,14,FALSE)</f>
        <v>Sardar Tanveer Ilyas</v>
      </c>
      <c r="AE1611" s="16"/>
    </row>
    <row r="1612" spans="1:31" x14ac:dyDescent="0.25">
      <c r="A1612" s="9">
        <v>811</v>
      </c>
      <c r="B1612" s="4">
        <v>45992</v>
      </c>
      <c r="C1612" s="3" t="s">
        <v>1844</v>
      </c>
      <c r="D1612" s="3" t="s">
        <v>822</v>
      </c>
      <c r="E1612" s="3">
        <v>247</v>
      </c>
      <c r="F1612" s="3"/>
      <c r="G1612" s="3" t="s">
        <v>30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8">
        <v>0</v>
      </c>
      <c r="AC1612" s="2" t="str">
        <f>VLOOKUP(E1612,'[1]Detailed Transfer Report (12)'!$K:$Y,13,FALSE)</f>
        <v>Muhammad Shakeel</v>
      </c>
      <c r="AD1612" s="2" t="str">
        <f>VLOOKUP(E1612,'[1]Detailed Transfer Report (12)'!$K:$Y,14,FALSE)</f>
        <v>Sardar Tanveer Ilyas</v>
      </c>
      <c r="AE1612" s="16"/>
    </row>
    <row r="1613" spans="1:31" x14ac:dyDescent="0.25">
      <c r="A1613" s="9">
        <v>811</v>
      </c>
      <c r="B1613" s="4">
        <v>45992</v>
      </c>
      <c r="C1613" s="3" t="s">
        <v>543</v>
      </c>
      <c r="D1613" s="3" t="s">
        <v>822</v>
      </c>
      <c r="E1613" s="3">
        <v>528</v>
      </c>
      <c r="F1613" s="3"/>
      <c r="G1613" s="3" t="s">
        <v>30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8">
        <v>0</v>
      </c>
      <c r="AC1613" s="2" t="str">
        <f>VLOOKUP(E1613,'[1]Detailed Transfer Report (12)'!$K:$Y,13,FALSE)</f>
        <v>Muhammad Waqas</v>
      </c>
      <c r="AD1613" s="2" t="str">
        <f>VLOOKUP(E1613,'[1]Detailed Transfer Report (12)'!$K:$Y,14,FALSE)</f>
        <v>Sardar Tanveer Ilyas</v>
      </c>
      <c r="AE1613" s="16"/>
    </row>
    <row r="1614" spans="1:31" x14ac:dyDescent="0.25">
      <c r="A1614" s="9">
        <v>811</v>
      </c>
      <c r="B1614" s="4">
        <v>45992</v>
      </c>
      <c r="C1614" s="3" t="s">
        <v>1001</v>
      </c>
      <c r="D1614" s="3" t="s">
        <v>822</v>
      </c>
      <c r="E1614" s="3">
        <v>562</v>
      </c>
      <c r="F1614" s="3"/>
      <c r="G1614" s="3" t="s">
        <v>30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8">
        <v>0</v>
      </c>
      <c r="AC1614" s="2" t="str">
        <f>VLOOKUP(E1614,'[1]Detailed Transfer Report (12)'!$K:$Y,13,FALSE)</f>
        <v>Abdul Shakeel</v>
      </c>
      <c r="AD1614" s="2" t="str">
        <f>VLOOKUP(E1614,'[1]Detailed Transfer Report (12)'!$K:$Y,14,FALSE)</f>
        <v>Sardar Tanveer Ilyas</v>
      </c>
      <c r="AE1614" s="16"/>
    </row>
    <row r="1615" spans="1:31" x14ac:dyDescent="0.25">
      <c r="A1615" s="9">
        <v>811</v>
      </c>
      <c r="B1615" s="4">
        <v>45992</v>
      </c>
      <c r="C1615" s="3" t="s">
        <v>1692</v>
      </c>
      <c r="D1615" s="3" t="s">
        <v>822</v>
      </c>
      <c r="E1615" s="3">
        <v>563</v>
      </c>
      <c r="F1615" s="3"/>
      <c r="G1615" s="3" t="s">
        <v>30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8">
        <v>0</v>
      </c>
      <c r="AC1615" s="2" t="str">
        <f>VLOOKUP(E1615,'[1]Detailed Transfer Report (12)'!$K:$Y,13,FALSE)</f>
        <v>Noor Bhari</v>
      </c>
      <c r="AD1615" s="2" t="str">
        <f>VLOOKUP(E1615,'[1]Detailed Transfer Report (12)'!$K:$Y,14,FALSE)</f>
        <v>Sardar Tanveer Ilyas</v>
      </c>
      <c r="AE1615" s="16"/>
    </row>
    <row r="1616" spans="1:31" x14ac:dyDescent="0.25">
      <c r="A1616" s="9">
        <v>811</v>
      </c>
      <c r="B1616" s="4">
        <v>45992</v>
      </c>
      <c r="C1616" s="3" t="s">
        <v>84</v>
      </c>
      <c r="D1616" s="3" t="s">
        <v>822</v>
      </c>
      <c r="E1616" s="3">
        <v>1046</v>
      </c>
      <c r="F1616" s="3"/>
      <c r="G1616" s="3" t="s">
        <v>30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8">
        <v>0</v>
      </c>
      <c r="AC1616" s="2" t="str">
        <f>VLOOKUP(E1616,'[1]Detailed Transfer Report (12)'!$K:$Y,13,FALSE)</f>
        <v>Hassan Akhtar</v>
      </c>
      <c r="AD1616" s="2" t="str">
        <f>VLOOKUP(E1616,'[1]Detailed Transfer Report (12)'!$K:$Y,14,FALSE)</f>
        <v>Sardar Tanveer Ilyas</v>
      </c>
      <c r="AE1616" s="16"/>
    </row>
    <row r="1617" spans="1:31" x14ac:dyDescent="0.25">
      <c r="A1617" s="9">
        <v>811</v>
      </c>
      <c r="B1617" s="4">
        <v>45992</v>
      </c>
      <c r="C1617" s="3" t="s">
        <v>899</v>
      </c>
      <c r="D1617" s="3" t="s">
        <v>822</v>
      </c>
      <c r="E1617" s="3">
        <v>1161</v>
      </c>
      <c r="F1617" s="3"/>
      <c r="G1617" s="3" t="s">
        <v>30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8">
        <v>0</v>
      </c>
      <c r="AD1617" s="2" t="str">
        <f>VLOOKUP(E1617,'[1]Detailed Transfer Report (12)'!$K:$Y,14,FALSE)</f>
        <v>Sardar Tanveer Ilyas</v>
      </c>
      <c r="AE1617" s="16"/>
    </row>
    <row r="1618" spans="1:31" x14ac:dyDescent="0.25">
      <c r="A1618" s="9">
        <v>811</v>
      </c>
      <c r="B1618" s="4">
        <v>45992</v>
      </c>
      <c r="C1618" s="3" t="s">
        <v>44</v>
      </c>
      <c r="D1618" s="3" t="s">
        <v>822</v>
      </c>
      <c r="E1618" s="3">
        <v>1222</v>
      </c>
      <c r="F1618" s="3"/>
      <c r="G1618" s="3" t="s">
        <v>30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8">
        <v>0</v>
      </c>
      <c r="AD1618" s="2" t="str">
        <f>VLOOKUP(E1618,'[1]Detailed Transfer Report (12)'!$K:$Y,14,FALSE)</f>
        <v>Sardar Tanveer Ilyas</v>
      </c>
      <c r="AE1618" s="16"/>
    </row>
    <row r="1619" spans="1:31" x14ac:dyDescent="0.25">
      <c r="A1619" s="9">
        <v>811</v>
      </c>
      <c r="B1619" s="4">
        <v>45992</v>
      </c>
      <c r="C1619" s="3" t="s">
        <v>1626</v>
      </c>
      <c r="D1619" s="3" t="s">
        <v>822</v>
      </c>
      <c r="E1619" s="3">
        <v>1400</v>
      </c>
      <c r="F1619" s="3"/>
      <c r="G1619" s="3" t="s">
        <v>30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8">
        <v>0</v>
      </c>
      <c r="AC1619" s="2" t="str">
        <f>VLOOKUP(E1619,'[1]Detailed Transfer Report (12)'!$K:$Y,13,FALSE)</f>
        <v>Parveen Akhtar</v>
      </c>
      <c r="AD1619" s="2" t="str">
        <f>VLOOKUP(E1619,'[1]Detailed Transfer Report (12)'!$K:$Y,14,FALSE)</f>
        <v>Sardar Tanveer Ilyas</v>
      </c>
      <c r="AE1619" s="16"/>
    </row>
    <row r="1620" spans="1:31" x14ac:dyDescent="0.25">
      <c r="A1620" s="9">
        <v>811</v>
      </c>
      <c r="B1620" s="4">
        <v>45992</v>
      </c>
      <c r="C1620" s="3" t="s">
        <v>1845</v>
      </c>
      <c r="D1620" s="3" t="s">
        <v>822</v>
      </c>
      <c r="E1620" s="3">
        <v>1401</v>
      </c>
      <c r="F1620" s="3"/>
      <c r="G1620" s="3" t="s">
        <v>30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8">
        <v>0</v>
      </c>
      <c r="AC1620" s="2" t="str">
        <f>VLOOKUP(E1620,'[1]Detailed Transfer Report (12)'!$K:$Y,13,FALSE)</f>
        <v>Muhammad Taj</v>
      </c>
      <c r="AD1620" s="2" t="str">
        <f>VLOOKUP(E1620,'[1]Detailed Transfer Report (12)'!$K:$Y,14,FALSE)</f>
        <v>Sardar Tanveer Ilyas</v>
      </c>
      <c r="AE1620" s="16"/>
    </row>
    <row r="1621" spans="1:31" x14ac:dyDescent="0.25">
      <c r="A1621" s="9">
        <v>811</v>
      </c>
      <c r="B1621" s="4">
        <v>45992</v>
      </c>
      <c r="C1621" s="3" t="s">
        <v>1846</v>
      </c>
      <c r="D1621" s="3" t="s">
        <v>822</v>
      </c>
      <c r="E1621" s="3">
        <v>1402</v>
      </c>
      <c r="F1621" s="3"/>
      <c r="G1621" s="3" t="s">
        <v>30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8">
        <v>0</v>
      </c>
      <c r="AC1621" s="2" t="str">
        <f>VLOOKUP(E1621,'[1]Detailed Transfer Report (12)'!$K:$Y,13,FALSE)</f>
        <v>Aziz Ur Rehman</v>
      </c>
      <c r="AD1621" s="2" t="str">
        <f>VLOOKUP(E1621,'[1]Detailed Transfer Report (12)'!$K:$Y,14,FALSE)</f>
        <v>Sardar Tanveer Ilyas</v>
      </c>
      <c r="AE1621" s="16"/>
    </row>
    <row r="1622" spans="1:31" x14ac:dyDescent="0.25">
      <c r="A1622" s="9">
        <v>811</v>
      </c>
      <c r="B1622" s="4">
        <v>45992</v>
      </c>
      <c r="C1622" s="3" t="s">
        <v>198</v>
      </c>
      <c r="D1622" s="3" t="s">
        <v>822</v>
      </c>
      <c r="E1622" s="3">
        <v>1474</v>
      </c>
      <c r="F1622" s="3"/>
      <c r="G1622" s="3" t="s">
        <v>30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8">
        <v>0</v>
      </c>
      <c r="AC1622" s="2" t="str">
        <f>VLOOKUP(E1622,'[1]Detailed Transfer Report (12)'!$K:$Y,13,FALSE)</f>
        <v>Malik Akhtar Mehmood</v>
      </c>
      <c r="AD1622" s="2" t="str">
        <f>VLOOKUP(E1622,'[1]Detailed Transfer Report (12)'!$K:$Y,14,FALSE)</f>
        <v>Sardar Tanveer Ilyas</v>
      </c>
      <c r="AE1622" s="16"/>
    </row>
    <row r="1623" spans="1:31" x14ac:dyDescent="0.25">
      <c r="A1623" s="9">
        <v>811</v>
      </c>
      <c r="B1623" s="4">
        <v>45992</v>
      </c>
      <c r="C1623" s="3" t="s">
        <v>1847</v>
      </c>
      <c r="D1623" s="3" t="s">
        <v>822</v>
      </c>
      <c r="E1623" s="3">
        <v>1475</v>
      </c>
      <c r="F1623" s="3"/>
      <c r="G1623" s="3" t="s">
        <v>30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8">
        <v>0</v>
      </c>
      <c r="AC1623" s="2" t="str">
        <f>VLOOKUP(E1623,'[1]Detailed Transfer Report (12)'!$K:$Y,13,FALSE)</f>
        <v>Muhammad Waris</v>
      </c>
      <c r="AD1623" s="2" t="str">
        <f>VLOOKUP(E1623,'[1]Detailed Transfer Report (12)'!$K:$Y,14,FALSE)</f>
        <v>Sardar Tanveer Ilyas</v>
      </c>
      <c r="AE1623" s="16"/>
    </row>
    <row r="1624" spans="1:31" x14ac:dyDescent="0.25">
      <c r="A1624" s="9">
        <v>811</v>
      </c>
      <c r="B1624" s="4">
        <v>45992</v>
      </c>
      <c r="C1624" s="3" t="s">
        <v>114</v>
      </c>
      <c r="D1624" s="3" t="s">
        <v>822</v>
      </c>
      <c r="E1624" s="3">
        <v>1490</v>
      </c>
      <c r="F1624" s="3"/>
      <c r="G1624" s="3" t="s">
        <v>30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8">
        <v>0</v>
      </c>
      <c r="AC1624" s="2" t="str">
        <f>VLOOKUP(E1624,'[1]Detailed Transfer Report (12)'!$K:$Y,13,FALSE)</f>
        <v>Khursheed Beghum</v>
      </c>
      <c r="AD1624" s="2" t="str">
        <f>VLOOKUP(E1624,'[1]Detailed Transfer Report (12)'!$K:$Y,14,FALSE)</f>
        <v>Sardar Tanveer Ilyas</v>
      </c>
      <c r="AE1624" s="16"/>
    </row>
    <row r="1625" spans="1:31" x14ac:dyDescent="0.25">
      <c r="A1625" s="9">
        <v>811</v>
      </c>
      <c r="B1625" s="4">
        <v>45992</v>
      </c>
      <c r="C1625" s="3" t="s">
        <v>1848</v>
      </c>
      <c r="D1625" s="3" t="s">
        <v>822</v>
      </c>
      <c r="E1625" s="3">
        <v>1498</v>
      </c>
      <c r="F1625" s="3"/>
      <c r="G1625" s="3" t="s">
        <v>30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8">
        <v>0</v>
      </c>
      <c r="AC1625" s="2" t="str">
        <f>VLOOKUP(E1625,'[1]Detailed Transfer Report (12)'!$K:$Y,13,FALSE)</f>
        <v>Makhni Beghum</v>
      </c>
      <c r="AD1625" s="2" t="str">
        <f>VLOOKUP(E1625,'[1]Detailed Transfer Report (12)'!$K:$Y,14,FALSE)</f>
        <v>Sardar Tanveer Ilyas</v>
      </c>
      <c r="AE1625" s="16"/>
    </row>
    <row r="1626" spans="1:31" x14ac:dyDescent="0.25">
      <c r="A1626" s="9">
        <v>811</v>
      </c>
      <c r="B1626" s="4">
        <v>45992</v>
      </c>
      <c r="C1626" s="3" t="s">
        <v>159</v>
      </c>
      <c r="D1626" s="3" t="s">
        <v>822</v>
      </c>
      <c r="E1626" s="3">
        <v>1476</v>
      </c>
      <c r="F1626" s="3"/>
      <c r="G1626" s="3" t="s">
        <v>30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8">
        <v>0</v>
      </c>
      <c r="AC1626" s="2" t="str">
        <f>VLOOKUP(E1626,'[1]Detailed Transfer Report (12)'!$K:$Y,13,FALSE)</f>
        <v>Muhammad Waris</v>
      </c>
      <c r="AD1626" s="2" t="str">
        <f>VLOOKUP(E1626,'[1]Detailed Transfer Report (12)'!$K:$Y,14,FALSE)</f>
        <v>Sardar Tanveer Ilyas</v>
      </c>
      <c r="AE1626" s="16">
        <f>VLOOKUP(E1626,'[1]Detailed Transfer Report (12)'!$K:$Y,15,FALSE)</f>
        <v>45768</v>
      </c>
    </row>
    <row r="1627" spans="1:31" x14ac:dyDescent="0.25">
      <c r="A1627" s="9">
        <v>811</v>
      </c>
      <c r="B1627" s="4">
        <v>45992</v>
      </c>
      <c r="C1627" s="3" t="s">
        <v>1364</v>
      </c>
      <c r="D1627" s="3" t="s">
        <v>822</v>
      </c>
      <c r="E1627" s="3">
        <v>1804</v>
      </c>
      <c r="F1627" s="3"/>
      <c r="G1627" s="3" t="s">
        <v>30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8">
        <v>0</v>
      </c>
      <c r="AC1627" s="2" t="str">
        <f>VLOOKUP(E1627,'[1]Detailed Transfer Report (12)'!$K:$Y,13,FALSE)</f>
        <v>Muhammad Musa Kiyani</v>
      </c>
      <c r="AD1627" s="2" t="str">
        <f>VLOOKUP(E1627,'[1]Detailed Transfer Report (12)'!$K:$Y,14,FALSE)</f>
        <v>Sardar Yasir Ilyas</v>
      </c>
      <c r="AE1627" s="16">
        <f>VLOOKUP(E1627,'[1]Detailed Transfer Report (12)'!$K:$Y,15,FALSE)</f>
        <v>44910</v>
      </c>
    </row>
    <row r="1628" spans="1:31" x14ac:dyDescent="0.25">
      <c r="A1628" s="9">
        <v>811</v>
      </c>
      <c r="B1628" s="4">
        <v>45992</v>
      </c>
      <c r="C1628" s="3" t="s">
        <v>153</v>
      </c>
      <c r="D1628" s="3" t="s">
        <v>822</v>
      </c>
      <c r="E1628" s="3">
        <v>2040</v>
      </c>
      <c r="F1628" s="3"/>
      <c r="G1628" s="3" t="s">
        <v>30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8">
        <v>0</v>
      </c>
      <c r="AC1628" s="2" t="str">
        <f>VLOOKUP(E1628,'[1]Detailed Transfer Report (12)'!$K:$Y,13,FALSE)</f>
        <v>Rashid Mehmood</v>
      </c>
      <c r="AD1628" s="2" t="str">
        <f>VLOOKUP(E1628,'[1]Detailed Transfer Report (12)'!$K:$Y,14,FALSE)</f>
        <v>Sardar Tanveer Ilyas</v>
      </c>
      <c r="AE1628" s="16"/>
    </row>
    <row r="1629" spans="1:31" x14ac:dyDescent="0.25">
      <c r="A1629" s="9">
        <v>811</v>
      </c>
      <c r="B1629" s="4">
        <v>45992</v>
      </c>
      <c r="C1629" s="3" t="s">
        <v>192</v>
      </c>
      <c r="D1629" s="3" t="s">
        <v>822</v>
      </c>
      <c r="E1629" s="3">
        <v>2254</v>
      </c>
      <c r="F1629" s="3"/>
      <c r="G1629" s="3" t="s">
        <v>30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8">
        <v>0</v>
      </c>
      <c r="AC1629" s="2" t="str">
        <f>VLOOKUP(E1629,'[1]Detailed Transfer Report (12)'!$K:$Y,13,FALSE)</f>
        <v>Muhammad Akseer</v>
      </c>
      <c r="AD1629" s="2" t="str">
        <f>VLOOKUP(E1629,'[1]Detailed Transfer Report (12)'!$K:$Y,14,FALSE)</f>
        <v>Sardar Tanveer Ilyas</v>
      </c>
      <c r="AE1629" s="16"/>
    </row>
    <row r="1630" spans="1:31" x14ac:dyDescent="0.25">
      <c r="A1630" s="9">
        <v>811</v>
      </c>
      <c r="B1630" s="4">
        <v>45992</v>
      </c>
      <c r="C1630" s="3" t="s">
        <v>581</v>
      </c>
      <c r="D1630" s="3" t="s">
        <v>822</v>
      </c>
      <c r="E1630" s="3">
        <v>2281</v>
      </c>
      <c r="F1630" s="3"/>
      <c r="G1630" s="3" t="s">
        <v>30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8">
        <v>0</v>
      </c>
      <c r="AC1630" s="2" t="str">
        <f>VLOOKUP(E1630,'[1]Detailed Transfer Report (12)'!$K:$Y,13,FALSE)</f>
        <v>Muhammad Muneer Khan</v>
      </c>
      <c r="AD1630" s="2" t="str">
        <f>VLOOKUP(E1630,'[1]Detailed Transfer Report (12)'!$K:$Y,14,FALSE)</f>
        <v>Sardar Tanveer Ilyas</v>
      </c>
      <c r="AE1630" s="16"/>
    </row>
    <row r="1631" spans="1:31" x14ac:dyDescent="0.25">
      <c r="A1631" s="9">
        <v>811</v>
      </c>
      <c r="B1631" s="4">
        <v>45992</v>
      </c>
      <c r="C1631" s="3" t="s">
        <v>700</v>
      </c>
      <c r="D1631" s="3" t="s">
        <v>822</v>
      </c>
      <c r="E1631" s="3">
        <v>2299</v>
      </c>
      <c r="F1631" s="3"/>
      <c r="G1631" s="3" t="s">
        <v>30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8">
        <v>0</v>
      </c>
      <c r="AC1631" s="2" t="str">
        <f>VLOOKUP(E1631,'[1]Detailed Transfer Report (12)'!$K:$Y,13,FALSE)</f>
        <v>Farooz Din</v>
      </c>
      <c r="AD1631" s="2" t="str">
        <f>VLOOKUP(E1631,'[1]Detailed Transfer Report (12)'!$K:$Y,14,FALSE)</f>
        <v>Sardar Tanveer Ilyas</v>
      </c>
      <c r="AE1631" s="16"/>
    </row>
    <row r="1632" spans="1:31" x14ac:dyDescent="0.25">
      <c r="A1632" s="9">
        <v>811</v>
      </c>
      <c r="B1632" s="4">
        <v>45992</v>
      </c>
      <c r="C1632" s="3" t="s">
        <v>427</v>
      </c>
      <c r="D1632" s="3" t="s">
        <v>822</v>
      </c>
      <c r="E1632" s="3">
        <v>2305</v>
      </c>
      <c r="F1632" s="3"/>
      <c r="G1632" s="3" t="s">
        <v>30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8">
        <v>0</v>
      </c>
      <c r="AC1632" s="2" t="str">
        <f>VLOOKUP(E1632,'[1]Detailed Transfer Report (12)'!$K:$Y,13,FALSE)</f>
        <v>Zeeshan</v>
      </c>
      <c r="AD1632" s="2" t="str">
        <f>VLOOKUP(E1632,'[1]Detailed Transfer Report (12)'!$K:$Y,14,FALSE)</f>
        <v>Sardar Tanveer Ilyas</v>
      </c>
      <c r="AE1632" s="16"/>
    </row>
    <row r="1633" spans="1:31" x14ac:dyDescent="0.25">
      <c r="A1633" s="9">
        <v>811</v>
      </c>
      <c r="B1633" s="4">
        <v>45992</v>
      </c>
      <c r="C1633" s="3" t="s">
        <v>1129</v>
      </c>
      <c r="D1633" s="3" t="s">
        <v>822</v>
      </c>
      <c r="E1633" s="3">
        <v>2336</v>
      </c>
      <c r="F1633" s="3"/>
      <c r="G1633" s="3" t="s">
        <v>30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8">
        <v>0</v>
      </c>
      <c r="AC1633" s="2" t="str">
        <f>VLOOKUP(E1633,'[1]Detailed Transfer Report (12)'!$K:$Y,13,FALSE)</f>
        <v>Suleman</v>
      </c>
      <c r="AD1633" s="2" t="str">
        <f>VLOOKUP(E1633,'[1]Detailed Transfer Report (12)'!$K:$Y,14,FALSE)</f>
        <v>Sardar Tanveer Ilyas</v>
      </c>
      <c r="AE1633" s="16"/>
    </row>
    <row r="1634" spans="1:31" x14ac:dyDescent="0.25">
      <c r="A1634" s="9">
        <v>811</v>
      </c>
      <c r="B1634" s="4">
        <v>45992</v>
      </c>
      <c r="C1634" s="3" t="s">
        <v>153</v>
      </c>
      <c r="D1634" s="3" t="s">
        <v>822</v>
      </c>
      <c r="E1634" s="3">
        <v>11488</v>
      </c>
      <c r="F1634" s="3"/>
      <c r="G1634" s="3" t="s">
        <v>30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8">
        <v>0</v>
      </c>
      <c r="AC1634" s="2" t="str">
        <f>VLOOKUP(E1634,'[1]Detailed Transfer Report (12)'!$K:$Y,13,FALSE)</f>
        <v>Mst Iram ul Nisa</v>
      </c>
      <c r="AD1634" s="2" t="str">
        <f>VLOOKUP(E1634,'[1]Detailed Transfer Report (12)'!$K:$Y,14,FALSE)</f>
        <v>Sardar Tanveer Ilyas</v>
      </c>
      <c r="AE1634" s="16"/>
    </row>
    <row r="1635" spans="1:31" x14ac:dyDescent="0.25">
      <c r="A1635" s="9">
        <v>811</v>
      </c>
      <c r="B1635" s="4">
        <v>45992</v>
      </c>
      <c r="C1635" s="3" t="s">
        <v>299</v>
      </c>
      <c r="D1635" s="3" t="s">
        <v>822</v>
      </c>
      <c r="E1635" s="3">
        <v>11489</v>
      </c>
      <c r="F1635" s="3"/>
      <c r="G1635" s="3" t="s">
        <v>30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8">
        <v>0</v>
      </c>
      <c r="AC1635" s="2" t="str">
        <f>VLOOKUP(E1635,'[1]Detailed Transfer Report (12)'!$K:$Y,13,FALSE)</f>
        <v>Ali Shah</v>
      </c>
      <c r="AD1635" s="2" t="str">
        <f>VLOOKUP(E1635,'[1]Detailed Transfer Report (12)'!$K:$Y,14,FALSE)</f>
        <v>Sardar Tanveer Ilyas</v>
      </c>
      <c r="AE1635" s="16"/>
    </row>
    <row r="1636" spans="1:31" x14ac:dyDescent="0.25">
      <c r="A1636" s="9">
        <v>811</v>
      </c>
      <c r="B1636" s="4">
        <v>45992</v>
      </c>
      <c r="C1636" s="3" t="s">
        <v>68</v>
      </c>
      <c r="D1636" s="3" t="s">
        <v>822</v>
      </c>
      <c r="E1636" s="3">
        <v>11496</v>
      </c>
      <c r="F1636" s="3"/>
      <c r="G1636" s="3" t="s">
        <v>30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8">
        <v>0</v>
      </c>
      <c r="AC1636" s="2" t="str">
        <f>VLOOKUP(E1636,'[1]Detailed Transfer Report (12)'!$K:$Y,13,FALSE)</f>
        <v>Mehboob Akhtar</v>
      </c>
      <c r="AD1636" s="2" t="str">
        <f>VLOOKUP(E1636,'[1]Detailed Transfer Report (12)'!$K:$Y,14,FALSE)</f>
        <v>Sardar Tanveer Ilyas</v>
      </c>
      <c r="AE1636" s="16"/>
    </row>
    <row r="1637" spans="1:31" x14ac:dyDescent="0.25">
      <c r="A1637" s="9">
        <v>811</v>
      </c>
      <c r="B1637" s="4">
        <v>45992</v>
      </c>
      <c r="C1637" s="3" t="s">
        <v>137</v>
      </c>
      <c r="D1637" s="3" t="s">
        <v>822</v>
      </c>
      <c r="E1637" s="3">
        <v>12042</v>
      </c>
      <c r="F1637" s="3"/>
      <c r="G1637" s="3" t="s">
        <v>30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8">
        <v>0</v>
      </c>
      <c r="AC1637" s="2" t="str">
        <f>VLOOKUP(E1637,'[1]Detailed Transfer Report (12)'!$K:$Y,13,FALSE)</f>
        <v>Muhammad Tariq</v>
      </c>
      <c r="AD1637" s="2" t="str">
        <f>VLOOKUP(E1637,'[1]Detailed Transfer Report (12)'!$K:$Y,14,FALSE)</f>
        <v>Sardar Tanveer Ilyas</v>
      </c>
      <c r="AE1637" s="16"/>
    </row>
    <row r="1638" spans="1:31" x14ac:dyDescent="0.25">
      <c r="A1638" s="9">
        <v>811</v>
      </c>
      <c r="B1638" s="4">
        <v>45992</v>
      </c>
      <c r="C1638" s="3" t="s">
        <v>721</v>
      </c>
      <c r="D1638" s="3" t="s">
        <v>822</v>
      </c>
      <c r="E1638" s="3">
        <v>12245</v>
      </c>
      <c r="F1638" s="3"/>
      <c r="G1638" s="3" t="s">
        <v>30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8">
        <v>0</v>
      </c>
      <c r="AC1638" s="2" t="str">
        <f>VLOOKUP(E1638,'[1]Detailed Transfer Report (12)'!$K:$Y,13,FALSE)</f>
        <v>Muhammad Ahmed</v>
      </c>
      <c r="AD1638" s="2" t="str">
        <f>VLOOKUP(E1638,'[1]Detailed Transfer Report (12)'!$K:$Y,14,FALSE)</f>
        <v>Sardar Tanveer Ilyas</v>
      </c>
      <c r="AE1638" s="16"/>
    </row>
    <row r="1639" spans="1:31" x14ac:dyDescent="0.25">
      <c r="A1639" s="9">
        <v>811</v>
      </c>
      <c r="B1639" s="4">
        <v>45992</v>
      </c>
      <c r="C1639" s="3" t="s">
        <v>1476</v>
      </c>
      <c r="D1639" s="3" t="s">
        <v>822</v>
      </c>
      <c r="E1639" s="3">
        <v>12251</v>
      </c>
      <c r="F1639" s="3"/>
      <c r="G1639" s="3" t="s">
        <v>30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8">
        <v>0</v>
      </c>
      <c r="AC1639" s="2" t="str">
        <f>VLOOKUP(E1639,'[1]Detailed Transfer Report (12)'!$K:$Y,13,FALSE)</f>
        <v>Abdullah</v>
      </c>
      <c r="AD1639" s="2" t="str">
        <f>VLOOKUP(E1639,'[1]Detailed Transfer Report (12)'!$K:$Y,14,FALSE)</f>
        <v>Sardar Tanveer Ilyas</v>
      </c>
      <c r="AE1639" s="16"/>
    </row>
    <row r="1640" spans="1:31" x14ac:dyDescent="0.25">
      <c r="A1640" s="9">
        <v>811</v>
      </c>
      <c r="B1640" s="4">
        <v>45992</v>
      </c>
      <c r="C1640" s="3" t="s">
        <v>377</v>
      </c>
      <c r="D1640" s="3" t="s">
        <v>822</v>
      </c>
      <c r="E1640" s="3">
        <v>12314</v>
      </c>
      <c r="F1640" s="3"/>
      <c r="G1640" s="3" t="s">
        <v>30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8">
        <v>0</v>
      </c>
      <c r="AC1640" s="2" t="str">
        <f>VLOOKUP(E1640,'[1]Detailed Transfer Report (12)'!$K:$Y,13,FALSE)</f>
        <v>Saleem Bibi</v>
      </c>
      <c r="AD1640" s="2" t="str">
        <f>VLOOKUP(E1640,'[1]Detailed Transfer Report (12)'!$K:$Y,14,FALSE)</f>
        <v>Sardar Tanveer Ilyas</v>
      </c>
      <c r="AE1640" s="16"/>
    </row>
    <row r="1641" spans="1:31" x14ac:dyDescent="0.25">
      <c r="A1641" s="9">
        <v>811</v>
      </c>
      <c r="B1641" s="4">
        <v>45992</v>
      </c>
      <c r="C1641" s="3" t="s">
        <v>581</v>
      </c>
      <c r="D1641" s="3" t="s">
        <v>822</v>
      </c>
      <c r="E1641" s="3">
        <v>12318</v>
      </c>
      <c r="F1641" s="3"/>
      <c r="G1641" s="3" t="s">
        <v>30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8">
        <v>0</v>
      </c>
      <c r="AC1641" s="2" t="str">
        <f>VLOOKUP(E1641,'[1]Detailed Transfer Report (12)'!$K:$Y,13,FALSE)</f>
        <v>Akbar</v>
      </c>
      <c r="AD1641" s="2" t="str">
        <f>VLOOKUP(E1641,'[1]Detailed Transfer Report (12)'!$K:$Y,14,FALSE)</f>
        <v>Sardar Tanveer Ilyas</v>
      </c>
      <c r="AE1641" s="16"/>
    </row>
    <row r="1642" spans="1:31" x14ac:dyDescent="0.25">
      <c r="A1642" s="9">
        <v>811</v>
      </c>
      <c r="B1642" s="4">
        <v>45992</v>
      </c>
      <c r="C1642" s="3" t="s">
        <v>1849</v>
      </c>
      <c r="D1642" s="3" t="s">
        <v>822</v>
      </c>
      <c r="E1642" s="3">
        <v>12423</v>
      </c>
      <c r="F1642" s="3"/>
      <c r="G1642" s="3" t="s">
        <v>30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8">
        <v>0</v>
      </c>
      <c r="AC1642" s="2" t="str">
        <f>VLOOKUP(E1642,'[1]Detailed Transfer Report (12)'!$K:$Y,13,FALSE)</f>
        <v>Syed Akbar Ali Shah</v>
      </c>
      <c r="AD1642" s="2" t="str">
        <f>VLOOKUP(E1642,'[1]Detailed Transfer Report (12)'!$K:$Y,14,FALSE)</f>
        <v>Sardar Tanveer Ilyas</v>
      </c>
      <c r="AE1642" s="16"/>
    </row>
    <row r="1643" spans="1:31" x14ac:dyDescent="0.25">
      <c r="A1643" s="9">
        <v>811</v>
      </c>
      <c r="B1643" s="4">
        <v>45992</v>
      </c>
      <c r="C1643" s="3" t="s">
        <v>153</v>
      </c>
      <c r="D1643" s="3" t="s">
        <v>822</v>
      </c>
      <c r="E1643" s="3">
        <v>12424</v>
      </c>
      <c r="F1643" s="3"/>
      <c r="G1643" s="3" t="s">
        <v>30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8">
        <v>0</v>
      </c>
      <c r="AC1643" s="2" t="str">
        <f>VLOOKUP(E1643,'[1]Detailed Transfer Report (12)'!$K:$Y,13,FALSE)</f>
        <v>Muhammad Hanif</v>
      </c>
      <c r="AD1643" s="2" t="str">
        <f>VLOOKUP(E1643,'[1]Detailed Transfer Report (12)'!$K:$Y,14,FALSE)</f>
        <v>Sardar Tanveer Ilyas</v>
      </c>
      <c r="AE1643" s="16"/>
    </row>
    <row r="1644" spans="1:31" x14ac:dyDescent="0.25">
      <c r="A1644" s="9">
        <v>811</v>
      </c>
      <c r="B1644" s="4">
        <v>45992</v>
      </c>
      <c r="C1644" s="3" t="s">
        <v>153</v>
      </c>
      <c r="D1644" s="3" t="s">
        <v>822</v>
      </c>
      <c r="E1644" s="3">
        <v>12452</v>
      </c>
      <c r="F1644" s="3"/>
      <c r="G1644" s="3" t="s">
        <v>30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8">
        <v>0</v>
      </c>
      <c r="AC1644" s="2" t="str">
        <f>VLOOKUP(E1644,'[1]Detailed Transfer Report (12)'!$K:$Y,13,FALSE)</f>
        <v>Mst SukhroJan</v>
      </c>
      <c r="AD1644" s="2" t="str">
        <f>VLOOKUP(E1644,'[1]Detailed Transfer Report (12)'!$K:$Y,14,FALSE)</f>
        <v>Sardar Tanveer Ilyas</v>
      </c>
      <c r="AE1644" s="16"/>
    </row>
    <row r="1645" spans="1:31" x14ac:dyDescent="0.25">
      <c r="A1645" s="9">
        <v>811</v>
      </c>
      <c r="B1645" s="4">
        <v>45992</v>
      </c>
      <c r="C1645" s="3" t="s">
        <v>536</v>
      </c>
      <c r="D1645" s="3" t="s">
        <v>822</v>
      </c>
      <c r="E1645" s="3">
        <v>12482</v>
      </c>
      <c r="F1645" s="3"/>
      <c r="G1645" s="3" t="s">
        <v>30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8">
        <v>0</v>
      </c>
      <c r="AC1645" s="2" t="str">
        <f>VLOOKUP(E1645,'[1]Detailed Transfer Report (12)'!$K:$Y,13,FALSE)</f>
        <v>Gul Hussain</v>
      </c>
      <c r="AD1645" s="2" t="str">
        <f>VLOOKUP(E1645,'[1]Detailed Transfer Report (12)'!$K:$Y,14,FALSE)</f>
        <v>Sardar Tanveer Ilyas</v>
      </c>
      <c r="AE1645" s="16"/>
    </row>
    <row r="1646" spans="1:31" x14ac:dyDescent="0.25">
      <c r="A1646" s="9">
        <v>811</v>
      </c>
      <c r="B1646" s="4">
        <v>45992</v>
      </c>
      <c r="C1646" s="3" t="s">
        <v>1850</v>
      </c>
      <c r="D1646" s="3" t="s">
        <v>822</v>
      </c>
      <c r="E1646" s="3">
        <v>12494</v>
      </c>
      <c r="F1646" s="3"/>
      <c r="G1646" s="3" t="s">
        <v>30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8">
        <v>0</v>
      </c>
      <c r="AC1646" s="2" t="str">
        <f>VLOOKUP(E1646,'[1]Detailed Transfer Report (12)'!$K:$Y,13,FALSE)</f>
        <v>Muhammad Yousaf</v>
      </c>
      <c r="AD1646" s="2" t="str">
        <f>VLOOKUP(E1646,'[1]Detailed Transfer Report (12)'!$K:$Y,14,FALSE)</f>
        <v>Sardar Tanveer Ilyas</v>
      </c>
      <c r="AE1646" s="16"/>
    </row>
    <row r="1647" spans="1:31" x14ac:dyDescent="0.25">
      <c r="A1647" s="10">
        <v>811</v>
      </c>
      <c r="B1647" s="4">
        <v>45992</v>
      </c>
      <c r="C1647" s="3" t="s">
        <v>536</v>
      </c>
      <c r="D1647" s="3" t="s">
        <v>822</v>
      </c>
      <c r="E1647" s="3">
        <v>12495</v>
      </c>
      <c r="F1647" s="3"/>
      <c r="G1647" s="3" t="s">
        <v>30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8">
        <v>0</v>
      </c>
      <c r="AC1647" s="2" t="str">
        <f>VLOOKUP(E1647,'[1]Detailed Transfer Report (12)'!$K:$Y,13,FALSE)</f>
        <v>Muhammad Yousaf</v>
      </c>
      <c r="AD1647" s="2" t="str">
        <f>VLOOKUP(E1647,'[1]Detailed Transfer Report (12)'!$K:$Y,14,FALSE)</f>
        <v>Sardar Tanveer Ilyas</v>
      </c>
      <c r="AE1647" s="16"/>
    </row>
    <row r="1648" spans="1:31" ht="23.25" x14ac:dyDescent="0.25">
      <c r="A1648" s="7">
        <v>813</v>
      </c>
      <c r="B1648" s="4">
        <v>46009</v>
      </c>
      <c r="C1648" s="3" t="s">
        <v>1851</v>
      </c>
      <c r="D1648" s="3" t="s">
        <v>822</v>
      </c>
      <c r="E1648" s="3" t="s">
        <v>1852</v>
      </c>
      <c r="F1648" s="3"/>
      <c r="G1648" s="3" t="s">
        <v>30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8">
        <v>0</v>
      </c>
      <c r="AE1648" s="16"/>
    </row>
    <row r="1649" spans="1:31" ht="23.25" x14ac:dyDescent="0.25">
      <c r="A1649" s="10">
        <v>813</v>
      </c>
      <c r="B1649" s="4">
        <v>46055</v>
      </c>
      <c r="C1649" s="3" t="s">
        <v>313</v>
      </c>
      <c r="D1649" s="3" t="s">
        <v>822</v>
      </c>
      <c r="E1649" s="3" t="s">
        <v>1853</v>
      </c>
      <c r="F1649" s="3"/>
      <c r="G1649" s="3" t="s">
        <v>30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8">
        <v>0</v>
      </c>
      <c r="AC1649" s="2" t="str">
        <f>VLOOKUP(E1649,'[1]Detailed Transfer Report (12)'!$K:$Y,13,FALSE)</f>
        <v>Yasrab Shahzad</v>
      </c>
      <c r="AD1649" s="2" t="str">
        <f>VLOOKUP(E1649,'[1]Detailed Transfer Report (12)'!$K:$Y,14,FALSE)</f>
        <v>Sardar Group of Companies Pvt Ltd</v>
      </c>
      <c r="AE1649" s="16"/>
    </row>
    <row r="1650" spans="1:31" x14ac:dyDescent="0.25">
      <c r="A1650" s="3">
        <v>815</v>
      </c>
      <c r="B1650" s="4">
        <v>46070</v>
      </c>
      <c r="C1650" s="3" t="s">
        <v>344</v>
      </c>
      <c r="D1650" s="3" t="s">
        <v>822</v>
      </c>
      <c r="E1650" s="3">
        <v>6154</v>
      </c>
      <c r="F1650" s="3">
        <v>12522</v>
      </c>
      <c r="G1650" s="3" t="s">
        <v>756</v>
      </c>
      <c r="H1650" s="3">
        <v>0</v>
      </c>
      <c r="I1650" s="3">
        <v>0</v>
      </c>
      <c r="J1650" s="5">
        <v>42195</v>
      </c>
      <c r="K1650" s="3">
        <v>0</v>
      </c>
      <c r="L1650" s="3">
        <v>0</v>
      </c>
      <c r="M1650" s="3">
        <v>0</v>
      </c>
      <c r="N1650" s="5">
        <v>29130</v>
      </c>
      <c r="O1650" s="3">
        <v>0</v>
      </c>
      <c r="P1650" s="3">
        <v>0</v>
      </c>
      <c r="Q1650" s="3">
        <v>0</v>
      </c>
      <c r="R1650" s="5">
        <v>126585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5">
        <v>3300</v>
      </c>
      <c r="Y1650" s="3">
        <v>0</v>
      </c>
      <c r="Z1650" s="5">
        <v>28030</v>
      </c>
      <c r="AA1650" s="3">
        <v>0</v>
      </c>
      <c r="AB1650" s="6">
        <v>229240</v>
      </c>
      <c r="AC1650" s="2" t="str">
        <f>VLOOKUP(E1650,'[1]Detailed Transfer Report (12)'!$K:$Y,13,FALSE)</f>
        <v>Muhammad Afzal</v>
      </c>
      <c r="AD1650" s="2" t="str">
        <f>VLOOKUP(E1650,'[1]Detailed Transfer Report (12)'!$K:$Y,14,FALSE)</f>
        <v>Sardar Tanveer Ilyas</v>
      </c>
      <c r="AE1650" s="16">
        <f>VLOOKUP(E1650,'[1]Detailed Transfer Report (12)'!$K:$Y,15,FALSE)</f>
        <v>45909</v>
      </c>
    </row>
    <row r="1651" spans="1:31" x14ac:dyDescent="0.25">
      <c r="A1651" s="7">
        <v>816</v>
      </c>
      <c r="B1651" s="4">
        <v>46076</v>
      </c>
      <c r="C1651" s="3" t="s">
        <v>141</v>
      </c>
      <c r="D1651" s="3" t="s">
        <v>822</v>
      </c>
      <c r="E1651" s="3" t="s">
        <v>1802</v>
      </c>
      <c r="F1651" s="3">
        <v>15626</v>
      </c>
      <c r="G1651" s="3" t="s">
        <v>41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8">
        <v>0</v>
      </c>
      <c r="AC1651" s="2" t="str">
        <f>VLOOKUP(E1651,'[1]Detailed Transfer Report (12)'!$K:$Y,13,FALSE)</f>
        <v>Dilawar Khan</v>
      </c>
      <c r="AD1651" s="2" t="str">
        <f>VLOOKUP(E1651,'[1]Detailed Transfer Report (12)'!$K:$Y,14,FALSE)</f>
        <v>Sardar Group of Companies Pvt Ltd</v>
      </c>
      <c r="AE1651" s="16">
        <f>VLOOKUP(E1651,'[1]Detailed Transfer Report (12)'!$K:$Y,15,FALSE)</f>
        <v>46130</v>
      </c>
    </row>
    <row r="1652" spans="1:31" x14ac:dyDescent="0.25">
      <c r="A1652" s="10">
        <v>816</v>
      </c>
      <c r="B1652" s="4">
        <v>46128</v>
      </c>
      <c r="C1652" s="3" t="s">
        <v>323</v>
      </c>
      <c r="D1652" s="3" t="s">
        <v>822</v>
      </c>
      <c r="E1652" s="3" t="s">
        <v>1802</v>
      </c>
      <c r="F1652" s="3">
        <v>2776</v>
      </c>
      <c r="G1652" s="3" t="s">
        <v>41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8">
        <v>0</v>
      </c>
      <c r="AC1652" s="2" t="str">
        <f>VLOOKUP(E1652,'[1]Detailed Transfer Report (12)'!$K:$Y,13,FALSE)</f>
        <v>Dilawar Khan</v>
      </c>
      <c r="AD1652" s="2" t="str">
        <f>VLOOKUP(E1652,'[1]Detailed Transfer Report (12)'!$K:$Y,14,FALSE)</f>
        <v>Sardar Group of Companies Pvt Ltd</v>
      </c>
      <c r="AE1652" s="16">
        <f>VLOOKUP(E1652,'[1]Detailed Transfer Report (12)'!$K:$Y,15,FALSE)</f>
        <v>46130</v>
      </c>
    </row>
    <row r="1653" spans="1:31" x14ac:dyDescent="0.25">
      <c r="A1653" s="3">
        <v>817</v>
      </c>
      <c r="B1653" s="4">
        <v>46076</v>
      </c>
      <c r="C1653" s="3" t="s">
        <v>141</v>
      </c>
      <c r="D1653" s="3" t="s">
        <v>822</v>
      </c>
      <c r="E1653" s="3" t="s">
        <v>1802</v>
      </c>
      <c r="F1653" s="3">
        <v>2247</v>
      </c>
      <c r="G1653" s="3" t="s">
        <v>41</v>
      </c>
      <c r="H1653" s="3">
        <v>0</v>
      </c>
      <c r="I1653" s="3">
        <v>0</v>
      </c>
      <c r="J1653" s="5">
        <v>92700</v>
      </c>
      <c r="K1653" s="3">
        <v>0</v>
      </c>
      <c r="L1653" s="3">
        <v>0</v>
      </c>
      <c r="M1653" s="3">
        <v>0</v>
      </c>
      <c r="N1653" s="5">
        <v>61700</v>
      </c>
      <c r="O1653" s="3">
        <v>0</v>
      </c>
      <c r="P1653" s="3">
        <v>0</v>
      </c>
      <c r="Q1653" s="3">
        <v>0</v>
      </c>
      <c r="R1653" s="5">
        <v>278100</v>
      </c>
      <c r="S1653" s="3">
        <v>0</v>
      </c>
      <c r="T1653" s="3">
        <v>100</v>
      </c>
      <c r="U1653" s="3">
        <v>0</v>
      </c>
      <c r="V1653" s="3">
        <v>0</v>
      </c>
      <c r="W1653" s="3">
        <v>0</v>
      </c>
      <c r="X1653" s="5">
        <v>6180</v>
      </c>
      <c r="Y1653" s="3">
        <v>0</v>
      </c>
      <c r="Z1653" s="5">
        <v>62800</v>
      </c>
      <c r="AA1653" s="3">
        <v>0</v>
      </c>
      <c r="AB1653" s="6">
        <v>501580</v>
      </c>
      <c r="AC1653" s="2" t="str">
        <f>VLOOKUP(E1653,'[1]Detailed Transfer Report (12)'!$K:$Y,13,FALSE)</f>
        <v>Dilawar Khan</v>
      </c>
      <c r="AD1653" s="2" t="str">
        <f>VLOOKUP(E1653,'[1]Detailed Transfer Report (12)'!$K:$Y,14,FALSE)</f>
        <v>Sardar Group of Companies Pvt Ltd</v>
      </c>
      <c r="AE1653" s="16">
        <f>VLOOKUP(E1653,'[1]Detailed Transfer Report (12)'!$K:$Y,15,FALSE)</f>
        <v>46130</v>
      </c>
    </row>
    <row r="1654" spans="1:31" x14ac:dyDescent="0.25">
      <c r="A1654" s="3">
        <v>818</v>
      </c>
      <c r="B1654" s="4">
        <v>46076</v>
      </c>
      <c r="C1654" s="3" t="s">
        <v>141</v>
      </c>
      <c r="D1654" s="3" t="s">
        <v>822</v>
      </c>
      <c r="E1654" s="3" t="s">
        <v>1802</v>
      </c>
      <c r="F1654" s="3">
        <v>1986</v>
      </c>
      <c r="G1654" s="3" t="s">
        <v>41</v>
      </c>
      <c r="H1654" s="3">
        <v>0</v>
      </c>
      <c r="I1654" s="3">
        <v>0</v>
      </c>
      <c r="J1654" s="5">
        <v>92250</v>
      </c>
      <c r="K1654" s="3">
        <v>0</v>
      </c>
      <c r="L1654" s="3">
        <v>0</v>
      </c>
      <c r="M1654" s="3">
        <v>0</v>
      </c>
      <c r="N1654" s="5">
        <v>61400</v>
      </c>
      <c r="O1654" s="3">
        <v>0</v>
      </c>
      <c r="P1654" s="3">
        <v>0</v>
      </c>
      <c r="Q1654" s="3">
        <v>0</v>
      </c>
      <c r="R1654" s="5">
        <v>585611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5">
        <v>6150</v>
      </c>
      <c r="Y1654" s="3">
        <v>0</v>
      </c>
      <c r="Z1654" s="5">
        <v>62500</v>
      </c>
      <c r="AA1654" s="3">
        <v>0</v>
      </c>
      <c r="AB1654" s="6">
        <v>807911</v>
      </c>
      <c r="AC1654" s="2" t="str">
        <f>VLOOKUP(E1654,'[1]Detailed Transfer Report (12)'!$K:$Y,13,FALSE)</f>
        <v>Dilawar Khan</v>
      </c>
      <c r="AD1654" s="2" t="str">
        <f>VLOOKUP(E1654,'[1]Detailed Transfer Report (12)'!$K:$Y,14,FALSE)</f>
        <v>Sardar Group of Companies Pvt Ltd</v>
      </c>
      <c r="AE1654" s="16">
        <f>VLOOKUP(E1654,'[1]Detailed Transfer Report (12)'!$K:$Y,15,FALSE)</f>
        <v>46130</v>
      </c>
    </row>
    <row r="1655" spans="1:31" x14ac:dyDescent="0.25">
      <c r="A1655" s="7">
        <v>819</v>
      </c>
      <c r="B1655" s="4">
        <v>46076</v>
      </c>
      <c r="C1655" s="3" t="s">
        <v>336</v>
      </c>
      <c r="D1655" s="3" t="s">
        <v>822</v>
      </c>
      <c r="E1655" s="3" t="s">
        <v>1802</v>
      </c>
      <c r="F1655" s="3">
        <v>1082</v>
      </c>
      <c r="G1655" s="3" t="s">
        <v>756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5">
        <v>204400</v>
      </c>
      <c r="O1655" s="3">
        <v>0</v>
      </c>
      <c r="P1655" s="3">
        <v>0</v>
      </c>
      <c r="Q1655" s="3">
        <v>0</v>
      </c>
      <c r="R1655" s="5">
        <v>203400</v>
      </c>
      <c r="S1655" s="3">
        <v>0</v>
      </c>
      <c r="T1655" s="3">
        <v>100</v>
      </c>
      <c r="U1655" s="3">
        <v>0</v>
      </c>
      <c r="V1655" s="3">
        <v>0</v>
      </c>
      <c r="W1655" s="3">
        <v>0</v>
      </c>
      <c r="X1655" s="5">
        <v>20340</v>
      </c>
      <c r="Y1655" s="3">
        <v>0</v>
      </c>
      <c r="Z1655" s="5">
        <v>203300</v>
      </c>
      <c r="AA1655" s="3">
        <v>0</v>
      </c>
      <c r="AB1655" s="6">
        <v>631540</v>
      </c>
      <c r="AC1655" s="2" t="str">
        <f>VLOOKUP(E1655,'[1]Detailed Transfer Report (12)'!$K:$Y,13,FALSE)</f>
        <v>Dilawar Khan</v>
      </c>
      <c r="AD1655" s="2" t="str">
        <f>VLOOKUP(E1655,'[1]Detailed Transfer Report (12)'!$K:$Y,14,FALSE)</f>
        <v>Sardar Group of Companies Pvt Ltd</v>
      </c>
      <c r="AE1655" s="16">
        <f>VLOOKUP(E1655,'[1]Detailed Transfer Report (12)'!$K:$Y,15,FALSE)</f>
        <v>46130</v>
      </c>
    </row>
    <row r="1656" spans="1:31" x14ac:dyDescent="0.25">
      <c r="A1656" s="10">
        <v>819</v>
      </c>
      <c r="B1656" s="4">
        <v>46157</v>
      </c>
      <c r="C1656" s="3" t="s">
        <v>44</v>
      </c>
      <c r="D1656" s="3" t="s">
        <v>822</v>
      </c>
      <c r="E1656" s="3"/>
      <c r="F1656" s="3">
        <v>3397</v>
      </c>
      <c r="G1656" s="3" t="s">
        <v>756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6">
        <v>631540</v>
      </c>
      <c r="AC1656" s="2" t="str">
        <f>VLOOKUP(F1656,'[1]Detailed Transfer Report (12)'!$L:$Y,12,FALSE)</f>
        <v>Sajid Mehmood</v>
      </c>
      <c r="AD1656" s="2" t="str">
        <f>VLOOKUP(F1656,'[1]Detailed Transfer Report (12)'!$L:$Y,13,FALSE)</f>
        <v>Sardar Group of Companies Pvt Ltd</v>
      </c>
      <c r="AE1656" s="16">
        <f>VLOOKUP(F1656,'[1]Detailed Transfer Report (12)'!$L:$Y,14,FALSE)</f>
        <v>46130</v>
      </c>
    </row>
    <row r="1657" spans="1:31" ht="23.25" x14ac:dyDescent="0.25">
      <c r="A1657" s="7">
        <v>820</v>
      </c>
      <c r="B1657" s="4">
        <v>46092</v>
      </c>
      <c r="C1657" s="3" t="s">
        <v>377</v>
      </c>
      <c r="D1657" s="3" t="s">
        <v>822</v>
      </c>
      <c r="E1657" s="3" t="s">
        <v>1854</v>
      </c>
      <c r="F1657" s="3"/>
      <c r="G1657" s="3" t="s">
        <v>756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8">
        <v>0</v>
      </c>
      <c r="AE1657" s="16"/>
    </row>
    <row r="1658" spans="1:31" x14ac:dyDescent="0.25">
      <c r="A1658" s="9">
        <v>820</v>
      </c>
      <c r="B1658" s="4">
        <v>46097</v>
      </c>
      <c r="C1658" s="3" t="s">
        <v>377</v>
      </c>
      <c r="D1658" s="3" t="s">
        <v>822</v>
      </c>
      <c r="E1658" s="3"/>
      <c r="F1658" s="3">
        <v>4494</v>
      </c>
      <c r="G1658" s="3" t="s">
        <v>756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8">
        <v>0</v>
      </c>
      <c r="AC1658" s="2" t="str">
        <f>VLOOKUP(F1658,'[1]Detailed Transfer Report (12)'!$L:$Y,12,FALSE)</f>
        <v>Zafar Khan</v>
      </c>
      <c r="AD1658" s="2" t="str">
        <f>VLOOKUP(F1658,'[1]Detailed Transfer Report (12)'!$L:$Y,13,FALSE)</f>
        <v>Sardar Group of Companies Pvt Ltd</v>
      </c>
      <c r="AE1658" s="16">
        <f>VLOOKUP(F1658,'[1]Detailed Transfer Report (12)'!$L:$Y,14,FALSE)</f>
        <v>46329</v>
      </c>
    </row>
    <row r="1659" spans="1:31" x14ac:dyDescent="0.25">
      <c r="A1659" s="9">
        <v>820</v>
      </c>
      <c r="B1659" s="4">
        <v>46092</v>
      </c>
      <c r="C1659" s="3" t="s">
        <v>44</v>
      </c>
      <c r="D1659" s="3" t="s">
        <v>822</v>
      </c>
      <c r="E1659" s="3"/>
      <c r="F1659" s="3">
        <v>4272</v>
      </c>
      <c r="G1659" s="3" t="s">
        <v>756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8">
        <v>0</v>
      </c>
      <c r="AC1659" s="2" t="str">
        <f>VLOOKUP(F1659,'[1]Detailed Transfer Report (12)'!$L:$Y,12,FALSE)</f>
        <v>Yasmeen</v>
      </c>
      <c r="AD1659" s="2" t="str">
        <f>VLOOKUP(F1659,'[1]Detailed Transfer Report (12)'!$L:$Y,13,FALSE)</f>
        <v>Sardar Group of Companies Pvt Ltd</v>
      </c>
      <c r="AE1659" s="16">
        <f>VLOOKUP(F1659,'[1]Detailed Transfer Report (12)'!$L:$Y,14,FALSE)</f>
        <v>46234</v>
      </c>
    </row>
    <row r="1660" spans="1:31" ht="23.25" x14ac:dyDescent="0.25">
      <c r="A1660" s="9">
        <v>820</v>
      </c>
      <c r="B1660" s="4">
        <v>46097</v>
      </c>
      <c r="C1660" s="3" t="s">
        <v>44</v>
      </c>
      <c r="D1660" s="3" t="s">
        <v>822</v>
      </c>
      <c r="E1660" s="3" t="s">
        <v>1855</v>
      </c>
      <c r="F1660" s="3"/>
      <c r="G1660" s="3" t="s">
        <v>756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8">
        <v>0</v>
      </c>
      <c r="AC1660" s="2" t="str">
        <f>VLOOKUP(E1660,'[1]Detailed Transfer Report (12)'!$K:$Y,13,FALSE)</f>
        <v>Syed Aqib Shah</v>
      </c>
      <c r="AD1660" s="2" t="str">
        <f>VLOOKUP(E1660,'[1]Detailed Transfer Report (12)'!$K:$Y,14,FALSE)</f>
        <v>Sardar Group of Companies Pvt Ltd</v>
      </c>
      <c r="AE1660" s="16"/>
    </row>
    <row r="1661" spans="1:31" x14ac:dyDescent="0.25">
      <c r="A1661" s="9">
        <v>820</v>
      </c>
      <c r="B1661" s="4">
        <v>46128</v>
      </c>
      <c r="C1661" s="3" t="s">
        <v>68</v>
      </c>
      <c r="D1661" s="3" t="s">
        <v>822</v>
      </c>
      <c r="E1661" s="3" t="s">
        <v>1856</v>
      </c>
      <c r="F1661" s="3"/>
      <c r="G1661" s="3" t="s">
        <v>756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8">
        <v>0</v>
      </c>
      <c r="AC1661" s="2" t="str">
        <f>VLOOKUP(E1661,'[1]Detailed Transfer Report (12)'!$K:$Y,13,FALSE)</f>
        <v>Ubaid ur Rehman</v>
      </c>
      <c r="AD1661" s="2" t="str">
        <f>VLOOKUP(E1661,'[1]Detailed Transfer Report (12)'!$K:$Y,14,FALSE)</f>
        <v>Sardar Group of Companies Pvt Ltd</v>
      </c>
      <c r="AE1661" s="16"/>
    </row>
    <row r="1662" spans="1:31" ht="23.25" x14ac:dyDescent="0.25">
      <c r="A1662" s="9">
        <v>820</v>
      </c>
      <c r="B1662" s="4">
        <v>46178</v>
      </c>
      <c r="C1662" s="3" t="s">
        <v>44</v>
      </c>
      <c r="D1662" s="3" t="s">
        <v>822</v>
      </c>
      <c r="E1662" s="3" t="s">
        <v>1855</v>
      </c>
      <c r="F1662" s="3"/>
      <c r="G1662" s="3" t="s">
        <v>756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8">
        <v>0</v>
      </c>
      <c r="AC1662" s="2" t="str">
        <f>VLOOKUP(E1662,'[1]Detailed Transfer Report (12)'!$K:$Y,13,FALSE)</f>
        <v>Syed Aqib Shah</v>
      </c>
      <c r="AD1662" s="2" t="str">
        <f>VLOOKUP(E1662,'[1]Detailed Transfer Report (12)'!$K:$Y,14,FALSE)</f>
        <v>Sardar Group of Companies Pvt Ltd</v>
      </c>
      <c r="AE1662" s="16"/>
    </row>
    <row r="1663" spans="1:31" ht="23.25" x14ac:dyDescent="0.25">
      <c r="A1663" s="9">
        <v>820</v>
      </c>
      <c r="B1663" s="4">
        <v>46178</v>
      </c>
      <c r="C1663" s="3" t="s">
        <v>581</v>
      </c>
      <c r="D1663" s="3" t="s">
        <v>822</v>
      </c>
      <c r="E1663" s="3" t="s">
        <v>1855</v>
      </c>
      <c r="F1663" s="3"/>
      <c r="G1663" s="3" t="s">
        <v>756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8">
        <v>0</v>
      </c>
      <c r="AC1663" s="2" t="str">
        <f>VLOOKUP(E1663,'[1]Detailed Transfer Report (12)'!$K:$Y,13,FALSE)</f>
        <v>Syed Aqib Shah</v>
      </c>
      <c r="AD1663" s="2" t="str">
        <f>VLOOKUP(E1663,'[1]Detailed Transfer Report (12)'!$K:$Y,14,FALSE)</f>
        <v>Sardar Group of Companies Pvt Ltd</v>
      </c>
      <c r="AE1663" s="16"/>
    </row>
    <row r="1664" spans="1:31" x14ac:dyDescent="0.25">
      <c r="A1664" s="10">
        <v>820</v>
      </c>
      <c r="B1664" s="4">
        <v>46203</v>
      </c>
      <c r="C1664" s="3" t="s">
        <v>313</v>
      </c>
      <c r="D1664" s="3" t="s">
        <v>822</v>
      </c>
      <c r="E1664" s="3" t="s">
        <v>1856</v>
      </c>
      <c r="F1664" s="3"/>
      <c r="G1664" s="3" t="s">
        <v>756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8">
        <v>0</v>
      </c>
      <c r="AC1664" s="2" t="str">
        <f>VLOOKUP(E1664,'[1]Detailed Transfer Report (12)'!$K:$Y,13,FALSE)</f>
        <v>Ubaid ur Rehman</v>
      </c>
      <c r="AD1664" s="2" t="str">
        <f>VLOOKUP(E1664,'[1]Detailed Transfer Report (12)'!$K:$Y,14,FALSE)</f>
        <v>Sardar Group of Companies Pvt Ltd</v>
      </c>
      <c r="AE1664" s="16"/>
    </row>
    <row r="1665" spans="1:31" x14ac:dyDescent="0.25">
      <c r="A1665" s="7">
        <v>821</v>
      </c>
      <c r="B1665" s="4">
        <v>46092</v>
      </c>
      <c r="C1665" s="3" t="s">
        <v>1857</v>
      </c>
      <c r="D1665" s="3" t="s">
        <v>822</v>
      </c>
      <c r="E1665" s="3">
        <v>833</v>
      </c>
      <c r="F1665" s="3">
        <v>4249</v>
      </c>
      <c r="G1665" s="3" t="s">
        <v>41</v>
      </c>
      <c r="H1665" s="3">
        <v>0</v>
      </c>
      <c r="I1665" s="3">
        <v>0</v>
      </c>
      <c r="J1665" s="5">
        <v>255743</v>
      </c>
      <c r="K1665" s="3">
        <v>0</v>
      </c>
      <c r="L1665" s="3">
        <v>0</v>
      </c>
      <c r="M1665" s="3">
        <v>0</v>
      </c>
      <c r="N1665" s="5">
        <v>170495</v>
      </c>
      <c r="O1665" s="3">
        <v>0</v>
      </c>
      <c r="P1665" s="5">
        <v>171495</v>
      </c>
      <c r="Q1665" s="3">
        <v>0</v>
      </c>
      <c r="R1665" s="5">
        <v>767278</v>
      </c>
      <c r="S1665" s="5">
        <v>75150</v>
      </c>
      <c r="T1665" s="5">
        <v>20000</v>
      </c>
      <c r="U1665" s="3">
        <v>0</v>
      </c>
      <c r="V1665" s="3">
        <v>0</v>
      </c>
      <c r="W1665" s="3">
        <v>0</v>
      </c>
      <c r="X1665" s="5">
        <v>17050</v>
      </c>
      <c r="Y1665" s="3">
        <v>0</v>
      </c>
      <c r="Z1665" s="5">
        <v>5000</v>
      </c>
      <c r="AA1665" s="5">
        <v>134000</v>
      </c>
      <c r="AB1665" s="6">
        <v>1616211</v>
      </c>
      <c r="AC1665" s="2" t="str">
        <f>VLOOKUP(E1665,'[1]Detailed Transfer Report (12)'!$K:$Y,13,FALSE)</f>
        <v>M saeed</v>
      </c>
      <c r="AD1665" s="2" t="str">
        <f>VLOOKUP(E1665,'[1]Detailed Transfer Report (12)'!$K:$Y,14,FALSE)</f>
        <v>Sardar Group of Companies Pvt Ltd</v>
      </c>
      <c r="AE1665" s="16">
        <f>VLOOKUP(E1665,'[1]Detailed Transfer Report (12)'!$K:$Y,15,FALSE)</f>
        <v>38747</v>
      </c>
    </row>
    <row r="1666" spans="1:31" x14ac:dyDescent="0.25">
      <c r="A1666" s="10">
        <v>821</v>
      </c>
      <c r="B1666" s="4">
        <v>46092</v>
      </c>
      <c r="C1666" s="3" t="s">
        <v>1858</v>
      </c>
      <c r="D1666" s="3" t="s">
        <v>822</v>
      </c>
      <c r="E1666" s="3">
        <v>832</v>
      </c>
      <c r="F1666" s="3">
        <v>2989</v>
      </c>
      <c r="G1666" s="3" t="s">
        <v>41</v>
      </c>
      <c r="H1666" s="3">
        <v>0</v>
      </c>
      <c r="I1666" s="3">
        <v>0</v>
      </c>
      <c r="J1666" s="5">
        <v>734760</v>
      </c>
      <c r="K1666" s="3">
        <v>0</v>
      </c>
      <c r="L1666" s="3">
        <v>0</v>
      </c>
      <c r="M1666" s="3">
        <v>0</v>
      </c>
      <c r="N1666" s="5">
        <v>490840</v>
      </c>
      <c r="O1666" s="3">
        <v>0</v>
      </c>
      <c r="P1666" s="5">
        <v>489470</v>
      </c>
      <c r="Q1666" s="3">
        <v>0</v>
      </c>
      <c r="R1666" s="5">
        <v>2204280</v>
      </c>
      <c r="S1666" s="5">
        <v>215000</v>
      </c>
      <c r="T1666" s="5">
        <v>20000</v>
      </c>
      <c r="U1666" s="3">
        <v>0</v>
      </c>
      <c r="V1666" s="3">
        <v>0</v>
      </c>
      <c r="W1666" s="3">
        <v>0</v>
      </c>
      <c r="X1666" s="5">
        <v>48984</v>
      </c>
      <c r="Y1666" s="3">
        <v>0</v>
      </c>
      <c r="Z1666" s="5">
        <v>5000</v>
      </c>
      <c r="AA1666" s="5">
        <v>384000</v>
      </c>
      <c r="AB1666" s="6">
        <v>6208545</v>
      </c>
      <c r="AC1666" s="2" t="str">
        <f>VLOOKUP(E1666,'[1]Detailed Transfer Report (12)'!$K:$Y,13,FALSE)</f>
        <v>Muhammad Hafeez</v>
      </c>
      <c r="AD1666" s="2" t="str">
        <f>VLOOKUP(E1666,'[1]Detailed Transfer Report (12)'!$K:$Y,14,FALSE)</f>
        <v>Sardar Group of Companies Pvt Ltd</v>
      </c>
      <c r="AE1666" s="16">
        <f>VLOOKUP(E1666,'[1]Detailed Transfer Report (12)'!$K:$Y,15,FALSE)</f>
        <v>46074</v>
      </c>
    </row>
    <row r="1667" spans="1:31" x14ac:dyDescent="0.25">
      <c r="A1667" s="7">
        <v>822</v>
      </c>
      <c r="B1667" s="4">
        <v>46156</v>
      </c>
      <c r="C1667" s="3" t="s">
        <v>44</v>
      </c>
      <c r="D1667" s="3" t="s">
        <v>822</v>
      </c>
      <c r="E1667" s="3"/>
      <c r="F1667" s="3">
        <v>2189</v>
      </c>
      <c r="G1667" s="3" t="s">
        <v>30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8">
        <v>0</v>
      </c>
      <c r="AC1667" s="2" t="str">
        <f>VLOOKUP(F1667,'[1]Detailed Transfer Report (12)'!$L:$Y,12,FALSE)</f>
        <v>Aftab Ahmed Malik</v>
      </c>
      <c r="AD1667" s="2" t="str">
        <f>VLOOKUP(F1667,'[1]Detailed Transfer Report (12)'!$L:$Y,13,FALSE)</f>
        <v>Sardar Group of Companies Pvt Ltd</v>
      </c>
      <c r="AE1667" s="16">
        <f>VLOOKUP(F1667,'[1]Detailed Transfer Report (12)'!$L:$Y,14,FALSE)</f>
        <v>46064</v>
      </c>
    </row>
    <row r="1668" spans="1:31" x14ac:dyDescent="0.25">
      <c r="A1668" s="10">
        <v>822</v>
      </c>
      <c r="B1668" s="4">
        <v>46156</v>
      </c>
      <c r="C1668" s="3" t="s">
        <v>759</v>
      </c>
      <c r="D1668" s="3" t="s">
        <v>822</v>
      </c>
      <c r="E1668" s="3"/>
      <c r="F1668" s="3">
        <v>2492</v>
      </c>
      <c r="G1668" s="3" t="s">
        <v>30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8">
        <v>0</v>
      </c>
      <c r="AC1668" s="2" t="str">
        <f>VLOOKUP(F1668,'[1]Detailed Transfer Report (12)'!$L:$Y,12,FALSE)</f>
        <v>Azra Perveen</v>
      </c>
      <c r="AD1668" s="2" t="str">
        <f>VLOOKUP(F1668,'[1]Detailed Transfer Report (12)'!$L:$Y,13,FALSE)</f>
        <v>Sardar Group of Companies Pvt Ltd</v>
      </c>
      <c r="AE1668" s="16">
        <f>VLOOKUP(F1668,'[1]Detailed Transfer Report (12)'!$L:$Y,14,FALSE)</f>
        <v>46067</v>
      </c>
    </row>
    <row r="1669" spans="1:31" x14ac:dyDescent="0.25">
      <c r="A1669" s="7">
        <v>823</v>
      </c>
      <c r="B1669" s="4">
        <v>46197</v>
      </c>
      <c r="C1669" s="3" t="s">
        <v>521</v>
      </c>
      <c r="D1669" s="3" t="s">
        <v>822</v>
      </c>
      <c r="E1669" s="3">
        <v>4236</v>
      </c>
      <c r="F1669" s="3">
        <v>12687</v>
      </c>
      <c r="G1669" s="3" t="s">
        <v>1179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8">
        <v>0</v>
      </c>
      <c r="AC1669" s="2" t="str">
        <f>VLOOKUP(E1669,'[1]Detailed Transfer Report (12)'!$K:$Y,13,FALSE)</f>
        <v>Zafran Kiyani</v>
      </c>
      <c r="AD1669" s="2" t="str">
        <f>VLOOKUP(E1669,'[1]Detailed Transfer Report (12)'!$K:$Y,14,FALSE)</f>
        <v>Sardar Tanveer Ilyas</v>
      </c>
      <c r="AE1669" s="16">
        <f>VLOOKUP(E1669,'[1]Detailed Transfer Report (12)'!$K:$Y,15,FALSE)</f>
        <v>45912</v>
      </c>
    </row>
    <row r="1670" spans="1:31" x14ac:dyDescent="0.25">
      <c r="A1670" s="9">
        <v>823</v>
      </c>
      <c r="B1670" s="4">
        <v>46197</v>
      </c>
      <c r="C1670" s="3" t="s">
        <v>153</v>
      </c>
      <c r="D1670" s="3" t="s">
        <v>822</v>
      </c>
      <c r="E1670" s="3">
        <v>4154</v>
      </c>
      <c r="F1670" s="3">
        <v>3396</v>
      </c>
      <c r="G1670" s="3" t="s">
        <v>1179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8">
        <v>0</v>
      </c>
      <c r="AC1670" s="2" t="str">
        <f>VLOOKUP(E1670,'[1]Detailed Transfer Report (12)'!$K:$Y,13,FALSE)</f>
        <v>Ejaz Ahmed</v>
      </c>
      <c r="AD1670" s="2" t="str">
        <f>VLOOKUP(E1670,'[1]Detailed Transfer Report (12)'!$K:$Y,14,FALSE)</f>
        <v>Sardar Tanveer Ilyas</v>
      </c>
      <c r="AE1670" s="16">
        <f>VLOOKUP(E1670,'[1]Detailed Transfer Report (12)'!$K:$Y,15,FALSE)</f>
        <v>45745</v>
      </c>
    </row>
    <row r="1671" spans="1:31" x14ac:dyDescent="0.25">
      <c r="A1671" s="9">
        <v>823</v>
      </c>
      <c r="B1671" s="4">
        <v>46197</v>
      </c>
      <c r="C1671" s="3" t="s">
        <v>1859</v>
      </c>
      <c r="D1671" s="3" t="s">
        <v>822</v>
      </c>
      <c r="E1671" s="3">
        <v>4237</v>
      </c>
      <c r="F1671" s="3">
        <v>12694</v>
      </c>
      <c r="G1671" s="3" t="s">
        <v>1179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8">
        <v>0</v>
      </c>
      <c r="AC1671" s="2" t="str">
        <f>VLOOKUP(E1671,'[1]Detailed Transfer Report (12)'!$K:$Y,13,FALSE)</f>
        <v>Raja Nasir Kiyani</v>
      </c>
      <c r="AD1671" s="2" t="str">
        <f>VLOOKUP(E1671,'[1]Detailed Transfer Report (12)'!$K:$Y,14,FALSE)</f>
        <v>Sardar Tanveer Ilyas</v>
      </c>
      <c r="AE1671" s="16">
        <f>VLOOKUP(E1671,'[1]Detailed Transfer Report (12)'!$K:$Y,15,FALSE)</f>
        <v>45912</v>
      </c>
    </row>
    <row r="1672" spans="1:31" x14ac:dyDescent="0.25">
      <c r="A1672" s="10">
        <v>823</v>
      </c>
      <c r="B1672" s="4">
        <v>46197</v>
      </c>
      <c r="C1672" s="3" t="s">
        <v>1860</v>
      </c>
      <c r="D1672" s="3" t="s">
        <v>822</v>
      </c>
      <c r="E1672" s="3"/>
      <c r="F1672" s="3">
        <v>2890</v>
      </c>
      <c r="G1672" s="3" t="s">
        <v>1179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8">
        <v>0</v>
      </c>
      <c r="AE1672" s="16"/>
    </row>
    <row r="1673" spans="1:31" x14ac:dyDescent="0.25">
      <c r="A1673" s="12"/>
      <c r="B1673" s="12"/>
      <c r="C1673" s="12"/>
      <c r="D1673" s="12"/>
      <c r="E1673" s="12"/>
      <c r="F1673" s="12"/>
      <c r="G1673" s="13"/>
      <c r="H1673" s="14">
        <v>2242880</v>
      </c>
      <c r="I1673" s="14">
        <v>2872988</v>
      </c>
      <c r="J1673" s="14">
        <v>102454870</v>
      </c>
      <c r="K1673" s="15">
        <v>0</v>
      </c>
      <c r="L1673" s="14">
        <v>143550394</v>
      </c>
      <c r="M1673" s="14">
        <v>29732850</v>
      </c>
      <c r="N1673" s="14">
        <v>113924391</v>
      </c>
      <c r="O1673" s="14">
        <v>540000</v>
      </c>
      <c r="P1673" s="14">
        <v>23410173</v>
      </c>
      <c r="Q1673" s="14">
        <v>29298075</v>
      </c>
      <c r="R1673" s="14">
        <v>104096565</v>
      </c>
      <c r="S1673" s="14">
        <v>3224765</v>
      </c>
      <c r="T1673" s="14">
        <v>6694160</v>
      </c>
      <c r="U1673" s="15">
        <v>0</v>
      </c>
      <c r="V1673" s="14">
        <v>22075126</v>
      </c>
      <c r="W1673" s="14">
        <v>22073198</v>
      </c>
      <c r="X1673" s="14">
        <v>1361672</v>
      </c>
      <c r="Y1673" s="14">
        <v>10746666</v>
      </c>
      <c r="Z1673" s="14">
        <v>4179575</v>
      </c>
      <c r="AA1673" s="14">
        <v>66639533</v>
      </c>
      <c r="AB1673" s="14">
        <v>689117881</v>
      </c>
    </row>
  </sheetData>
  <autoFilter ref="A1:AE1673" xr:uid="{00000000-0009-0000-0000-000000000000}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Hassan</dc:creator>
  <cp:lastModifiedBy>Malik Hassan</cp:lastModifiedBy>
  <dcterms:created xsi:type="dcterms:W3CDTF">2026-07-06T07:35:52Z</dcterms:created>
  <dcterms:modified xsi:type="dcterms:W3CDTF">2026-07-08T06:29:47Z</dcterms:modified>
</cp:coreProperties>
</file>