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Journal Transactions" sheetId="1" r:id="rId1"/>
  </sheets>
  <externalReferences>
    <externalReference r:id="rId2"/>
  </externalReferences>
  <definedNames>
    <definedName name="_xlnm._FilterDatabase" localSheetId="0" hidden="1">'Journal Transactions'!$A$4:$L$101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J59" i="1" l="1"/>
  <c r="G59" i="1"/>
  <c r="G58" i="1"/>
  <c r="G34" i="1"/>
  <c r="G33" i="1"/>
  <c r="G32" i="1"/>
  <c r="G31" i="1"/>
  <c r="G30" i="1"/>
  <c r="G27" i="1"/>
  <c r="G26" i="1"/>
  <c r="G25" i="1"/>
  <c r="G24" i="1"/>
  <c r="G23" i="1"/>
  <c r="G22" i="1"/>
  <c r="G18" i="1"/>
  <c r="G17" i="1"/>
  <c r="G14" i="1"/>
  <c r="G13" i="1"/>
  <c r="G12" i="1"/>
  <c r="G11" i="1"/>
  <c r="G7" i="1"/>
  <c r="G66" i="1"/>
  <c r="G65" i="1"/>
  <c r="G64" i="1"/>
  <c r="G63" i="1"/>
  <c r="G62" i="1"/>
  <c r="G85" i="1"/>
  <c r="G48" i="1"/>
  <c r="G92" i="1"/>
  <c r="G73" i="1"/>
  <c r="G5" i="1"/>
  <c r="G61" i="1"/>
  <c r="G72" i="1"/>
  <c r="G93" i="1"/>
  <c r="G74" i="1"/>
  <c r="G94" i="1"/>
  <c r="G60" i="1"/>
  <c r="G71" i="1"/>
  <c r="G87" i="1"/>
  <c r="G75" i="1"/>
  <c r="G83" i="1"/>
  <c r="G82" i="1"/>
  <c r="G81" i="1"/>
  <c r="G88" i="1"/>
  <c r="G90" i="1"/>
  <c r="G89" i="1"/>
  <c r="G78" i="1"/>
  <c r="G68" i="1"/>
  <c r="G84" i="1"/>
  <c r="G70" i="1"/>
  <c r="G97" i="1"/>
  <c r="G95" i="1"/>
  <c r="G76" i="1"/>
  <c r="G80" i="1"/>
  <c r="G79" i="1"/>
  <c r="G77" i="1"/>
  <c r="G6" i="1"/>
  <c r="G86" i="1"/>
  <c r="G69" i="1"/>
  <c r="G67" i="1"/>
  <c r="K59" i="1"/>
  <c r="K58" i="1"/>
  <c r="K34" i="1"/>
  <c r="K33" i="1"/>
  <c r="K32" i="1"/>
  <c r="K31" i="1"/>
  <c r="K30" i="1"/>
  <c r="K27" i="1"/>
  <c r="K26" i="1"/>
  <c r="K25" i="1"/>
  <c r="K24" i="1"/>
  <c r="K23" i="1"/>
  <c r="K22" i="1"/>
  <c r="K18" i="1"/>
  <c r="K17" i="1"/>
  <c r="K14" i="1"/>
  <c r="K13" i="1"/>
  <c r="K12" i="1"/>
  <c r="K11" i="1"/>
  <c r="K8" i="1"/>
  <c r="K7" i="1"/>
  <c r="K91" i="1"/>
  <c r="K99" i="1"/>
  <c r="K96" i="1"/>
  <c r="K98" i="1"/>
  <c r="K66" i="1"/>
  <c r="K65" i="1"/>
  <c r="K64" i="1"/>
  <c r="K63" i="1"/>
  <c r="K62" i="1"/>
  <c r="K85" i="1"/>
  <c r="K48" i="1"/>
  <c r="K92" i="1"/>
  <c r="K73" i="1"/>
  <c r="K5" i="1"/>
  <c r="K61" i="1"/>
  <c r="K72" i="1"/>
  <c r="K93" i="1"/>
  <c r="K74" i="1"/>
  <c r="K94" i="1"/>
  <c r="K60" i="1"/>
  <c r="K71" i="1"/>
  <c r="K87" i="1"/>
  <c r="K75" i="1"/>
  <c r="K83" i="1"/>
  <c r="K82" i="1"/>
  <c r="K81" i="1"/>
  <c r="K88" i="1"/>
  <c r="K90" i="1"/>
  <c r="K89" i="1"/>
  <c r="K78" i="1"/>
  <c r="K68" i="1"/>
  <c r="K84" i="1"/>
  <c r="K70" i="1"/>
  <c r="K97" i="1"/>
  <c r="K95" i="1"/>
  <c r="K76" i="1"/>
  <c r="K80" i="1"/>
  <c r="K79" i="1"/>
  <c r="K77" i="1"/>
  <c r="K6" i="1"/>
  <c r="K86" i="1"/>
  <c r="K69" i="1"/>
  <c r="K67" i="1"/>
  <c r="J58" i="1"/>
  <c r="J22" i="1"/>
  <c r="J8" i="1"/>
  <c r="J7" i="1"/>
  <c r="J91" i="1"/>
  <c r="J99" i="1"/>
  <c r="J96" i="1"/>
  <c r="J98" i="1"/>
  <c r="J66" i="1"/>
  <c r="J65" i="1"/>
  <c r="J64" i="1"/>
  <c r="J63" i="1"/>
  <c r="J62" i="1"/>
  <c r="J85" i="1"/>
  <c r="J48" i="1"/>
  <c r="J92" i="1"/>
  <c r="J73" i="1"/>
  <c r="J5" i="1"/>
  <c r="J61" i="1"/>
  <c r="J72" i="1"/>
  <c r="J93" i="1"/>
  <c r="J74" i="1"/>
  <c r="J94" i="1"/>
  <c r="J60" i="1"/>
  <c r="J71" i="1"/>
  <c r="J87" i="1"/>
  <c r="J75" i="1"/>
  <c r="J83" i="1"/>
  <c r="J82" i="1"/>
  <c r="J81" i="1"/>
  <c r="J88" i="1"/>
  <c r="J90" i="1"/>
  <c r="J89" i="1"/>
  <c r="J78" i="1"/>
  <c r="J68" i="1"/>
  <c r="J84" i="1"/>
  <c r="J70" i="1"/>
  <c r="J97" i="1"/>
  <c r="J95" i="1"/>
  <c r="J76" i="1"/>
  <c r="J80" i="1"/>
  <c r="J79" i="1"/>
  <c r="J77" i="1"/>
  <c r="J6" i="1"/>
  <c r="J86" i="1"/>
  <c r="J69" i="1"/>
  <c r="J67" i="1"/>
  <c r="I59" i="1"/>
  <c r="I58" i="1"/>
  <c r="I34" i="1"/>
  <c r="I33" i="1"/>
  <c r="I32" i="1"/>
  <c r="I31" i="1"/>
  <c r="I30" i="1"/>
  <c r="I27" i="1"/>
  <c r="I26" i="1"/>
  <c r="I25" i="1"/>
  <c r="I24" i="1"/>
  <c r="I23" i="1"/>
  <c r="I22" i="1"/>
  <c r="I18" i="1"/>
  <c r="I17" i="1"/>
  <c r="I14" i="1"/>
  <c r="I13" i="1"/>
  <c r="I12" i="1"/>
  <c r="I8" i="1"/>
  <c r="I7" i="1"/>
  <c r="I91" i="1"/>
  <c r="I99" i="1"/>
  <c r="I96" i="1"/>
  <c r="I98" i="1"/>
  <c r="I66" i="1"/>
  <c r="I65" i="1"/>
  <c r="I64" i="1"/>
  <c r="I63" i="1"/>
  <c r="I62" i="1"/>
  <c r="I85" i="1"/>
  <c r="I48" i="1"/>
  <c r="I92" i="1"/>
  <c r="I73" i="1"/>
  <c r="I5" i="1"/>
  <c r="I61" i="1"/>
  <c r="I72" i="1"/>
  <c r="I93" i="1"/>
  <c r="I74" i="1"/>
  <c r="I94" i="1"/>
  <c r="I60" i="1"/>
  <c r="I71" i="1"/>
  <c r="I87" i="1"/>
  <c r="I75" i="1"/>
  <c r="I83" i="1"/>
  <c r="I82" i="1"/>
  <c r="I81" i="1"/>
  <c r="I88" i="1"/>
  <c r="I90" i="1"/>
  <c r="I89" i="1"/>
  <c r="I78" i="1"/>
  <c r="I68" i="1"/>
  <c r="I84" i="1"/>
  <c r="I70" i="1"/>
  <c r="I97" i="1"/>
  <c r="I95" i="1"/>
  <c r="I76" i="1"/>
  <c r="I80" i="1"/>
  <c r="I79" i="1"/>
  <c r="I77" i="1"/>
  <c r="I6" i="1"/>
  <c r="I86" i="1"/>
  <c r="I69" i="1"/>
  <c r="I67" i="1"/>
  <c r="H59" i="1"/>
  <c r="H58" i="1"/>
  <c r="H34" i="1"/>
  <c r="H33" i="1"/>
  <c r="H32" i="1"/>
  <c r="H31" i="1"/>
  <c r="H30" i="1"/>
  <c r="H27" i="1"/>
  <c r="H26" i="1"/>
  <c r="H25" i="1"/>
  <c r="H24" i="1"/>
  <c r="H23" i="1"/>
  <c r="H22" i="1"/>
  <c r="H18" i="1"/>
  <c r="H17" i="1"/>
  <c r="H14" i="1"/>
  <c r="H13" i="1"/>
  <c r="H12" i="1"/>
  <c r="H8" i="1"/>
  <c r="H91" i="1"/>
  <c r="H99" i="1"/>
  <c r="H96" i="1"/>
  <c r="H98" i="1"/>
  <c r="H66" i="1"/>
  <c r="H65" i="1"/>
  <c r="H64" i="1"/>
  <c r="H63" i="1"/>
  <c r="H62" i="1"/>
  <c r="H85" i="1"/>
  <c r="H48" i="1"/>
  <c r="H92" i="1"/>
  <c r="H73" i="1"/>
  <c r="H5" i="1"/>
  <c r="H61" i="1"/>
  <c r="H72" i="1"/>
  <c r="H93" i="1"/>
  <c r="H74" i="1"/>
  <c r="H94" i="1"/>
  <c r="H60" i="1"/>
  <c r="H71" i="1"/>
  <c r="H87" i="1"/>
  <c r="H75" i="1"/>
  <c r="H83" i="1"/>
  <c r="H82" i="1"/>
  <c r="H81" i="1"/>
  <c r="H88" i="1"/>
  <c r="H90" i="1"/>
  <c r="H89" i="1"/>
  <c r="H78" i="1"/>
  <c r="H68" i="1"/>
  <c r="H84" i="1"/>
  <c r="H70" i="1"/>
  <c r="H97" i="1"/>
  <c r="H95" i="1"/>
  <c r="H76" i="1"/>
  <c r="H80" i="1"/>
  <c r="H79" i="1"/>
  <c r="H77" i="1"/>
  <c r="H86" i="1"/>
  <c r="H69" i="1"/>
  <c r="H67" i="1"/>
  <c r="E100" i="1" l="1"/>
  <c r="E101" i="1" l="1"/>
</calcChain>
</file>

<file path=xl/sharedStrings.xml><?xml version="1.0" encoding="utf-8"?>
<sst xmlns="http://schemas.openxmlformats.org/spreadsheetml/2006/main" count="537" uniqueCount="169">
  <si>
    <t>Journal Voucher Register</t>
  </si>
  <si>
    <t>Transaction Statement &amp; Summary</t>
  </si>
  <si>
    <t>Date</t>
  </si>
  <si>
    <t>VrNo</t>
  </si>
  <si>
    <t>Narration</t>
  </si>
  <si>
    <t>Reference</t>
  </si>
  <si>
    <t>Amount</t>
  </si>
  <si>
    <t>Status</t>
  </si>
  <si>
    <t>JV-001196</t>
  </si>
  <si>
    <t>Fund Received from SGC and Return back.</t>
  </si>
  <si>
    <t>CICON-JE-0006</t>
  </si>
  <si>
    <t>JV-001292</t>
  </si>
  <si>
    <t>Salary FMO April-2025</t>
  </si>
  <si>
    <t>CICON-JE-0102</t>
  </si>
  <si>
    <t>JV-001290</t>
  </si>
  <si>
    <t>Salary expense for the month of March-2025.</t>
  </si>
  <si>
    <t>CICON-JE-0100</t>
  </si>
  <si>
    <t>JV-001291</t>
  </si>
  <si>
    <t>CICON-JE-0101</t>
  </si>
  <si>
    <t>JV-001197</t>
  </si>
  <si>
    <t>Collection of Student fee in the month of March-2025.</t>
  </si>
  <si>
    <t>CICON-JE-0007</t>
  </si>
  <si>
    <t>JV-001198</t>
  </si>
  <si>
    <t>Fee collection for the month of April-2025.</t>
  </si>
  <si>
    <t>CICON-JE-0008</t>
  </si>
  <si>
    <t>JV-001213</t>
  </si>
  <si>
    <t>Interest Earned</t>
  </si>
  <si>
    <t>CICON-JE-0023</t>
  </si>
  <si>
    <t>JV-001282</t>
  </si>
  <si>
    <t>Service Charge</t>
  </si>
  <si>
    <t>CICON-JE-0092</t>
  </si>
  <si>
    <t>JV-001293</t>
  </si>
  <si>
    <t>Payment of withholding tax on salary FMO April-2025</t>
  </si>
  <si>
    <t>CICON-JE-0103</t>
  </si>
  <si>
    <t>JV-001294</t>
  </si>
  <si>
    <t>IESCO-Electricity Bill of SGC Health Office Building At Japan Road Isb For The Month of April 25.</t>
  </si>
  <si>
    <t>CICON-JE-0104</t>
  </si>
  <si>
    <t>JV-001296</t>
  </si>
  <si>
    <t>SNGPL- Sui Gas Bill of the SGC Health Project Nursing College Building F-854 S/Town Rawalpindi For the Month of April-2025. BPV-4</t>
  </si>
  <si>
    <t>CICON-JE-0106</t>
  </si>
  <si>
    <t>JV-001295</t>
  </si>
  <si>
    <t>Nayatel-NTN # 2161818-6 Payment for Internet Charges for CHCI Satellite Town Rwp for the month of May-2025.</t>
  </si>
  <si>
    <t>CICON-JE-0105</t>
  </si>
  <si>
    <t>JV-001297</t>
  </si>
  <si>
    <t>WASA (RDA)- Water Charges for the Month of April 2025 of Health Project Nursing College Building F-854 S/Town Rawalpindi. BPV-6</t>
  </si>
  <si>
    <t>CICON-JE-0107</t>
  </si>
  <si>
    <t>JV-001199</t>
  </si>
  <si>
    <t>Fee Collection FMO May-2025</t>
  </si>
  <si>
    <t>CICON-JE-0009</t>
  </si>
  <si>
    <t>JV-001200</t>
  </si>
  <si>
    <t>Fee Collecction for the month of 19-May-2025.</t>
  </si>
  <si>
    <t>CICON-JE-0010</t>
  </si>
  <si>
    <t>JV-001201</t>
  </si>
  <si>
    <t>Fee Collection for the month of 20-May-2025.</t>
  </si>
  <si>
    <t>CICON-JE-0011</t>
  </si>
  <si>
    <t>JV-001298</t>
  </si>
  <si>
    <t>Advance payment for Library Book Supporter for Nursing against Cash Approval : CA No-233, Indent no . 18595. Payee Name : Touqeer Zarif (37404-1014871-1)</t>
  </si>
  <si>
    <t>CICON-JE-0108</t>
  </si>
  <si>
    <t>JV-001202</t>
  </si>
  <si>
    <t>Fee Collection for the month of 21-May-2025.</t>
  </si>
  <si>
    <t>CICON-JE-0012</t>
  </si>
  <si>
    <t>JV-001299</t>
  </si>
  <si>
    <t>Payment of Library book for Nursing College against Cash Approval : CA205.</t>
  </si>
  <si>
    <t>CICON-JE-0109</t>
  </si>
  <si>
    <t>JV-001203</t>
  </si>
  <si>
    <t>Fee Collection Date 22-May-2025.</t>
  </si>
  <si>
    <t>CICON-JE-0013</t>
  </si>
  <si>
    <t>JV-001204</t>
  </si>
  <si>
    <t>Fee collection For the month of 23-May-2025</t>
  </si>
  <si>
    <t>CICON-JE-0014</t>
  </si>
  <si>
    <t>JV-001205</t>
  </si>
  <si>
    <t>Fee collection for the month of 24-May-2025.</t>
  </si>
  <si>
    <t>CICON-JE-0015</t>
  </si>
  <si>
    <t>JV-001300</t>
  </si>
  <si>
    <t>Rent Payment for Building country health international college of nursing at Dhoke Shian Dakhali Gagari, PP Sehala ISB FMO June-2025</t>
  </si>
  <si>
    <t>CICON-JE-0110</t>
  </si>
  <si>
    <t>JV-001301</t>
  </si>
  <si>
    <t>Electricity Charges of SGC Health Building located at F-854 Satelite Town, Rawalpindi FMO May-2025</t>
  </si>
  <si>
    <t>CICON-JE-0111</t>
  </si>
  <si>
    <t>JV-001302</t>
  </si>
  <si>
    <t>CICON Journal Entry</t>
  </si>
  <si>
    <t>CICON-JE-0112</t>
  </si>
  <si>
    <t>JV-001303</t>
  </si>
  <si>
    <t>CICON-JE-0113</t>
  </si>
  <si>
    <t>JV-001304</t>
  </si>
  <si>
    <t>CICON-JE-0114</t>
  </si>
  <si>
    <t>JV-001305</t>
  </si>
  <si>
    <t>CICON-JE-0115</t>
  </si>
  <si>
    <t>JV-001306</t>
  </si>
  <si>
    <t>CICON-JE-0116</t>
  </si>
  <si>
    <t>JV-001206</t>
  </si>
  <si>
    <t>Fee collection of 26-May-2025</t>
  </si>
  <si>
    <t>CICON-JE-0016</t>
  </si>
  <si>
    <t>JV-001308</t>
  </si>
  <si>
    <t>CICON-JE-0118</t>
  </si>
  <si>
    <t>JV-001207</t>
  </si>
  <si>
    <t>Fee Collection for 27-May-2025</t>
  </si>
  <si>
    <t>CICON-JE-0017</t>
  </si>
  <si>
    <t>JV-001208</t>
  </si>
  <si>
    <t>Fee collection for 29-May-2025</t>
  </si>
  <si>
    <t>CICON-JE-0018</t>
  </si>
  <si>
    <t>JV-001209</t>
  </si>
  <si>
    <t>Fee Collection for the month of May-2025.</t>
  </si>
  <si>
    <t>CICON-JE-0019</t>
  </si>
  <si>
    <t>JV-001307</t>
  </si>
  <si>
    <t>Salary witholding tax for the month of May-25 is being paid</t>
  </si>
  <si>
    <t>CICON-JE-0117</t>
  </si>
  <si>
    <t>JV-001309</t>
  </si>
  <si>
    <t>Salary Expense for the Month of May-2025</t>
  </si>
  <si>
    <t>CICON-JE-0119</t>
  </si>
  <si>
    <t>JV-001310</t>
  </si>
  <si>
    <t>CICON-JE-0120</t>
  </si>
  <si>
    <t>JV-001311</t>
  </si>
  <si>
    <t>CICON-JE-0121</t>
  </si>
  <si>
    <t>JV-001312</t>
  </si>
  <si>
    <t>CICON-JE-0122</t>
  </si>
  <si>
    <t>JV-001313</t>
  </si>
  <si>
    <t>CICON-JE-0123</t>
  </si>
  <si>
    <t>JV-001314</t>
  </si>
  <si>
    <t>CICON-JE-0124</t>
  </si>
  <si>
    <t>JV-001315</t>
  </si>
  <si>
    <t>CICON-JE-0125</t>
  </si>
  <si>
    <t>JV-001316</t>
  </si>
  <si>
    <t>WASA Bill for the month of May-2025 of SGC health Project</t>
  </si>
  <si>
    <t>CICON-JE-0126</t>
  </si>
  <si>
    <t>JV-001317</t>
  </si>
  <si>
    <t>CICON-JE-0127</t>
  </si>
  <si>
    <t>JV-001318</t>
  </si>
  <si>
    <t>Affiliation fee for IUB For BSN And Post-RN</t>
  </si>
  <si>
    <t>CICON-JE-0128</t>
  </si>
  <si>
    <t>JV-001211</t>
  </si>
  <si>
    <t>WHT on cash Withdrawal FMO June-2025.</t>
  </si>
  <si>
    <t>CICON-JE-0021</t>
  </si>
  <si>
    <t>JV-001210</t>
  </si>
  <si>
    <t>Fee Collection FMO June-2025</t>
  </si>
  <si>
    <t>CICON-JE-0020</t>
  </si>
  <si>
    <t>JV-001212</t>
  </si>
  <si>
    <t>Fee collection FMO June-2025.</t>
  </si>
  <si>
    <t>CICON-JE-0022</t>
  </si>
  <si>
    <t>JV-001319</t>
  </si>
  <si>
    <t>Muhammad Asfand Yar Khan (36103-1767868-9) - Re-imbursement for advertisement expenses for Social Media Campaign Required for CICON.</t>
  </si>
  <si>
    <t>CICON-JE-0129</t>
  </si>
  <si>
    <t>JV-001320</t>
  </si>
  <si>
    <t>CICON-JE-0130</t>
  </si>
  <si>
    <t>JV-001321</t>
  </si>
  <si>
    <t>Salaries Expense for the month of June-2025</t>
  </si>
  <si>
    <t>CICON-JE-0131</t>
  </si>
  <si>
    <t>JV-001322</t>
  </si>
  <si>
    <t>Salary withholding tax for the month of June-25 is being paid</t>
  </si>
  <si>
    <t>CICON-JE-0132</t>
  </si>
  <si>
    <t>JV-001280</t>
  </si>
  <si>
    <t>WHT Deduction for the month of June-2025.</t>
  </si>
  <si>
    <t>CICON-JE-0090</t>
  </si>
  <si>
    <t>Total</t>
  </si>
  <si>
    <t>JV-001195</t>
  </si>
  <si>
    <t>Initial Deposit in Bank Account through SGC, other bank Chages and bank profit from 01-Sep-2024 to 26-Jan-25.</t>
  </si>
  <si>
    <t>CICON-JE-0005</t>
  </si>
  <si>
    <t>PAYMENT TYPE</t>
  </si>
  <si>
    <t>MAIN ACCOUNT HEADS</t>
  </si>
  <si>
    <t>SUB ACCOUNT HEAD</t>
  </si>
  <si>
    <t>COMPANIES</t>
  </si>
  <si>
    <t>Project</t>
  </si>
  <si>
    <t>Fee collection</t>
  </si>
  <si>
    <t>RECEIPTS</t>
  </si>
  <si>
    <t>Income</t>
  </si>
  <si>
    <t>CHC</t>
  </si>
  <si>
    <t>INCOME</t>
  </si>
  <si>
    <t>Clearing Date</t>
  </si>
  <si>
    <t>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</si>
</sst>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"/>
    <numFmt numFmtId="165" formatCode="#,##0.00;\(#,##0.00\);&quot;-&quot;"/>
    <numFmt numFmtId="166" formatCode="[$-409]d\-mmm\-yy;@"/>
  </numFmts>
  <fonts count="6" x14ac:knownFonts="1">
    <font>
      <sz val="11"/>
      <color theme="1"/>
      <name val="Calibri"/>
      <family val="2"/>
      <scheme val="minor"/>
    </font>
    <font>
      <b/>
      <sz val="16"/>
      <color rgb="FF1B365D"/>
      <name val="Calibri"/>
      <family val="2"/>
    </font>
    <font>
      <i/>
      <sz val="11"/>
      <color rgb="FF555555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E6EDF5"/>
        <bgColor rgb="FFE6EDF5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5" fontId="4" fillId="0" borderId="1" xfId="0" applyNumberFormat="1" applyFont="1" applyBorder="1" applyAlignment="1">
      <alignment horizontal="right"/>
    </xf>
    <xf numFmtId="16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right"/>
    </xf>
    <xf numFmtId="0" fontId="5" fillId="4" borderId="2" xfId="0" applyFont="1" applyFill="1" applyBorder="1" applyAlignment="1">
      <alignment horizontal="left"/>
    </xf>
    <xf numFmtId="0" fontId="5" fillId="4" borderId="2" xfId="0" applyFont="1" applyFill="1" applyBorder="1"/>
    <xf numFmtId="165" fontId="5" fillId="4" borderId="2" xfId="0" applyNumberFormat="1" applyFont="1" applyFill="1" applyBorder="1" applyAlignment="1">
      <alignment horizontal="right"/>
    </xf>
    <xf numFmtId="164" fontId="4" fillId="3" borderId="0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left"/>
    </xf>
    <xf numFmtId="165" fontId="5" fillId="3" borderId="0" xfId="0" applyNumberFormat="1" applyFont="1" applyFill="1" applyBorder="1" applyAlignment="1">
      <alignment horizontal="right"/>
    </xf>
    <xf numFmtId="1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New%20Microsoft%20Excel%20Worksheet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E1" t="str">
            <v>AMOUNT</v>
          </cell>
          <cell r="F1" t="str">
            <v>DR/CR</v>
          </cell>
          <cell r="G1" t="str">
            <v>Clearing Date</v>
          </cell>
          <cell r="H1" t="str">
            <v>BANK</v>
          </cell>
          <cell r="I1" t="str">
            <v>Company Bank</v>
          </cell>
          <cell r="J1" t="str">
            <v>PAYMENT TYPE</v>
          </cell>
          <cell r="K1" t="str">
            <v>DF-EXPENSES</v>
          </cell>
          <cell r="L1" t="str">
            <v>MAIN ACCOUNT HEADS</v>
          </cell>
          <cell r="M1" t="str">
            <v>SUB ACCOUNT HEAD</v>
          </cell>
          <cell r="N1" t="str">
            <v>COMPANIES</v>
          </cell>
        </row>
        <row r="2">
          <cell r="E2">
            <v>0</v>
          </cell>
          <cell r="F2"/>
          <cell r="G2">
            <v>45291</v>
          </cell>
          <cell r="H2" t="str">
            <v>ABL-CHC-19</v>
          </cell>
          <cell r="I2" t="str">
            <v>OTHER BUSINESS</v>
          </cell>
          <cell r="J2" t="str">
            <v xml:space="preserve">Opening </v>
          </cell>
        </row>
        <row r="3">
          <cell r="E3">
            <v>0</v>
          </cell>
          <cell r="F3"/>
          <cell r="G3">
            <v>45322</v>
          </cell>
          <cell r="H3" t="str">
            <v>ABL-CHC-19</v>
          </cell>
          <cell r="I3" t="str">
            <v>OTHER BUSINESS</v>
          </cell>
          <cell r="J3" t="str">
            <v xml:space="preserve">Payment </v>
          </cell>
          <cell r="K3" t="str">
            <v>General Expenses</v>
          </cell>
          <cell r="L3" t="str">
            <v>Salaries &amp; Wages</v>
          </cell>
          <cell r="M3" t="str">
            <v>Salaries &amp; Wages</v>
          </cell>
          <cell r="N3" t="str">
            <v>CHC</v>
          </cell>
        </row>
        <row r="4">
          <cell r="E4">
            <v>0</v>
          </cell>
          <cell r="F4"/>
          <cell r="G4">
            <v>45350</v>
          </cell>
          <cell r="H4" t="str">
            <v>ABL-CHC-19</v>
          </cell>
          <cell r="I4" t="str">
            <v>OTHER BUSINESS</v>
          </cell>
          <cell r="J4" t="str">
            <v xml:space="preserve">Payment </v>
          </cell>
          <cell r="K4" t="str">
            <v>General Expenses</v>
          </cell>
          <cell r="L4" t="str">
            <v>Salaries &amp; Wages</v>
          </cell>
          <cell r="M4" t="str">
            <v>Salaries &amp; Wages</v>
          </cell>
          <cell r="N4" t="str">
            <v>CHC</v>
          </cell>
        </row>
        <row r="5">
          <cell r="E5">
            <v>0</v>
          </cell>
          <cell r="F5"/>
          <cell r="G5">
            <v>45382</v>
          </cell>
          <cell r="H5" t="str">
            <v>ABL-CHC-19</v>
          </cell>
          <cell r="I5" t="str">
            <v>OTHER BUSINESS</v>
          </cell>
          <cell r="J5" t="str">
            <v xml:space="preserve">Payment </v>
          </cell>
          <cell r="K5" t="str">
            <v>General Expenses</v>
          </cell>
          <cell r="L5" t="str">
            <v>Salaries &amp; Wages</v>
          </cell>
          <cell r="M5" t="str">
            <v>Salaries &amp; Wages</v>
          </cell>
          <cell r="N5" t="str">
            <v>CHC</v>
          </cell>
        </row>
        <row r="6">
          <cell r="E6">
            <v>0</v>
          </cell>
          <cell r="F6"/>
          <cell r="G6">
            <v>45412</v>
          </cell>
          <cell r="H6" t="str">
            <v>ABL-CHC-19</v>
          </cell>
          <cell r="I6" t="str">
            <v>OTHER BUSINESS</v>
          </cell>
          <cell r="J6" t="str">
            <v xml:space="preserve">Payment </v>
          </cell>
          <cell r="K6" t="str">
            <v>General Expenses</v>
          </cell>
          <cell r="L6" t="str">
            <v>Salaries &amp; Wages</v>
          </cell>
          <cell r="M6" t="str">
            <v>Salaries &amp; Wages</v>
          </cell>
          <cell r="N6" t="str">
            <v>CHC</v>
          </cell>
        </row>
        <row r="7">
          <cell r="E7">
            <v>0</v>
          </cell>
          <cell r="F7"/>
          <cell r="G7">
            <v>45443</v>
          </cell>
          <cell r="H7" t="str">
            <v>ABL-CHC-19</v>
          </cell>
          <cell r="I7" t="str">
            <v>OTHER BUSINESS</v>
          </cell>
          <cell r="J7" t="str">
            <v xml:space="preserve">Payment </v>
          </cell>
          <cell r="K7" t="str">
            <v>General Expeses</v>
          </cell>
          <cell r="L7" t="str">
            <v>Salaries &amp; Wages</v>
          </cell>
          <cell r="M7" t="str">
            <v>Salaries &amp; Wages</v>
          </cell>
          <cell r="N7" t="str">
            <v>CHC</v>
          </cell>
        </row>
        <row r="8">
          <cell r="E8">
            <v>0</v>
          </cell>
          <cell r="F8"/>
          <cell r="G8">
            <v>45473</v>
          </cell>
          <cell r="H8" t="str">
            <v>ABL-CHC-19</v>
          </cell>
          <cell r="I8" t="str">
            <v>OTHER BUSINESS</v>
          </cell>
          <cell r="J8" t="str">
            <v xml:space="preserve">Payment </v>
          </cell>
          <cell r="K8" t="str">
            <v>General Expenses</v>
          </cell>
          <cell r="L8" t="str">
            <v>Salaries &amp; Wages</v>
          </cell>
          <cell r="M8" t="str">
            <v>Salaries &amp; Wages</v>
          </cell>
          <cell r="N8" t="str">
            <v>CHC</v>
          </cell>
        </row>
        <row r="9">
          <cell r="E9">
            <v>5000</v>
          </cell>
          <cell r="F9"/>
          <cell r="G9">
            <v>45566</v>
          </cell>
          <cell r="H9" t="str">
            <v>ABL-CHC-19</v>
          </cell>
          <cell r="I9" t="str">
            <v>OTHER BUSINESS</v>
          </cell>
          <cell r="J9" t="str">
            <v xml:space="preserve">Opening </v>
          </cell>
          <cell r="K9" t="str">
            <v>General Expeses</v>
          </cell>
          <cell r="L9" t="str">
            <v>General, Admin &amp; Marketing Expenses</v>
          </cell>
          <cell r="M9" t="str">
            <v>General Expenses</v>
          </cell>
          <cell r="N9" t="str">
            <v>CHC</v>
          </cell>
        </row>
        <row r="10">
          <cell r="E10">
            <v>-1550</v>
          </cell>
          <cell r="F10"/>
          <cell r="G10">
            <v>45596</v>
          </cell>
          <cell r="H10" t="str">
            <v>ABL-CHC-19</v>
          </cell>
          <cell r="I10" t="str">
            <v>OTHER BUSINESS</v>
          </cell>
          <cell r="J10" t="str">
            <v>PAYMENT</v>
          </cell>
          <cell r="K10" t="str">
            <v>General Expeses</v>
          </cell>
          <cell r="L10" t="str">
            <v>Salaries &amp; Wages</v>
          </cell>
          <cell r="M10" t="str">
            <v>Salaries &amp; Wages</v>
          </cell>
          <cell r="N10" t="str">
            <v>CHC</v>
          </cell>
        </row>
        <row r="11">
          <cell r="E11">
            <v>1500000</v>
          </cell>
          <cell r="F11"/>
          <cell r="G11">
            <v>45607</v>
          </cell>
          <cell r="H11" t="str">
            <v>ABL-CHC-19</v>
          </cell>
          <cell r="I11" t="str">
            <v>OTHER BUSINESS</v>
          </cell>
          <cell r="J11" t="str">
            <v>INTERBANK</v>
          </cell>
          <cell r="K11" t="str">
            <v>General Expenses</v>
          </cell>
          <cell r="L11" t="str">
            <v>Income</v>
          </cell>
          <cell r="M11" t="str">
            <v>Income</v>
          </cell>
          <cell r="N11" t="str">
            <v>CHC</v>
          </cell>
        </row>
        <row r="12">
          <cell r="E12">
            <v>-4581</v>
          </cell>
          <cell r="F12"/>
          <cell r="G12">
            <v>45657</v>
          </cell>
          <cell r="H12" t="str">
            <v>ABL-CHC-19</v>
          </cell>
          <cell r="I12" t="str">
            <v>OTHER BUSINESS</v>
          </cell>
          <cell r="J12" t="str">
            <v>PAYMENT</v>
          </cell>
          <cell r="K12" t="str">
            <v>General Expeses</v>
          </cell>
          <cell r="L12" t="str">
            <v>Salaries &amp; Wages</v>
          </cell>
          <cell r="M12" t="str">
            <v>Salaries &amp; Wages</v>
          </cell>
          <cell r="N12" t="str">
            <v>CHC</v>
          </cell>
        </row>
        <row r="13">
          <cell r="E13">
            <v>30542</v>
          </cell>
          <cell r="F13"/>
          <cell r="G13">
            <v>45657</v>
          </cell>
          <cell r="H13" t="str">
            <v>ABL-CHC-19</v>
          </cell>
          <cell r="I13" t="str">
            <v>OTHER BUSINESS</v>
          </cell>
          <cell r="J13" t="str">
            <v>Misc.Receipts</v>
          </cell>
          <cell r="K13" t="str">
            <v>General Expeses</v>
          </cell>
          <cell r="L13" t="str">
            <v>INCOME</v>
          </cell>
          <cell r="M13" t="str">
            <v>INCOME</v>
          </cell>
          <cell r="N13" t="str">
            <v>CHC</v>
          </cell>
        </row>
        <row r="14">
          <cell r="E14">
            <v>-1500000</v>
          </cell>
          <cell r="F14"/>
          <cell r="G14">
            <v>45663</v>
          </cell>
          <cell r="H14" t="str">
            <v>ABL-CHC-19</v>
          </cell>
          <cell r="I14" t="str">
            <v>OTHER BUSINESS</v>
          </cell>
          <cell r="J14" t="str">
            <v>INTERBANK</v>
          </cell>
          <cell r="K14" t="str">
            <v>General Expeses</v>
          </cell>
          <cell r="L14" t="str">
            <v>Salaries &amp; Wages</v>
          </cell>
          <cell r="M14" t="str">
            <v>Salaries &amp; Wages</v>
          </cell>
          <cell r="N14" t="str">
            <v>CHC</v>
          </cell>
        </row>
        <row r="15">
          <cell r="E15">
            <v>0</v>
          </cell>
          <cell r="F15"/>
          <cell r="G15">
            <v>45717</v>
          </cell>
          <cell r="H15" t="str">
            <v>ABL-CHC-19</v>
          </cell>
          <cell r="I15" t="str">
            <v>OTHER BUSINESS</v>
          </cell>
          <cell r="J15" t="str">
            <v>Payment</v>
          </cell>
          <cell r="K15" t="str">
            <v>General Expeses</v>
          </cell>
          <cell r="L15" t="str">
            <v>Salaries &amp; Wages</v>
          </cell>
          <cell r="M15" t="str">
            <v>Salaries &amp; Wages</v>
          </cell>
          <cell r="N15" t="str">
            <v>CHC</v>
          </cell>
        </row>
        <row r="16">
          <cell r="E16">
            <v>540000</v>
          </cell>
          <cell r="F16"/>
          <cell r="G16">
            <v>45733</v>
          </cell>
          <cell r="H16" t="str">
            <v>ABL-CHC-19</v>
          </cell>
          <cell r="I16" t="str">
            <v>OTHER BUSINESS</v>
          </cell>
          <cell r="J16" t="str">
            <v>RECEIPTS</v>
          </cell>
          <cell r="K16" t="str">
            <v>General Expenses</v>
          </cell>
          <cell r="L16" t="str">
            <v>INCOME</v>
          </cell>
          <cell r="M16" t="str">
            <v>INCOME</v>
          </cell>
          <cell r="N16" t="str">
            <v>CHC</v>
          </cell>
        </row>
        <row r="17">
          <cell r="E17">
            <v>1300000</v>
          </cell>
          <cell r="F17"/>
          <cell r="G17">
            <v>45734</v>
          </cell>
          <cell r="H17" t="str">
            <v>ABL-CHC-19</v>
          </cell>
          <cell r="I17" t="str">
            <v>OTHER BUSINESS</v>
          </cell>
          <cell r="J17" t="str">
            <v>RECEIPTS</v>
          </cell>
          <cell r="K17" t="str">
            <v>General Expeses</v>
          </cell>
          <cell r="L17" t="str">
            <v>INCOME</v>
          </cell>
          <cell r="M17" t="str">
            <v>INCOME</v>
          </cell>
          <cell r="N17" t="str">
            <v>CHC</v>
          </cell>
        </row>
        <row r="18">
          <cell r="E18">
            <v>100000</v>
          </cell>
          <cell r="F18"/>
          <cell r="G18">
            <v>45736</v>
          </cell>
          <cell r="H18" t="str">
            <v>ABL-CHC-19</v>
          </cell>
          <cell r="I18" t="str">
            <v>OTHER BUSINESS</v>
          </cell>
          <cell r="J18" t="str">
            <v>RECEIPTS</v>
          </cell>
          <cell r="K18" t="str">
            <v>General Expeses</v>
          </cell>
          <cell r="L18" t="str">
            <v>INCOME</v>
          </cell>
          <cell r="M18" t="str">
            <v>INCOME</v>
          </cell>
          <cell r="N18" t="str">
            <v>CHC</v>
          </cell>
        </row>
        <row r="19">
          <cell r="E19">
            <v>320000</v>
          </cell>
          <cell r="F19"/>
          <cell r="G19">
            <v>45737</v>
          </cell>
          <cell r="H19" t="str">
            <v>ABL-CHC-19</v>
          </cell>
          <cell r="I19" t="str">
            <v>OTHER BUSINESS</v>
          </cell>
          <cell r="J19" t="str">
            <v>RECEIPTS</v>
          </cell>
          <cell r="K19" t="str">
            <v>General Expeses</v>
          </cell>
          <cell r="L19" t="str">
            <v>Income</v>
          </cell>
          <cell r="M19" t="str">
            <v>Income</v>
          </cell>
          <cell r="N19" t="str">
            <v>CHC</v>
          </cell>
        </row>
        <row r="20">
          <cell r="E20">
            <v>440000</v>
          </cell>
          <cell r="F20"/>
          <cell r="G20">
            <v>45741</v>
          </cell>
          <cell r="H20" t="str">
            <v>ABL-CHC-19</v>
          </cell>
          <cell r="I20" t="str">
            <v>OTHER BUSINESS</v>
          </cell>
          <cell r="J20" t="str">
            <v>RECEIPTS</v>
          </cell>
          <cell r="K20" t="str">
            <v>General Expeses</v>
          </cell>
          <cell r="L20" t="str">
            <v>INCOME</v>
          </cell>
          <cell r="M20" t="str">
            <v>INCOME</v>
          </cell>
          <cell r="N20" t="str">
            <v>CHC</v>
          </cell>
        </row>
        <row r="21">
          <cell r="E21">
            <v>160000</v>
          </cell>
          <cell r="F21"/>
          <cell r="G21">
            <v>45742</v>
          </cell>
          <cell r="H21" t="str">
            <v>ABL-CHC-19</v>
          </cell>
          <cell r="I21" t="str">
            <v>OTHER BUSINESS</v>
          </cell>
          <cell r="J21" t="str">
            <v>RECEIPTS</v>
          </cell>
          <cell r="K21" t="str">
            <v>General Expenses</v>
          </cell>
          <cell r="L21" t="str">
            <v>INCOME</v>
          </cell>
          <cell r="M21" t="str">
            <v>INCOME</v>
          </cell>
          <cell r="N21" t="str">
            <v>CHC</v>
          </cell>
        </row>
        <row r="22">
          <cell r="E22">
            <v>-2692311</v>
          </cell>
          <cell r="F22" t="str">
            <v>Cr.</v>
          </cell>
          <cell r="G22">
            <v>45743</v>
          </cell>
          <cell r="H22" t="str">
            <v>ABL-CHC-19</v>
          </cell>
          <cell r="I22" t="str">
            <v>OTHER BUSINESS</v>
          </cell>
          <cell r="J22" t="str">
            <v>Payment</v>
          </cell>
          <cell r="K22" t="str">
            <v>General Expeses</v>
          </cell>
          <cell r="L22" t="str">
            <v>Salaries &amp; Wages</v>
          </cell>
          <cell r="M22" t="str">
            <v>Salaries &amp; Wages</v>
          </cell>
          <cell r="N22" t="str">
            <v>CHC</v>
          </cell>
        </row>
        <row r="23">
          <cell r="E23">
            <v>1000000</v>
          </cell>
          <cell r="F23"/>
          <cell r="G23">
            <v>45743</v>
          </cell>
          <cell r="H23" t="str">
            <v>ABL-CHC-19</v>
          </cell>
          <cell r="I23" t="str">
            <v>OTHER BUSINESS</v>
          </cell>
          <cell r="J23" t="str">
            <v xml:space="preserve">Interbank </v>
          </cell>
          <cell r="K23" t="str">
            <v>General Expeses</v>
          </cell>
          <cell r="L23" t="str">
            <v>Income</v>
          </cell>
          <cell r="M23" t="str">
            <v>Income</v>
          </cell>
          <cell r="N23" t="str">
            <v>CHC</v>
          </cell>
        </row>
        <row r="24">
          <cell r="E24">
            <v>120000</v>
          </cell>
          <cell r="F24"/>
          <cell r="G24">
            <v>45743</v>
          </cell>
          <cell r="H24" t="str">
            <v>ABL-CHC-19</v>
          </cell>
          <cell r="I24" t="str">
            <v>OTHER BUSINESS</v>
          </cell>
          <cell r="J24" t="str">
            <v>RECEIPTS</v>
          </cell>
          <cell r="K24" t="str">
            <v>General Expeses</v>
          </cell>
          <cell r="L24" t="str">
            <v>INCOME</v>
          </cell>
          <cell r="M24" t="str">
            <v>INCOME</v>
          </cell>
          <cell r="N24" t="str">
            <v>CHC</v>
          </cell>
        </row>
        <row r="25">
          <cell r="E25">
            <v>120000</v>
          </cell>
          <cell r="F25"/>
          <cell r="G25">
            <v>45744</v>
          </cell>
          <cell r="H25" t="str">
            <v>ABL-CHC-19</v>
          </cell>
          <cell r="I25" t="str">
            <v>OTHER BUSINESS</v>
          </cell>
          <cell r="J25" t="str">
            <v>RECEIPTS</v>
          </cell>
          <cell r="K25" t="str">
            <v>General Expeses</v>
          </cell>
          <cell r="L25" t="str">
            <v>INCOME</v>
          </cell>
          <cell r="M25" t="str">
            <v>INCOME</v>
          </cell>
          <cell r="N25" t="str">
            <v>CHC</v>
          </cell>
        </row>
        <row r="26">
          <cell r="E26">
            <v>0</v>
          </cell>
          <cell r="F26"/>
          <cell r="G26">
            <v>45748</v>
          </cell>
          <cell r="H26" t="str">
            <v>ABL-CHC-19</v>
          </cell>
          <cell r="I26" t="str">
            <v>OTHER BUSINESS</v>
          </cell>
          <cell r="J26" t="str">
            <v>Payment</v>
          </cell>
          <cell r="K26" t="str">
            <v>General Expeses</v>
          </cell>
          <cell r="L26" t="str">
            <v>Salaries &amp; Wages</v>
          </cell>
          <cell r="M26" t="str">
            <v>Salaries &amp; Wages</v>
          </cell>
          <cell r="N26" t="str">
            <v>CHC</v>
          </cell>
        </row>
        <row r="27">
          <cell r="E27">
            <v>90000</v>
          </cell>
          <cell r="F27"/>
          <cell r="G27">
            <v>45754</v>
          </cell>
          <cell r="H27" t="str">
            <v>ABL-CHC-19</v>
          </cell>
          <cell r="I27" t="str">
            <v>OTHER BUSINESS</v>
          </cell>
          <cell r="J27" t="str">
            <v>RECEIPTS</v>
          </cell>
          <cell r="K27" t="str">
            <v>General Expeses</v>
          </cell>
          <cell r="L27" t="str">
            <v>INCOME</v>
          </cell>
          <cell r="M27" t="str">
            <v>INCOME</v>
          </cell>
          <cell r="N27" t="str">
            <v>CHC</v>
          </cell>
        </row>
        <row r="28">
          <cell r="E28">
            <v>100000</v>
          </cell>
          <cell r="F28"/>
          <cell r="G28">
            <v>45755</v>
          </cell>
          <cell r="H28" t="str">
            <v>ABL-CHC-19</v>
          </cell>
          <cell r="I28" t="str">
            <v>OTHER BUSINESS</v>
          </cell>
          <cell r="J28" t="str">
            <v>RECEIPTS</v>
          </cell>
          <cell r="K28" t="str">
            <v>General Expenses</v>
          </cell>
          <cell r="L28" t="str">
            <v>Income</v>
          </cell>
          <cell r="M28" t="str">
            <v>Income</v>
          </cell>
          <cell r="N28" t="str">
            <v>CHC</v>
          </cell>
        </row>
        <row r="29">
          <cell r="E29">
            <v>150000</v>
          </cell>
          <cell r="F29"/>
          <cell r="G29">
            <v>45756</v>
          </cell>
          <cell r="H29" t="str">
            <v>ABL-CHC-19</v>
          </cell>
          <cell r="I29" t="str">
            <v>OTHER BUSINESS</v>
          </cell>
          <cell r="J29" t="str">
            <v>RECEIPTS</v>
          </cell>
          <cell r="K29" t="str">
            <v>General Expenses</v>
          </cell>
          <cell r="L29" t="str">
            <v>INCOME</v>
          </cell>
          <cell r="M29" t="str">
            <v>INCOME</v>
          </cell>
          <cell r="N29" t="str">
            <v>CHC</v>
          </cell>
        </row>
        <row r="30">
          <cell r="E30">
            <v>60000</v>
          </cell>
          <cell r="F30"/>
          <cell r="G30">
            <v>45757</v>
          </cell>
          <cell r="H30" t="str">
            <v>ABL-CHC-19</v>
          </cell>
          <cell r="I30" t="str">
            <v>OTHER BUSINESS</v>
          </cell>
          <cell r="J30" t="str">
            <v>RECEIPTS</v>
          </cell>
          <cell r="K30" t="str">
            <v>General Expenses</v>
          </cell>
          <cell r="L30" t="str">
            <v>INCOME</v>
          </cell>
          <cell r="M30" t="str">
            <v>INCOME</v>
          </cell>
          <cell r="N30" t="str">
            <v>CHC</v>
          </cell>
        </row>
        <row r="31">
          <cell r="E31">
            <v>570000</v>
          </cell>
          <cell r="F31"/>
          <cell r="G31">
            <v>45758</v>
          </cell>
          <cell r="H31" t="str">
            <v>ABL-CHC-19</v>
          </cell>
          <cell r="I31" t="str">
            <v>OTHER BUSINESS</v>
          </cell>
          <cell r="J31" t="str">
            <v>RECEIPTS</v>
          </cell>
          <cell r="K31" t="str">
            <v>General Expeses</v>
          </cell>
          <cell r="L31" t="str">
            <v>INCOME</v>
          </cell>
          <cell r="M31" t="str">
            <v>INCOME</v>
          </cell>
          <cell r="N31" t="str">
            <v>CHC</v>
          </cell>
        </row>
        <row r="32">
          <cell r="E32">
            <v>200000</v>
          </cell>
          <cell r="F32"/>
          <cell r="G32">
            <v>45761</v>
          </cell>
          <cell r="H32" t="str">
            <v>ABL-CHC-19</v>
          </cell>
          <cell r="I32" t="str">
            <v>OTHER BUSINESS</v>
          </cell>
          <cell r="J32" t="str">
            <v>RECEIPTS</v>
          </cell>
          <cell r="K32" t="str">
            <v>General Expeses</v>
          </cell>
          <cell r="L32" t="str">
            <v>INCOME</v>
          </cell>
          <cell r="M32" t="str">
            <v>INCOME</v>
          </cell>
          <cell r="N32" t="str">
            <v>CHC</v>
          </cell>
        </row>
        <row r="33">
          <cell r="E33">
            <v>320000</v>
          </cell>
          <cell r="F33"/>
          <cell r="G33">
            <v>45762</v>
          </cell>
          <cell r="H33" t="str">
            <v>ABL-CHC-19</v>
          </cell>
          <cell r="I33" t="str">
            <v>OTHER BUSINESS</v>
          </cell>
          <cell r="J33" t="str">
            <v>RECEIPTS</v>
          </cell>
          <cell r="K33" t="str">
            <v>General Expenses</v>
          </cell>
          <cell r="L33" t="str">
            <v>INCOME</v>
          </cell>
          <cell r="M33" t="str">
            <v>INCOME</v>
          </cell>
          <cell r="N33" t="str">
            <v>CHC</v>
          </cell>
        </row>
        <row r="34">
          <cell r="E34">
            <v>-151898</v>
          </cell>
          <cell r="F34" t="str">
            <v>Cr.</v>
          </cell>
          <cell r="G34">
            <v>45763</v>
          </cell>
          <cell r="H34" t="str">
            <v>ABL-CHC-19</v>
          </cell>
          <cell r="I34" t="str">
            <v>OTHER BUSINESS</v>
          </cell>
          <cell r="J34" t="str">
            <v>Payment</v>
          </cell>
          <cell r="K34" t="str">
            <v>General Expeses</v>
          </cell>
          <cell r="L34" t="str">
            <v>Salaries &amp; Wages</v>
          </cell>
          <cell r="M34" t="str">
            <v>Salaries &amp; Wages</v>
          </cell>
          <cell r="N34" t="str">
            <v>CHC</v>
          </cell>
        </row>
        <row r="35">
          <cell r="E35">
            <v>60000</v>
          </cell>
          <cell r="F35"/>
          <cell r="G35">
            <v>45763</v>
          </cell>
          <cell r="H35" t="str">
            <v>ABL-CHC-19</v>
          </cell>
          <cell r="I35" t="str">
            <v>OTHER BUSINESS</v>
          </cell>
          <cell r="J35" t="str">
            <v>RECEIPTS</v>
          </cell>
          <cell r="K35" t="str">
            <v>General Expenses</v>
          </cell>
          <cell r="L35" t="str">
            <v>INCOME</v>
          </cell>
          <cell r="M35" t="str">
            <v>INCOME</v>
          </cell>
          <cell r="N35" t="str">
            <v>CHC</v>
          </cell>
        </row>
        <row r="36">
          <cell r="E36">
            <v>220000</v>
          </cell>
          <cell r="F36"/>
          <cell r="G36">
            <v>45764</v>
          </cell>
          <cell r="H36" t="str">
            <v>ABL-CHC-19</v>
          </cell>
          <cell r="I36" t="str">
            <v>OTHER BUSINESS</v>
          </cell>
          <cell r="J36" t="str">
            <v>RECEIPTS</v>
          </cell>
          <cell r="K36" t="str">
            <v>General Expeses</v>
          </cell>
          <cell r="L36" t="str">
            <v>INCOME</v>
          </cell>
          <cell r="M36" t="str">
            <v>INCOME</v>
          </cell>
          <cell r="N36" t="str">
            <v>CHC</v>
          </cell>
        </row>
        <row r="37">
          <cell r="E37">
            <v>63000</v>
          </cell>
          <cell r="F37"/>
          <cell r="G37">
            <v>45769</v>
          </cell>
          <cell r="H37" t="str">
            <v>ABL-CHC-19</v>
          </cell>
          <cell r="I37" t="str">
            <v>OTHER BUSINESS</v>
          </cell>
          <cell r="J37" t="str">
            <v>RECEIPTS</v>
          </cell>
          <cell r="K37" t="str">
            <v>General Expeses</v>
          </cell>
          <cell r="L37" t="str">
            <v>INCOME</v>
          </cell>
          <cell r="M37" t="str">
            <v>INCOME</v>
          </cell>
          <cell r="N37" t="str">
            <v>CHC</v>
          </cell>
        </row>
        <row r="38">
          <cell r="E38">
            <v>220000</v>
          </cell>
          <cell r="F38"/>
          <cell r="G38">
            <v>45772</v>
          </cell>
          <cell r="H38" t="str">
            <v>ABL-CHC-19</v>
          </cell>
          <cell r="I38" t="str">
            <v>OTHER BUSINESS</v>
          </cell>
          <cell r="J38" t="str">
            <v>RECEIPTS</v>
          </cell>
          <cell r="K38" t="str">
            <v>General Expenses</v>
          </cell>
          <cell r="L38" t="str">
            <v>INCOME</v>
          </cell>
          <cell r="M38" t="str">
            <v>INCOME</v>
          </cell>
          <cell r="N38" t="str">
            <v>CHC</v>
          </cell>
        </row>
        <row r="39">
          <cell r="E39">
            <v>100000</v>
          </cell>
          <cell r="F39"/>
          <cell r="G39">
            <v>45775</v>
          </cell>
          <cell r="H39" t="str">
            <v>ABL-CHC-19</v>
          </cell>
          <cell r="I39" t="str">
            <v>OTHER BUSINESS</v>
          </cell>
          <cell r="J39" t="str">
            <v>RECEIPTS</v>
          </cell>
          <cell r="K39" t="str">
            <v>General Expenses</v>
          </cell>
          <cell r="L39" t="str">
            <v>INCOME</v>
          </cell>
          <cell r="M39" t="str">
            <v>INCOME</v>
          </cell>
          <cell r="N39" t="str">
            <v>CHC</v>
          </cell>
        </row>
        <row r="40">
          <cell r="E40">
            <v>100000</v>
          </cell>
          <cell r="F40"/>
          <cell r="G40">
            <v>45776</v>
          </cell>
          <cell r="H40" t="str">
            <v>ABL-CHC-19</v>
          </cell>
          <cell r="I40" t="str">
            <v>OTHER BUSINESS</v>
          </cell>
          <cell r="J40" t="str">
            <v>RECEIPTS</v>
          </cell>
          <cell r="K40" t="str">
            <v>General Expenses</v>
          </cell>
          <cell r="L40" t="str">
            <v>INCOME</v>
          </cell>
          <cell r="M40" t="str">
            <v>INCOME</v>
          </cell>
          <cell r="N40" t="str">
            <v>CHC</v>
          </cell>
        </row>
        <row r="41">
          <cell r="E41">
            <v>-2514894</v>
          </cell>
          <cell r="F41" t="str">
            <v>Cr.</v>
          </cell>
          <cell r="G41">
            <v>45779</v>
          </cell>
          <cell r="H41" t="str">
            <v>ABL-CHC-19</v>
          </cell>
          <cell r="I41" t="str">
            <v>OTHER BUSINESS</v>
          </cell>
          <cell r="J41" t="str">
            <v>Payment</v>
          </cell>
          <cell r="K41" t="str">
            <v>General Expeses</v>
          </cell>
          <cell r="L41" t="str">
            <v>Salaries &amp; Wages</v>
          </cell>
          <cell r="M41" t="str">
            <v>Salaries &amp; Wages</v>
          </cell>
          <cell r="N41" t="str">
            <v>CHC</v>
          </cell>
        </row>
        <row r="42">
          <cell r="E42">
            <v>-140</v>
          </cell>
          <cell r="F42"/>
          <cell r="G42">
            <v>45779</v>
          </cell>
          <cell r="H42" t="str">
            <v>ABL-CHC-19</v>
          </cell>
          <cell r="I42" t="str">
            <v>OTHER BUSINESS</v>
          </cell>
          <cell r="J42" t="str">
            <v>Payment</v>
          </cell>
          <cell r="K42" t="str">
            <v>General Expeses</v>
          </cell>
          <cell r="L42" t="str">
            <v>Salaries &amp; Wages</v>
          </cell>
          <cell r="M42" t="str">
            <v>Salaries &amp; Wages</v>
          </cell>
          <cell r="N42" t="str">
            <v>CHC</v>
          </cell>
        </row>
        <row r="43">
          <cell r="E43">
            <v>340000</v>
          </cell>
          <cell r="F43"/>
          <cell r="G43">
            <v>45779</v>
          </cell>
          <cell r="H43" t="str">
            <v>ABL-CHC-19</v>
          </cell>
          <cell r="I43" t="str">
            <v>OTHER BUSINESS</v>
          </cell>
          <cell r="J43" t="str">
            <v>RECEIPTS</v>
          </cell>
          <cell r="K43" t="str">
            <v>General Expenses</v>
          </cell>
          <cell r="L43" t="str">
            <v>INCOME</v>
          </cell>
          <cell r="M43" t="str">
            <v>INCOME</v>
          </cell>
          <cell r="N43" t="str">
            <v>CHC</v>
          </cell>
        </row>
        <row r="44">
          <cell r="E44">
            <v>220000</v>
          </cell>
          <cell r="F44"/>
          <cell r="G44">
            <v>45782</v>
          </cell>
          <cell r="H44" t="str">
            <v>ABL-CHC-19</v>
          </cell>
          <cell r="I44" t="str">
            <v>OTHER BUSINESS</v>
          </cell>
          <cell r="J44" t="str">
            <v>RECEIPTS</v>
          </cell>
          <cell r="K44" t="str">
            <v>General Expeses</v>
          </cell>
          <cell r="L44" t="str">
            <v>Bank Profit</v>
          </cell>
          <cell r="M44" t="str">
            <v>Bank Profit</v>
          </cell>
          <cell r="N44" t="str">
            <v>CHC</v>
          </cell>
        </row>
        <row r="45">
          <cell r="E45">
            <v>-25685</v>
          </cell>
          <cell r="F45" t="str">
            <v>Cr.</v>
          </cell>
          <cell r="G45">
            <v>45784</v>
          </cell>
          <cell r="H45" t="str">
            <v>ABL-CHC-19</v>
          </cell>
          <cell r="I45" t="str">
            <v>OTHER BUSINESS</v>
          </cell>
          <cell r="J45" t="str">
            <v>Payment</v>
          </cell>
          <cell r="K45" t="str">
            <v>General Expeses</v>
          </cell>
          <cell r="L45" t="str">
            <v>Salaries &amp; Wages</v>
          </cell>
          <cell r="M45" t="str">
            <v>Salaries &amp; Wages</v>
          </cell>
          <cell r="N45" t="str">
            <v>CHC</v>
          </cell>
        </row>
        <row r="46">
          <cell r="E46">
            <v>-3240</v>
          </cell>
          <cell r="F46" t="str">
            <v>Cr.</v>
          </cell>
          <cell r="G46">
            <v>45786</v>
          </cell>
          <cell r="H46" t="str">
            <v>ABL-CHC-19</v>
          </cell>
          <cell r="I46" t="str">
            <v>OTHER BUSINESS</v>
          </cell>
          <cell r="J46" t="str">
            <v>PAYMENT</v>
          </cell>
          <cell r="K46" t="str">
            <v>General Expeses</v>
          </cell>
          <cell r="L46" t="str">
            <v>Intercompany Loan</v>
          </cell>
          <cell r="M46" t="str">
            <v>Intercompany Loan</v>
          </cell>
          <cell r="N46" t="str">
            <v>CHC</v>
          </cell>
        </row>
        <row r="47">
          <cell r="E47">
            <v>-9000</v>
          </cell>
          <cell r="F47" t="str">
            <v>Cr.</v>
          </cell>
          <cell r="G47">
            <v>45789</v>
          </cell>
          <cell r="H47" t="str">
            <v>ABL-CHC-19</v>
          </cell>
          <cell r="I47" t="str">
            <v>OTHER BUSINESS</v>
          </cell>
          <cell r="J47" t="str">
            <v>Payment</v>
          </cell>
          <cell r="K47" t="str">
            <v>General Expenses</v>
          </cell>
          <cell r="L47" t="str">
            <v>General, Admin &amp; Marketing Expenses</v>
          </cell>
          <cell r="M47" t="str">
            <v>Fee Share</v>
          </cell>
          <cell r="N47" t="str">
            <v>CHC</v>
          </cell>
        </row>
        <row r="48">
          <cell r="E48">
            <v>-10525</v>
          </cell>
          <cell r="F48" t="str">
            <v>Cr.</v>
          </cell>
          <cell r="G48">
            <v>45790</v>
          </cell>
          <cell r="H48" t="str">
            <v>ABL-CHC-19</v>
          </cell>
          <cell r="I48" t="str">
            <v>OTHER BUSINESS</v>
          </cell>
          <cell r="J48" t="str">
            <v>Payment</v>
          </cell>
          <cell r="K48" t="str">
            <v>General Expeses</v>
          </cell>
          <cell r="L48" t="str">
            <v>Rent Expense</v>
          </cell>
          <cell r="M48" t="str">
            <v>Rent Expense</v>
          </cell>
          <cell r="N48" t="str">
            <v>CHC</v>
          </cell>
        </row>
        <row r="49">
          <cell r="E49">
            <v>129200</v>
          </cell>
          <cell r="F49"/>
          <cell r="G49">
            <v>45792</v>
          </cell>
          <cell r="H49" t="str">
            <v>ABL-CHC-19</v>
          </cell>
          <cell r="I49" t="str">
            <v>OTHER BUSINESS</v>
          </cell>
          <cell r="J49" t="str">
            <v>RECEIPTS</v>
          </cell>
          <cell r="K49" t="str">
            <v>General Expenses</v>
          </cell>
          <cell r="L49" t="str">
            <v>INCOME</v>
          </cell>
          <cell r="M49" t="str">
            <v>INCOME</v>
          </cell>
          <cell r="N49" t="str">
            <v>CHC</v>
          </cell>
        </row>
        <row r="50">
          <cell r="E50">
            <v>298000</v>
          </cell>
          <cell r="F50"/>
          <cell r="G50">
            <v>45796</v>
          </cell>
          <cell r="H50" t="str">
            <v>ABL-CHC-19</v>
          </cell>
          <cell r="I50" t="str">
            <v>OTHER BUSINESS</v>
          </cell>
          <cell r="J50" t="str">
            <v>RECEIPTS</v>
          </cell>
          <cell r="K50" t="str">
            <v>General Expenses</v>
          </cell>
          <cell r="L50" t="str">
            <v>INCOME</v>
          </cell>
          <cell r="M50" t="str">
            <v>INCOME</v>
          </cell>
          <cell r="N50" t="str">
            <v>CHC</v>
          </cell>
        </row>
        <row r="51">
          <cell r="E51">
            <v>140000</v>
          </cell>
          <cell r="F51"/>
          <cell r="G51">
            <v>45797</v>
          </cell>
          <cell r="H51" t="str">
            <v>ABL-CHC-19</v>
          </cell>
          <cell r="I51" t="str">
            <v>OTHER BUSINESS</v>
          </cell>
          <cell r="J51" t="str">
            <v>RECEIPTS</v>
          </cell>
          <cell r="K51" t="str">
            <v>General Expeses</v>
          </cell>
          <cell r="L51" t="str">
            <v>INCOME</v>
          </cell>
          <cell r="M51" t="str">
            <v>INCOME</v>
          </cell>
          <cell r="N51" t="str">
            <v>CHC</v>
          </cell>
        </row>
        <row r="52">
          <cell r="E52">
            <v>848000</v>
          </cell>
          <cell r="F52"/>
          <cell r="G52">
            <v>45798</v>
          </cell>
          <cell r="H52" t="str">
            <v>ABL-CHC-19</v>
          </cell>
          <cell r="I52" t="str">
            <v>OTHER BUSINESS</v>
          </cell>
          <cell r="J52" t="str">
            <v>RECEIPTS</v>
          </cell>
          <cell r="K52" t="str">
            <v>General Expeses</v>
          </cell>
          <cell r="L52" t="str">
            <v>INCOME</v>
          </cell>
          <cell r="M52" t="str">
            <v>INCOME</v>
          </cell>
          <cell r="N52" t="str">
            <v>CHC</v>
          </cell>
        </row>
        <row r="53">
          <cell r="E53">
            <v>200000</v>
          </cell>
          <cell r="F53"/>
          <cell r="G53">
            <v>45799</v>
          </cell>
          <cell r="H53" t="str">
            <v>ABL-CHC-19</v>
          </cell>
          <cell r="I53" t="str">
            <v>OTHER BUSINESS</v>
          </cell>
          <cell r="J53" t="str">
            <v>RECEIPTS</v>
          </cell>
          <cell r="K53" t="str">
            <v>General Expenses</v>
          </cell>
          <cell r="L53" t="str">
            <v>INCOME</v>
          </cell>
          <cell r="M53" t="str">
            <v>INCOME</v>
          </cell>
          <cell r="N53" t="str">
            <v>CHC</v>
          </cell>
        </row>
        <row r="54">
          <cell r="E54">
            <v>-169263</v>
          </cell>
          <cell r="F54"/>
          <cell r="G54">
            <v>45800</v>
          </cell>
          <cell r="H54" t="str">
            <v>ABL-CHC-19</v>
          </cell>
          <cell r="I54" t="str">
            <v>OTHER BUSINESS</v>
          </cell>
          <cell r="J54" t="str">
            <v>Payment</v>
          </cell>
          <cell r="K54" t="str">
            <v>General Expeses</v>
          </cell>
          <cell r="L54" t="str">
            <v>Rent Expense</v>
          </cell>
          <cell r="M54" t="str">
            <v>Rent Expense</v>
          </cell>
          <cell r="N54" t="str">
            <v>CHC</v>
          </cell>
        </row>
        <row r="55">
          <cell r="E55">
            <v>353000</v>
          </cell>
          <cell r="F55"/>
          <cell r="G55">
            <v>45800</v>
          </cell>
          <cell r="H55" t="str">
            <v>ABL-CHC-19</v>
          </cell>
          <cell r="I55" t="str">
            <v>OTHER BUSINESS</v>
          </cell>
          <cell r="J55" t="str">
            <v>RECEIPTS</v>
          </cell>
          <cell r="K55" t="str">
            <v>General Expenses</v>
          </cell>
          <cell r="L55" t="str">
            <v>INCOME</v>
          </cell>
          <cell r="M55" t="str">
            <v>INCOME</v>
          </cell>
          <cell r="N55" t="str">
            <v>CHC</v>
          </cell>
        </row>
        <row r="56">
          <cell r="E56">
            <v>60000</v>
          </cell>
          <cell r="F56"/>
          <cell r="G56">
            <v>45801</v>
          </cell>
          <cell r="H56" t="str">
            <v>ABL-CHC-19</v>
          </cell>
          <cell r="I56" t="str">
            <v>OTHER BUSINESS</v>
          </cell>
          <cell r="J56" t="str">
            <v>RECEIPTS</v>
          </cell>
          <cell r="K56" t="str">
            <v>General Expenses</v>
          </cell>
          <cell r="L56" t="str">
            <v>INCOME</v>
          </cell>
          <cell r="M56" t="str">
            <v>INCOME</v>
          </cell>
          <cell r="N56" t="str">
            <v>CHC</v>
          </cell>
        </row>
        <row r="57">
          <cell r="E57">
            <v>-132964</v>
          </cell>
          <cell r="F57"/>
          <cell r="G57">
            <v>45803</v>
          </cell>
          <cell r="H57" t="str">
            <v>ABL-CHC-19</v>
          </cell>
          <cell r="I57" t="str">
            <v>OTHER BUSINESS</v>
          </cell>
          <cell r="J57" t="str">
            <v>Payment</v>
          </cell>
          <cell r="K57" t="str">
            <v>General Expeses</v>
          </cell>
          <cell r="L57" t="str">
            <v>General, Admin &amp; Marketing Expenses</v>
          </cell>
          <cell r="M57" t="str">
            <v>Lab Equipment</v>
          </cell>
          <cell r="N57" t="str">
            <v>CHC</v>
          </cell>
        </row>
        <row r="58">
          <cell r="E58">
            <v>-798</v>
          </cell>
          <cell r="F58"/>
          <cell r="G58">
            <v>45803</v>
          </cell>
          <cell r="H58" t="str">
            <v>ABL-CHC-19</v>
          </cell>
          <cell r="I58" t="str">
            <v>OTHER BUSINESS</v>
          </cell>
          <cell r="J58" t="str">
            <v>Payment</v>
          </cell>
          <cell r="K58" t="str">
            <v>General Expeses</v>
          </cell>
          <cell r="L58" t="str">
            <v>General, Admin &amp; Marketing Expenses</v>
          </cell>
          <cell r="M58" t="str">
            <v>Repair &amp; maintenance</v>
          </cell>
          <cell r="N58" t="str">
            <v>CHC</v>
          </cell>
        </row>
        <row r="59">
          <cell r="E59">
            <v>100000</v>
          </cell>
          <cell r="F59"/>
          <cell r="G59">
            <v>45803</v>
          </cell>
          <cell r="H59" t="str">
            <v>ABL-CHC-19</v>
          </cell>
          <cell r="I59" t="str">
            <v>OTHER BUSINESS</v>
          </cell>
          <cell r="J59" t="str">
            <v>RECEIPTS</v>
          </cell>
          <cell r="K59" t="str">
            <v>General Expenses</v>
          </cell>
          <cell r="L59" t="str">
            <v>INCOME</v>
          </cell>
          <cell r="M59" t="str">
            <v>INCOME</v>
          </cell>
          <cell r="N59" t="str">
            <v>CHC</v>
          </cell>
        </row>
        <row r="60">
          <cell r="E60">
            <v>-2055</v>
          </cell>
          <cell r="F60"/>
          <cell r="G60">
            <v>45804</v>
          </cell>
          <cell r="H60" t="str">
            <v>ABL-CHC-19</v>
          </cell>
          <cell r="I60" t="str">
            <v>OTHER BUSINESS</v>
          </cell>
          <cell r="J60" t="str">
            <v>Payment</v>
          </cell>
          <cell r="K60" t="str">
            <v>General Expeses</v>
          </cell>
          <cell r="L60" t="str">
            <v>Rent Expense</v>
          </cell>
          <cell r="M60" t="str">
            <v>Rent Expense</v>
          </cell>
          <cell r="N60" t="str">
            <v>CHC</v>
          </cell>
        </row>
        <row r="61">
          <cell r="E61">
            <v>50000</v>
          </cell>
          <cell r="F61"/>
          <cell r="G61">
            <v>45804</v>
          </cell>
          <cell r="H61" t="str">
            <v>ABL-CHC-19</v>
          </cell>
          <cell r="I61" t="str">
            <v>OTHER BUSINESS</v>
          </cell>
          <cell r="J61" t="str">
            <v>RECEIPTS</v>
          </cell>
          <cell r="K61" t="str">
            <v>General Expeses</v>
          </cell>
          <cell r="L61" t="str">
            <v>INCOME</v>
          </cell>
          <cell r="M61" t="str">
            <v>INCOME</v>
          </cell>
          <cell r="N61" t="str">
            <v>CHC</v>
          </cell>
        </row>
        <row r="62">
          <cell r="E62">
            <v>150000</v>
          </cell>
          <cell r="F62"/>
          <cell r="G62">
            <v>45806</v>
          </cell>
          <cell r="H62" t="str">
            <v>ABL-CHC-19</v>
          </cell>
          <cell r="I62" t="str">
            <v>OTHER BUSINESS</v>
          </cell>
          <cell r="J62" t="str">
            <v>RECEIPTS</v>
          </cell>
          <cell r="K62" t="str">
            <v>General Expeses</v>
          </cell>
          <cell r="L62" t="str">
            <v>INCOME</v>
          </cell>
          <cell r="M62" t="str">
            <v>INCOME</v>
          </cell>
          <cell r="N62" t="str">
            <v>CHC</v>
          </cell>
        </row>
        <row r="63">
          <cell r="E63">
            <v>90000</v>
          </cell>
          <cell r="F63"/>
          <cell r="G63">
            <v>45808</v>
          </cell>
          <cell r="H63" t="str">
            <v>ABL-CHC-19</v>
          </cell>
          <cell r="I63" t="str">
            <v>OTHER BUSINESS</v>
          </cell>
          <cell r="J63" t="str">
            <v>RECEIPTS</v>
          </cell>
          <cell r="K63" t="str">
            <v>General Expeses</v>
          </cell>
          <cell r="L63" t="str">
            <v>Income</v>
          </cell>
          <cell r="M63" t="str">
            <v>Income</v>
          </cell>
          <cell r="N63" t="str">
            <v>CHC</v>
          </cell>
        </row>
        <row r="64">
          <cell r="E64">
            <v>-65000</v>
          </cell>
          <cell r="F64"/>
          <cell r="G64">
            <v>45810</v>
          </cell>
          <cell r="H64" t="str">
            <v>ABL-CHC-19</v>
          </cell>
          <cell r="I64" t="str">
            <v>OTHER BUSINESS</v>
          </cell>
          <cell r="J64" t="str">
            <v>Payment</v>
          </cell>
          <cell r="K64" t="str">
            <v>General Expeses</v>
          </cell>
          <cell r="L64" t="str">
            <v>Rent Expense</v>
          </cell>
          <cell r="M64" t="str">
            <v>Rent Expense</v>
          </cell>
          <cell r="N64" t="str">
            <v>CHC</v>
          </cell>
        </row>
        <row r="65">
          <cell r="E65">
            <v>330000</v>
          </cell>
          <cell r="F65"/>
          <cell r="G65">
            <v>45810</v>
          </cell>
          <cell r="H65" t="str">
            <v>ABL-CHC-19</v>
          </cell>
          <cell r="I65" t="str">
            <v>OTHER BUSINESS</v>
          </cell>
          <cell r="J65" t="str">
            <v>RECEIPTS</v>
          </cell>
          <cell r="K65" t="str">
            <v>General Expeses</v>
          </cell>
          <cell r="L65" t="str">
            <v>INCOME</v>
          </cell>
          <cell r="M65" t="str">
            <v>INCOME</v>
          </cell>
          <cell r="N65" t="str">
            <v>CHC</v>
          </cell>
        </row>
        <row r="66">
          <cell r="E66">
            <v>-2353627</v>
          </cell>
          <cell r="F66"/>
          <cell r="G66">
            <v>45811</v>
          </cell>
          <cell r="H66" t="str">
            <v>ABL-CHC-19</v>
          </cell>
          <cell r="I66" t="str">
            <v>OTHER BUSINESS</v>
          </cell>
          <cell r="J66" t="str">
            <v>Payment</v>
          </cell>
          <cell r="K66" t="str">
            <v>General Expeses</v>
          </cell>
          <cell r="L66" t="str">
            <v>Rent Expense</v>
          </cell>
          <cell r="M66" t="str">
            <v>Rent Expense</v>
          </cell>
          <cell r="N66" t="str">
            <v>CHC</v>
          </cell>
        </row>
        <row r="67">
          <cell r="E67">
            <v>-26881</v>
          </cell>
          <cell r="F67"/>
          <cell r="G67">
            <v>45812</v>
          </cell>
          <cell r="H67" t="str">
            <v>ABL-CHC-19</v>
          </cell>
          <cell r="I67" t="str">
            <v>OTHER BUSINESS</v>
          </cell>
          <cell r="J67" t="str">
            <v>Payment</v>
          </cell>
          <cell r="K67" t="str">
            <v>General Expeses</v>
          </cell>
          <cell r="L67" t="str">
            <v>Rent Expense</v>
          </cell>
          <cell r="M67" t="str">
            <v>Rent Expense</v>
          </cell>
          <cell r="N67" t="str">
            <v>CHC</v>
          </cell>
        </row>
        <row r="68">
          <cell r="E68">
            <v>500000</v>
          </cell>
          <cell r="F68"/>
          <cell r="G68">
            <v>45812</v>
          </cell>
          <cell r="H68" t="str">
            <v>ABL-CHC-19</v>
          </cell>
          <cell r="I68" t="str">
            <v>OTHER BUSINESS</v>
          </cell>
          <cell r="J68" t="str">
            <v>RECEIPTS</v>
          </cell>
          <cell r="K68" t="str">
            <v>General Expeses</v>
          </cell>
          <cell r="L68" t="str">
            <v>INCOME</v>
          </cell>
          <cell r="M68" t="str">
            <v>INCOME</v>
          </cell>
          <cell r="N68" t="str">
            <v>CHC</v>
          </cell>
        </row>
        <row r="69">
          <cell r="E69">
            <v>64800</v>
          </cell>
          <cell r="F69"/>
          <cell r="G69">
            <v>45813</v>
          </cell>
          <cell r="H69" t="str">
            <v>ABL-CHC-19</v>
          </cell>
          <cell r="I69" t="str">
            <v>OTHER BUSINESS</v>
          </cell>
          <cell r="J69" t="str">
            <v>RECEIPTS</v>
          </cell>
          <cell r="K69" t="str">
            <v>General Expeses</v>
          </cell>
          <cell r="L69" t="str">
            <v>INCOME</v>
          </cell>
          <cell r="M69" t="str">
            <v>INCOME</v>
          </cell>
          <cell r="N69" t="str">
            <v>CHC</v>
          </cell>
        </row>
        <row r="70">
          <cell r="E70">
            <v>60000</v>
          </cell>
          <cell r="F70"/>
          <cell r="G70">
            <v>45819</v>
          </cell>
          <cell r="H70" t="str">
            <v>ABL-CHC-19</v>
          </cell>
          <cell r="I70" t="str">
            <v>OTHER BUSINESS</v>
          </cell>
          <cell r="J70" t="str">
            <v>RECEIPTS</v>
          </cell>
          <cell r="K70" t="str">
            <v>General Expenses</v>
          </cell>
          <cell r="L70" t="str">
            <v>INCOME</v>
          </cell>
          <cell r="M70" t="str">
            <v>INCOME</v>
          </cell>
          <cell r="N70" t="str">
            <v>CHC</v>
          </cell>
        </row>
        <row r="71">
          <cell r="E71">
            <v>-10525</v>
          </cell>
          <cell r="F71"/>
          <cell r="G71">
            <v>45820</v>
          </cell>
          <cell r="H71" t="str">
            <v>ABL-CHC-19</v>
          </cell>
          <cell r="I71" t="str">
            <v>OTHER BUSINESS</v>
          </cell>
          <cell r="J71" t="str">
            <v>Payment</v>
          </cell>
          <cell r="K71" t="str">
            <v>General Expeses</v>
          </cell>
          <cell r="L71" t="str">
            <v>Rent Expense</v>
          </cell>
          <cell r="M71" t="str">
            <v>Rent Expense</v>
          </cell>
          <cell r="N71" t="str">
            <v>CHC</v>
          </cell>
        </row>
        <row r="72">
          <cell r="E72">
            <v>-3220</v>
          </cell>
          <cell r="F72"/>
          <cell r="G72">
            <v>45820</v>
          </cell>
          <cell r="H72" t="str">
            <v>ABL-CHC-19</v>
          </cell>
          <cell r="I72" t="str">
            <v>OTHER BUSINESS</v>
          </cell>
          <cell r="J72" t="str">
            <v>Payment</v>
          </cell>
          <cell r="K72" t="str">
            <v>General Expeses</v>
          </cell>
          <cell r="L72" t="str">
            <v>Rent Expense</v>
          </cell>
          <cell r="M72" t="str">
            <v>Rent Expense</v>
          </cell>
          <cell r="N72" t="str">
            <v>CHC</v>
          </cell>
        </row>
        <row r="73">
          <cell r="E73">
            <v>-400000</v>
          </cell>
          <cell r="F73"/>
          <cell r="G73">
            <v>45820</v>
          </cell>
          <cell r="H73" t="str">
            <v>ABL-CHC-19</v>
          </cell>
          <cell r="I73" t="str">
            <v>OTHER BUSINESS</v>
          </cell>
          <cell r="J73" t="str">
            <v>Payment</v>
          </cell>
          <cell r="K73" t="str">
            <v>General Expeses</v>
          </cell>
          <cell r="L73" t="str">
            <v>Rent Expense</v>
          </cell>
          <cell r="M73" t="str">
            <v>Rent Expense</v>
          </cell>
          <cell r="N73" t="str">
            <v>CHC</v>
          </cell>
        </row>
        <row r="74">
          <cell r="E74">
            <v>-2482</v>
          </cell>
          <cell r="F74"/>
          <cell r="G74">
            <v>45820</v>
          </cell>
          <cell r="H74" t="str">
            <v>ABL-CHC-19</v>
          </cell>
          <cell r="I74" t="str">
            <v>OTHER BUSINESS</v>
          </cell>
          <cell r="J74" t="str">
            <v>Payment</v>
          </cell>
          <cell r="K74" t="str">
            <v>General Expeses</v>
          </cell>
          <cell r="L74" t="str">
            <v>Rent Expense</v>
          </cell>
          <cell r="M74" t="str">
            <v>Rent Expense</v>
          </cell>
          <cell r="N74" t="str">
            <v>CHC</v>
          </cell>
        </row>
        <row r="75">
          <cell r="E75">
            <v>-120000</v>
          </cell>
          <cell r="F75"/>
          <cell r="G75">
            <v>45820</v>
          </cell>
          <cell r="H75" t="str">
            <v>ABL-CHC-19</v>
          </cell>
          <cell r="I75" t="str">
            <v>OTHER BUSINESS</v>
          </cell>
          <cell r="J75" t="str">
            <v>Payment</v>
          </cell>
          <cell r="K75" t="str">
            <v>General Expeses</v>
          </cell>
          <cell r="L75" t="str">
            <v>Rent Expense</v>
          </cell>
          <cell r="M75" t="str">
            <v>Rent Expense</v>
          </cell>
          <cell r="N75" t="str">
            <v>CHC</v>
          </cell>
        </row>
        <row r="76">
          <cell r="E76">
            <v>273000</v>
          </cell>
          <cell r="F76"/>
          <cell r="G76">
            <v>45820</v>
          </cell>
          <cell r="H76" t="str">
            <v>ABL-CHC-19</v>
          </cell>
          <cell r="I76" t="str">
            <v>OTHER BUSINESS</v>
          </cell>
          <cell r="J76" t="str">
            <v>RECEIPTS</v>
          </cell>
          <cell r="K76" t="str">
            <v>General Expenses</v>
          </cell>
          <cell r="L76" t="str">
            <v>INCOME</v>
          </cell>
          <cell r="M76" t="str">
            <v>INCOME</v>
          </cell>
          <cell r="N76" t="str">
            <v>CHC</v>
          </cell>
        </row>
        <row r="77">
          <cell r="E77">
            <v>193000</v>
          </cell>
          <cell r="F77"/>
          <cell r="G77">
            <v>45821</v>
          </cell>
          <cell r="H77" t="str">
            <v>ABL-CHC-19</v>
          </cell>
          <cell r="I77" t="str">
            <v>OTHER BUSINESS</v>
          </cell>
          <cell r="J77" t="str">
            <v>RECEIPTS</v>
          </cell>
          <cell r="K77" t="str">
            <v>General Expenses</v>
          </cell>
          <cell r="L77" t="str">
            <v>INCOME</v>
          </cell>
          <cell r="M77" t="str">
            <v>INCOME</v>
          </cell>
          <cell r="N77" t="str">
            <v>CHC</v>
          </cell>
        </row>
        <row r="78">
          <cell r="E78">
            <v>163000</v>
          </cell>
          <cell r="F78"/>
          <cell r="G78">
            <v>45822</v>
          </cell>
          <cell r="H78" t="str">
            <v>ABL-CHC-19</v>
          </cell>
          <cell r="I78" t="str">
            <v>OTHER BUSINESS</v>
          </cell>
          <cell r="J78" t="str">
            <v>RECEIPTS</v>
          </cell>
          <cell r="K78" t="str">
            <v>General Expeses</v>
          </cell>
          <cell r="L78" t="str">
            <v>INCOME</v>
          </cell>
          <cell r="M78" t="str">
            <v>INCOME</v>
          </cell>
          <cell r="N78" t="str">
            <v>CHC</v>
          </cell>
        </row>
        <row r="79">
          <cell r="E79">
            <v>-90000</v>
          </cell>
          <cell r="F79"/>
          <cell r="G79">
            <v>45824</v>
          </cell>
          <cell r="H79" t="str">
            <v>ABL-CHC-19</v>
          </cell>
          <cell r="I79" t="str">
            <v>OTHER BUSINESS</v>
          </cell>
          <cell r="J79" t="str">
            <v>Payment</v>
          </cell>
          <cell r="K79" t="str">
            <v>General Expeses</v>
          </cell>
          <cell r="L79" t="str">
            <v>Rent Expense</v>
          </cell>
          <cell r="M79" t="str">
            <v>Rent Expense</v>
          </cell>
          <cell r="N79" t="str">
            <v>CHC</v>
          </cell>
        </row>
        <row r="80">
          <cell r="E80">
            <v>255000</v>
          </cell>
          <cell r="F80"/>
          <cell r="G80">
            <v>45824</v>
          </cell>
          <cell r="H80" t="str">
            <v>ABL-CHC-19</v>
          </cell>
          <cell r="I80" t="str">
            <v>OTHER BUSINESS</v>
          </cell>
          <cell r="J80" t="str">
            <v>RECEIPTS</v>
          </cell>
          <cell r="K80" t="str">
            <v>General Expenses</v>
          </cell>
          <cell r="L80" t="str">
            <v>INCOME</v>
          </cell>
          <cell r="M80" t="str">
            <v>INCOME</v>
          </cell>
          <cell r="N80" t="str">
            <v>CHC</v>
          </cell>
        </row>
        <row r="81">
          <cell r="E81">
            <v>305000</v>
          </cell>
          <cell r="F81"/>
          <cell r="G81">
            <v>45825</v>
          </cell>
          <cell r="H81" t="str">
            <v>ABL-CHC-19</v>
          </cell>
          <cell r="I81" t="str">
            <v>OTHER BUSINESS</v>
          </cell>
          <cell r="J81" t="str">
            <v>RECEIPTS</v>
          </cell>
          <cell r="K81" t="str">
            <v>General Expeses</v>
          </cell>
          <cell r="L81" t="str">
            <v>Income</v>
          </cell>
          <cell r="M81" t="str">
            <v>Income</v>
          </cell>
          <cell r="N81" t="str">
            <v>CHC</v>
          </cell>
        </row>
        <row r="82">
          <cell r="E82">
            <v>-12052</v>
          </cell>
          <cell r="F82"/>
          <cell r="G82">
            <v>45825</v>
          </cell>
          <cell r="H82" t="str">
            <v>ABL-CHC-19</v>
          </cell>
          <cell r="I82" t="str">
            <v>OTHER BUSINESS</v>
          </cell>
          <cell r="J82" t="str">
            <v>Payment</v>
          </cell>
          <cell r="K82" t="str">
            <v>General Expeses</v>
          </cell>
          <cell r="L82" t="str">
            <v>Rent Expense</v>
          </cell>
          <cell r="M82" t="str">
            <v>Rent Expense</v>
          </cell>
          <cell r="N82" t="str">
            <v>CHC</v>
          </cell>
        </row>
        <row r="83">
          <cell r="E83">
            <v>-70</v>
          </cell>
          <cell r="F83"/>
          <cell r="G83">
            <v>45825</v>
          </cell>
          <cell r="H83" t="str">
            <v>ABL-CHC-19</v>
          </cell>
          <cell r="I83" t="str">
            <v>OTHER BUSINESS</v>
          </cell>
          <cell r="J83" t="str">
            <v>Payment</v>
          </cell>
          <cell r="K83" t="str">
            <v>General Expeses</v>
          </cell>
          <cell r="L83" t="str">
            <v>Rent Expense</v>
          </cell>
          <cell r="M83" t="str">
            <v>Rent Expense</v>
          </cell>
          <cell r="N83" t="str">
            <v>CHC</v>
          </cell>
        </row>
        <row r="84">
          <cell r="E84">
            <v>-484210</v>
          </cell>
          <cell r="F84"/>
          <cell r="G84">
            <v>45826</v>
          </cell>
          <cell r="H84" t="str">
            <v>ABL-CHC-19</v>
          </cell>
          <cell r="I84" t="str">
            <v>OTHER BUSINESS</v>
          </cell>
          <cell r="J84" t="str">
            <v>Payment</v>
          </cell>
          <cell r="K84" t="str">
            <v>General Expeses</v>
          </cell>
          <cell r="L84" t="str">
            <v>Rent Expense</v>
          </cell>
          <cell r="M84" t="str">
            <v>Rent Expense</v>
          </cell>
          <cell r="N84" t="str">
            <v>CHC</v>
          </cell>
        </row>
        <row r="85">
          <cell r="E85">
            <v>-504000</v>
          </cell>
          <cell r="F85"/>
          <cell r="G85">
            <v>45826</v>
          </cell>
          <cell r="H85" t="str">
            <v>ABL-CHC-19</v>
          </cell>
          <cell r="I85" t="str">
            <v>OTHER BUSINESS</v>
          </cell>
          <cell r="J85" t="str">
            <v>Payment</v>
          </cell>
          <cell r="K85" t="str">
            <v>General Expeses</v>
          </cell>
          <cell r="L85" t="str">
            <v>Rent Expense</v>
          </cell>
          <cell r="M85" t="str">
            <v>Rent Expense</v>
          </cell>
          <cell r="N85" t="str">
            <v>CHC</v>
          </cell>
        </row>
        <row r="86">
          <cell r="E86">
            <v>-1000</v>
          </cell>
          <cell r="F86"/>
          <cell r="G86">
            <v>45826</v>
          </cell>
          <cell r="H86" t="str">
            <v>ABL-CHC-19</v>
          </cell>
          <cell r="I86" t="str">
            <v>OTHER BUSINESS</v>
          </cell>
          <cell r="J86" t="str">
            <v>Payment</v>
          </cell>
          <cell r="K86" t="str">
            <v>General Expeses</v>
          </cell>
          <cell r="L86" t="str">
            <v>Rent Expense</v>
          </cell>
          <cell r="M86" t="str">
            <v>Rent Expense</v>
          </cell>
          <cell r="N86" t="str">
            <v>CHC</v>
          </cell>
        </row>
        <row r="87">
          <cell r="E87">
            <v>-504000</v>
          </cell>
          <cell r="F87"/>
          <cell r="G87">
            <v>45827</v>
          </cell>
          <cell r="H87" t="str">
            <v>ABL-CHC-19</v>
          </cell>
          <cell r="I87" t="str">
            <v>OTHER BUSINESS</v>
          </cell>
          <cell r="J87" t="str">
            <v>Payment</v>
          </cell>
          <cell r="K87" t="str">
            <v>General Expeses</v>
          </cell>
          <cell r="L87" t="str">
            <v>Rent Expense</v>
          </cell>
          <cell r="M87" t="str">
            <v>Rent Expense</v>
          </cell>
          <cell r="N87" t="str">
            <v>CHC</v>
          </cell>
        </row>
        <row r="88">
          <cell r="E88">
            <v>-84000</v>
          </cell>
          <cell r="F88"/>
          <cell r="G88">
            <v>45827</v>
          </cell>
          <cell r="H88" t="str">
            <v>ABL-CHC-19</v>
          </cell>
          <cell r="I88" t="str">
            <v>OTHER BUSINESS</v>
          </cell>
          <cell r="J88" t="str">
            <v>Payment</v>
          </cell>
          <cell r="K88" t="str">
            <v>General Expenses</v>
          </cell>
          <cell r="L88" t="str">
            <v>Rent Expense</v>
          </cell>
          <cell r="M88" t="str">
            <v>Rent Expense</v>
          </cell>
          <cell r="N88" t="str">
            <v>CHC</v>
          </cell>
        </row>
        <row r="89">
          <cell r="E89">
            <v>215000</v>
          </cell>
          <cell r="F89"/>
          <cell r="G89">
            <v>45828</v>
          </cell>
          <cell r="H89" t="str">
            <v>ABL-CHC-19</v>
          </cell>
          <cell r="I89" t="str">
            <v>OTHER BUSINESS</v>
          </cell>
          <cell r="J89" t="str">
            <v>RECEIPTS</v>
          </cell>
          <cell r="K89" t="str">
            <v>General Expeses</v>
          </cell>
          <cell r="L89" t="str">
            <v>Income</v>
          </cell>
          <cell r="M89" t="str">
            <v>Income</v>
          </cell>
          <cell r="N89" t="str">
            <v>CHC</v>
          </cell>
        </row>
        <row r="90">
          <cell r="E90">
            <v>-690000</v>
          </cell>
          <cell r="F90"/>
          <cell r="G90">
            <v>45828</v>
          </cell>
          <cell r="H90" t="str">
            <v>ABL-CHC-19</v>
          </cell>
          <cell r="I90" t="str">
            <v>OTHER BUSINESS</v>
          </cell>
          <cell r="J90" t="str">
            <v>Payment</v>
          </cell>
          <cell r="K90" t="str">
            <v>General Expenses</v>
          </cell>
          <cell r="L90" t="str">
            <v>Rent Expense</v>
          </cell>
          <cell r="M90" t="str">
            <v>Rent Expense</v>
          </cell>
          <cell r="N90" t="str">
            <v>CHC</v>
          </cell>
        </row>
        <row r="91">
          <cell r="E91">
            <v>-170115</v>
          </cell>
          <cell r="F91"/>
          <cell r="G91">
            <v>45831</v>
          </cell>
          <cell r="H91" t="str">
            <v>ABL-CHC-19</v>
          </cell>
          <cell r="I91" t="str">
            <v>OTHER BUSINESS</v>
          </cell>
          <cell r="J91" t="str">
            <v>Payment</v>
          </cell>
          <cell r="K91" t="str">
            <v>General Expenses</v>
          </cell>
          <cell r="L91" t="str">
            <v>Rent Expense</v>
          </cell>
          <cell r="M91" t="str">
            <v>Rent Expense</v>
          </cell>
          <cell r="N91" t="str">
            <v>CHC</v>
          </cell>
        </row>
        <row r="92">
          <cell r="E92">
            <v>-84000</v>
          </cell>
          <cell r="F92"/>
          <cell r="G92">
            <v>45831</v>
          </cell>
          <cell r="H92" t="str">
            <v>ABL-CHC-19</v>
          </cell>
          <cell r="I92" t="str">
            <v>OTHER BUSINESS</v>
          </cell>
          <cell r="J92" t="str">
            <v>Payment</v>
          </cell>
          <cell r="K92" t="str">
            <v>General Expenses</v>
          </cell>
          <cell r="L92" t="str">
            <v>Rent Expense</v>
          </cell>
          <cell r="M92" t="str">
            <v>Rent Expense</v>
          </cell>
          <cell r="N92" t="str">
            <v>CHC</v>
          </cell>
        </row>
        <row r="93">
          <cell r="E93">
            <v>-84000</v>
          </cell>
          <cell r="F93"/>
          <cell r="G93">
            <v>45831</v>
          </cell>
          <cell r="H93" t="str">
            <v>ABL-CHC-19</v>
          </cell>
          <cell r="I93" t="str">
            <v>OTHER BUSINESS</v>
          </cell>
          <cell r="J93" t="str">
            <v>Payment</v>
          </cell>
          <cell r="K93" t="str">
            <v>General Expenses</v>
          </cell>
          <cell r="L93" t="str">
            <v>Rent Expense</v>
          </cell>
          <cell r="M93" t="str">
            <v>Rent Expense</v>
          </cell>
          <cell r="N93" t="str">
            <v>CHC</v>
          </cell>
        </row>
        <row r="94">
          <cell r="E94">
            <v>60000</v>
          </cell>
          <cell r="F94"/>
          <cell r="G94">
            <v>45831</v>
          </cell>
          <cell r="H94" t="str">
            <v>ABL-CHC-19</v>
          </cell>
          <cell r="I94" t="str">
            <v>OTHER BUSINESS</v>
          </cell>
          <cell r="J94" t="str">
            <v>RECEIPTS</v>
          </cell>
          <cell r="K94" t="str">
            <v>General Expeses</v>
          </cell>
          <cell r="L94" t="str">
            <v>Income</v>
          </cell>
          <cell r="M94" t="str">
            <v>Income</v>
          </cell>
          <cell r="N94" t="str">
            <v>CHC</v>
          </cell>
        </row>
        <row r="95">
          <cell r="E95">
            <v>-120000</v>
          </cell>
          <cell r="F95"/>
          <cell r="G95">
            <v>45832</v>
          </cell>
          <cell r="H95" t="str">
            <v>ABL-CHC-19</v>
          </cell>
          <cell r="I95" t="str">
            <v>OTHER BUSINESS</v>
          </cell>
          <cell r="J95" t="str">
            <v>Payment</v>
          </cell>
          <cell r="K95" t="str">
            <v>General Expenses</v>
          </cell>
          <cell r="L95" t="str">
            <v>Rent Expense</v>
          </cell>
          <cell r="M95" t="str">
            <v>Rent Expense</v>
          </cell>
          <cell r="N95" t="str">
            <v>CHC</v>
          </cell>
        </row>
        <row r="96">
          <cell r="E96">
            <v>20000</v>
          </cell>
          <cell r="F96"/>
          <cell r="G96">
            <v>45832</v>
          </cell>
          <cell r="H96" t="str">
            <v>ABL-CHC-19</v>
          </cell>
          <cell r="I96" t="str">
            <v>OTHER BUSINESS</v>
          </cell>
          <cell r="J96" t="str">
            <v>RECEIPTS</v>
          </cell>
          <cell r="K96" t="str">
            <v>General Expeses</v>
          </cell>
          <cell r="L96" t="str">
            <v>Income</v>
          </cell>
          <cell r="M96" t="str">
            <v>Income</v>
          </cell>
          <cell r="N96" t="str">
            <v>CHC</v>
          </cell>
        </row>
        <row r="97">
          <cell r="E97">
            <v>-166440</v>
          </cell>
          <cell r="F97"/>
          <cell r="G97">
            <v>45833</v>
          </cell>
          <cell r="H97" t="str">
            <v>ABL-CHC-19</v>
          </cell>
          <cell r="I97" t="str">
            <v>OTHER BUSINESS</v>
          </cell>
          <cell r="J97" t="str">
            <v>Payment</v>
          </cell>
          <cell r="K97" t="str">
            <v>General Expenses</v>
          </cell>
          <cell r="L97" t="str">
            <v>Rent Expense</v>
          </cell>
          <cell r="M97" t="str">
            <v>Rent Expense</v>
          </cell>
          <cell r="N97" t="str">
            <v>CHC</v>
          </cell>
        </row>
        <row r="98">
          <cell r="E98">
            <v>90000</v>
          </cell>
          <cell r="F98"/>
          <cell r="G98">
            <v>45834</v>
          </cell>
          <cell r="H98" t="str">
            <v>ABL-CHC-19</v>
          </cell>
          <cell r="I98" t="str">
            <v>OTHER BUSINESS</v>
          </cell>
          <cell r="J98" t="str">
            <v>RECEIPTS</v>
          </cell>
          <cell r="K98" t="str">
            <v>General Expeses</v>
          </cell>
          <cell r="L98" t="str">
            <v>Income</v>
          </cell>
          <cell r="M98" t="str">
            <v>Income</v>
          </cell>
          <cell r="N98" t="str">
            <v>CHC</v>
          </cell>
        </row>
        <row r="99">
          <cell r="E99">
            <v>-8000</v>
          </cell>
          <cell r="F99"/>
          <cell r="G99">
            <v>45838</v>
          </cell>
          <cell r="H99" t="str">
            <v>ABL-CHC-19</v>
          </cell>
          <cell r="I99" t="str">
            <v>OTHER BUSINESS</v>
          </cell>
          <cell r="J99" t="str">
            <v>Payment</v>
          </cell>
          <cell r="K99" t="str">
            <v>General Expenses</v>
          </cell>
          <cell r="L99" t="str">
            <v>Rent Expense</v>
          </cell>
          <cell r="M99" t="str">
            <v>Rent Expense</v>
          </cell>
          <cell r="N99" t="str">
            <v>CHC</v>
          </cell>
        </row>
        <row r="100">
          <cell r="E100">
            <v>65510</v>
          </cell>
          <cell r="F100"/>
          <cell r="G100">
            <v>45838</v>
          </cell>
          <cell r="H100" t="str">
            <v>ABL-CHC-19</v>
          </cell>
          <cell r="I100" t="str">
            <v>OTHER BUSINESS</v>
          </cell>
          <cell r="J100" t="str">
            <v>Misc.Receipts</v>
          </cell>
          <cell r="K100" t="str">
            <v>General Expeses</v>
          </cell>
          <cell r="L100" t="str">
            <v>INCOME</v>
          </cell>
          <cell r="M100" t="str">
            <v>INCOME</v>
          </cell>
          <cell r="N100" t="str">
            <v>CHC</v>
          </cell>
        </row>
        <row r="101">
          <cell r="E101">
            <v>-22928</v>
          </cell>
          <cell r="F101"/>
          <cell r="G101">
            <v>45838</v>
          </cell>
          <cell r="H101" t="str">
            <v>ABL-CHC-19</v>
          </cell>
          <cell r="I101" t="str">
            <v>OTHER BUSINESS</v>
          </cell>
          <cell r="J101" t="str">
            <v>Payment</v>
          </cell>
          <cell r="K101" t="str">
            <v>General Expenses</v>
          </cell>
          <cell r="L101" t="str">
            <v>Rent Expense</v>
          </cell>
          <cell r="M101" t="str">
            <v>Rent Expense</v>
          </cell>
          <cell r="N101" t="str">
            <v>CHC</v>
          </cell>
        </row>
        <row r="102">
          <cell r="E102">
            <v>-120000</v>
          </cell>
          <cell r="F102"/>
          <cell r="G102">
            <v>45840</v>
          </cell>
          <cell r="H102" t="str">
            <v>ABL-CHC-19</v>
          </cell>
          <cell r="I102" t="str">
            <v>OTHER BUSINESS</v>
          </cell>
          <cell r="J102" t="str">
            <v>Payment</v>
          </cell>
          <cell r="K102" t="str">
            <v>General Expenses</v>
          </cell>
          <cell r="L102" t="str">
            <v>Rent Expense</v>
          </cell>
          <cell r="M102" t="str">
            <v>Rent Expense</v>
          </cell>
          <cell r="N102" t="str">
            <v>CHC</v>
          </cell>
        </row>
        <row r="103">
          <cell r="E103">
            <v>234500</v>
          </cell>
          <cell r="F103"/>
          <cell r="G103">
            <v>45840</v>
          </cell>
          <cell r="H103" t="str">
            <v>ABL-CHC-19</v>
          </cell>
          <cell r="I103" t="str">
            <v>OTHER BUSINESS</v>
          </cell>
          <cell r="J103" t="str">
            <v>RECEIPTS</v>
          </cell>
          <cell r="K103" t="str">
            <v>General Expeses</v>
          </cell>
          <cell r="L103" t="str">
            <v>INCOME</v>
          </cell>
          <cell r="M103" t="str">
            <v>INCOME</v>
          </cell>
          <cell r="N103" t="str">
            <v>CHC</v>
          </cell>
        </row>
        <row r="104">
          <cell r="E104">
            <v>90000</v>
          </cell>
          <cell r="F104"/>
          <cell r="G104">
            <v>45841</v>
          </cell>
          <cell r="H104" t="str">
            <v>ABL-CHC-19</v>
          </cell>
          <cell r="I104" t="str">
            <v>OTHER BUSINESS</v>
          </cell>
          <cell r="J104" t="str">
            <v>RECEIPTS</v>
          </cell>
          <cell r="K104" t="str">
            <v>General Expenses</v>
          </cell>
          <cell r="L104" t="str">
            <v>INCOME</v>
          </cell>
          <cell r="M104" t="str">
            <v>INCOME</v>
          </cell>
          <cell r="N104" t="str">
            <v>CHC</v>
          </cell>
        </row>
        <row r="105">
          <cell r="E105">
            <v>3000000</v>
          </cell>
          <cell r="F105"/>
          <cell r="G105">
            <v>45842</v>
          </cell>
          <cell r="H105" t="str">
            <v>ABL-CHC-19</v>
          </cell>
          <cell r="I105" t="str">
            <v>OTHER BUSINESS</v>
          </cell>
          <cell r="J105" t="str">
            <v>iNterbank</v>
          </cell>
          <cell r="K105" t="str">
            <v>General Expeses</v>
          </cell>
          <cell r="L105" t="str">
            <v>Intercompany Loan</v>
          </cell>
          <cell r="M105" t="str">
            <v>Intercompany Loan</v>
          </cell>
          <cell r="N105" t="str">
            <v>CHC</v>
          </cell>
        </row>
        <row r="106">
          <cell r="E106">
            <v>-2351628</v>
          </cell>
          <cell r="F106"/>
          <cell r="G106">
            <v>45842</v>
          </cell>
          <cell r="H106" t="str">
            <v>ABL-CHC-19</v>
          </cell>
          <cell r="I106" t="str">
            <v>OTHER BUSINESS</v>
          </cell>
          <cell r="J106" t="str">
            <v>Payment</v>
          </cell>
          <cell r="K106" t="str">
            <v>General Expenses</v>
          </cell>
          <cell r="L106" t="str">
            <v>Registration &amp; Affiliation</v>
          </cell>
          <cell r="M106" t="str">
            <v>Registration &amp; Affiliation</v>
          </cell>
          <cell r="N106" t="str">
            <v>CHC</v>
          </cell>
        </row>
        <row r="107">
          <cell r="E107">
            <v>14500</v>
          </cell>
          <cell r="F107"/>
          <cell r="G107">
            <v>45842</v>
          </cell>
          <cell r="H107" t="str">
            <v>ABL-CHC-19</v>
          </cell>
          <cell r="I107" t="str">
            <v>OTHER BUSINESS</v>
          </cell>
          <cell r="J107" t="str">
            <v>RECEIPTS</v>
          </cell>
          <cell r="K107" t="str">
            <v>General Expenses</v>
          </cell>
          <cell r="L107" t="str">
            <v>INCOME</v>
          </cell>
          <cell r="M107" t="str">
            <v>INCOME</v>
          </cell>
          <cell r="N107" t="str">
            <v>CHC</v>
          </cell>
        </row>
        <row r="108">
          <cell r="E108">
            <v>210000</v>
          </cell>
          <cell r="F108"/>
          <cell r="G108">
            <v>45845</v>
          </cell>
          <cell r="H108" t="str">
            <v>ABL-CHC-19</v>
          </cell>
          <cell r="I108" t="str">
            <v>OTHER BUSINESS</v>
          </cell>
          <cell r="J108" t="str">
            <v>RECEIPTS</v>
          </cell>
          <cell r="K108" t="str">
            <v>General Expenses</v>
          </cell>
          <cell r="L108" t="str">
            <v>INCOME</v>
          </cell>
          <cell r="M108" t="str">
            <v>INCOME</v>
          </cell>
          <cell r="N108" t="str">
            <v>CHC</v>
          </cell>
        </row>
        <row r="109">
          <cell r="E109">
            <v>-287564</v>
          </cell>
          <cell r="F109"/>
          <cell r="G109">
            <v>45846</v>
          </cell>
          <cell r="H109" t="str">
            <v>ABL-CHC-19</v>
          </cell>
          <cell r="I109" t="str">
            <v>OTHER BUSINESS</v>
          </cell>
          <cell r="J109" t="str">
            <v>Payment</v>
          </cell>
          <cell r="K109" t="str">
            <v>General Expeses</v>
          </cell>
          <cell r="L109" t="str">
            <v>General, Admin &amp; Marketing Expenses</v>
          </cell>
          <cell r="M109" t="str">
            <v>Books</v>
          </cell>
          <cell r="N109" t="str">
            <v>CHC</v>
          </cell>
        </row>
        <row r="110">
          <cell r="E110">
            <v>-2301</v>
          </cell>
          <cell r="F110"/>
          <cell r="G110">
            <v>45846</v>
          </cell>
          <cell r="H110" t="str">
            <v>ABL-CHC-19</v>
          </cell>
          <cell r="I110" t="str">
            <v>OTHER BUSINESS</v>
          </cell>
          <cell r="J110" t="str">
            <v>Payment</v>
          </cell>
          <cell r="K110" t="str">
            <v>General Expeses</v>
          </cell>
          <cell r="L110" t="str">
            <v>General, Admin &amp; Marketing Expenses</v>
          </cell>
          <cell r="M110" t="str">
            <v>General Expenses</v>
          </cell>
          <cell r="N110" t="str">
            <v>CHC</v>
          </cell>
        </row>
        <row r="111">
          <cell r="E111">
            <v>96000</v>
          </cell>
          <cell r="F111"/>
          <cell r="G111">
            <v>45846</v>
          </cell>
          <cell r="H111" t="str">
            <v>ABL-CHC-19</v>
          </cell>
          <cell r="I111" t="str">
            <v>OTHER BUSINESS</v>
          </cell>
          <cell r="J111" t="str">
            <v>RECEIPTS</v>
          </cell>
          <cell r="K111" t="str">
            <v>General Expeses</v>
          </cell>
          <cell r="L111" t="str">
            <v>Income</v>
          </cell>
          <cell r="M111" t="str">
            <v>Income</v>
          </cell>
          <cell r="N111" t="str">
            <v>CHC</v>
          </cell>
        </row>
        <row r="112">
          <cell r="E112">
            <v>1515005</v>
          </cell>
          <cell r="G112">
            <v>45847</v>
          </cell>
          <cell r="H112" t="str">
            <v>ABL-CHC-19</v>
          </cell>
          <cell r="I112" t="str">
            <v>OTHER BUSINESS</v>
          </cell>
          <cell r="J112" t="str">
            <v>RECEIPTS</v>
          </cell>
          <cell r="K112" t="str">
            <v>General Expeses</v>
          </cell>
          <cell r="L112" t="str">
            <v>Income</v>
          </cell>
          <cell r="M112" t="str">
            <v>Income</v>
          </cell>
          <cell r="N112" t="str">
            <v>CHC</v>
          </cell>
        </row>
        <row r="113">
          <cell r="E113">
            <v>190000</v>
          </cell>
          <cell r="G113">
            <v>45848</v>
          </cell>
          <cell r="H113" t="str">
            <v>ABL-CHC-19</v>
          </cell>
          <cell r="I113" t="str">
            <v>OTHER BUSINESS</v>
          </cell>
          <cell r="J113" t="str">
            <v>RECEIPTS</v>
          </cell>
          <cell r="K113" t="str">
            <v>General Expenses</v>
          </cell>
          <cell r="L113" t="str">
            <v>INCOME</v>
          </cell>
          <cell r="M113" t="str">
            <v>INCOME</v>
          </cell>
          <cell r="N113" t="str">
            <v>CHC</v>
          </cell>
        </row>
        <row r="114">
          <cell r="E114">
            <v>100000</v>
          </cell>
          <cell r="G114">
            <v>45849</v>
          </cell>
          <cell r="H114" t="str">
            <v>ABL-CHC-19</v>
          </cell>
          <cell r="I114" t="str">
            <v>OTHER BUSINESS</v>
          </cell>
          <cell r="J114" t="str">
            <v>RECEIPTS</v>
          </cell>
          <cell r="K114" t="str">
            <v>General Expeses</v>
          </cell>
          <cell r="L114" t="str">
            <v>Miscelleneous</v>
          </cell>
          <cell r="M114" t="str">
            <v>Miscelleneous</v>
          </cell>
          <cell r="N114" t="str">
            <v>CHC</v>
          </cell>
        </row>
        <row r="115">
          <cell r="E115">
            <v>-8000</v>
          </cell>
          <cell r="G115">
            <v>45849</v>
          </cell>
          <cell r="H115" t="str">
            <v>ABL-CHC-19</v>
          </cell>
          <cell r="I115" t="str">
            <v>OTHER BUSINESS</v>
          </cell>
          <cell r="J115" t="str">
            <v>Payment</v>
          </cell>
          <cell r="K115" t="str">
            <v>General Expeses</v>
          </cell>
          <cell r="L115" t="str">
            <v>Registration &amp; Affiliation</v>
          </cell>
          <cell r="M115" t="str">
            <v>Registration &amp; Affiliation</v>
          </cell>
          <cell r="N115" t="str">
            <v>CHC</v>
          </cell>
        </row>
        <row r="116">
          <cell r="E116">
            <v>-2820</v>
          </cell>
          <cell r="G116">
            <v>45852</v>
          </cell>
          <cell r="H116" t="str">
            <v>ABL-CHC-19</v>
          </cell>
          <cell r="I116" t="str">
            <v>OTHER BUSINESS</v>
          </cell>
          <cell r="J116" t="str">
            <v>Payment</v>
          </cell>
          <cell r="K116" t="str">
            <v>General Expeses</v>
          </cell>
          <cell r="L116" t="str">
            <v>Registration &amp; Affiliation</v>
          </cell>
          <cell r="M116" t="str">
            <v>Registration &amp; Affiliation</v>
          </cell>
          <cell r="N116" t="str">
            <v>CHC</v>
          </cell>
        </row>
        <row r="117">
          <cell r="E117">
            <v>-10525</v>
          </cell>
          <cell r="F117"/>
          <cell r="G117">
            <v>45852</v>
          </cell>
          <cell r="H117" t="str">
            <v>ABL-CHC-19</v>
          </cell>
          <cell r="I117" t="str">
            <v>OTHER BUSINESS</v>
          </cell>
          <cell r="J117" t="str">
            <v>Payment</v>
          </cell>
          <cell r="K117" t="str">
            <v>General Expeses</v>
          </cell>
          <cell r="L117" t="str">
            <v>Registration &amp; Affiliation</v>
          </cell>
          <cell r="M117" t="str">
            <v>Registration &amp; Affiliation</v>
          </cell>
          <cell r="N117" t="str">
            <v>CHC</v>
          </cell>
        </row>
        <row r="118">
          <cell r="E118">
            <v>80000</v>
          </cell>
          <cell r="G118">
            <v>45853</v>
          </cell>
          <cell r="H118" t="str">
            <v>ABL-CHC-19</v>
          </cell>
          <cell r="I118" t="str">
            <v>OTHER BUSINESS</v>
          </cell>
          <cell r="J118" t="str">
            <v>RECEIPTS</v>
          </cell>
          <cell r="K118" t="str">
            <v>General Expeses</v>
          </cell>
          <cell r="L118" t="str">
            <v>INCOME</v>
          </cell>
          <cell r="M118" t="str">
            <v>INCOME</v>
          </cell>
          <cell r="N118" t="str">
            <v>CHC</v>
          </cell>
        </row>
        <row r="119">
          <cell r="E119">
            <v>280000</v>
          </cell>
          <cell r="F119"/>
          <cell r="G119">
            <v>45854</v>
          </cell>
          <cell r="H119" t="str">
            <v>ABL-CHC-19</v>
          </cell>
          <cell r="I119" t="str">
            <v>OTHER BUSINESS</v>
          </cell>
          <cell r="J119" t="str">
            <v>RECEIPTS</v>
          </cell>
          <cell r="K119" t="str">
            <v>General Expenses</v>
          </cell>
          <cell r="L119" t="str">
            <v>bank profit</v>
          </cell>
          <cell r="M119" t="str">
            <v>bank profit</v>
          </cell>
          <cell r="N119" t="str">
            <v>CHC</v>
          </cell>
        </row>
        <row r="120">
          <cell r="E120">
            <v>-504000</v>
          </cell>
          <cell r="G120">
            <v>45855</v>
          </cell>
          <cell r="H120" t="str">
            <v>ABL-CHC-19</v>
          </cell>
          <cell r="I120" t="str">
            <v>OTHER BUSINESS</v>
          </cell>
          <cell r="J120" t="str">
            <v>Payment</v>
          </cell>
          <cell r="K120" t="str">
            <v>General Expeses</v>
          </cell>
          <cell r="L120" t="str">
            <v>General, Admin &amp; Marketing Expenses</v>
          </cell>
          <cell r="M120" t="str">
            <v>General Expenses</v>
          </cell>
          <cell r="N120" t="str">
            <v>CHC</v>
          </cell>
        </row>
        <row r="121">
          <cell r="E121">
            <v>-504000</v>
          </cell>
          <cell r="G121">
            <v>45856</v>
          </cell>
          <cell r="H121" t="str">
            <v>ABL-CHC-19</v>
          </cell>
          <cell r="I121" t="str">
            <v>OTHER BUSINESS</v>
          </cell>
          <cell r="J121" t="str">
            <v>Payment</v>
          </cell>
          <cell r="K121" t="str">
            <v>General Expeses</v>
          </cell>
          <cell r="L121" t="str">
            <v>Utilities</v>
          </cell>
          <cell r="M121" t="str">
            <v>Electricity</v>
          </cell>
          <cell r="N121" t="str">
            <v>CHC</v>
          </cell>
        </row>
        <row r="122">
          <cell r="E122">
            <v>120000</v>
          </cell>
          <cell r="F122"/>
          <cell r="G122">
            <v>45856</v>
          </cell>
          <cell r="H122" t="str">
            <v>ABL-CHC-19</v>
          </cell>
          <cell r="I122" t="str">
            <v>OTHER BUSINESS</v>
          </cell>
          <cell r="J122" t="str">
            <v>RECEIPTS</v>
          </cell>
          <cell r="K122" t="str">
            <v>General Expeses</v>
          </cell>
          <cell r="L122" t="str">
            <v>Income</v>
          </cell>
          <cell r="M122" t="str">
            <v>Income</v>
          </cell>
          <cell r="N122" t="str">
            <v>CHC</v>
          </cell>
        </row>
        <row r="123">
          <cell r="E123">
            <v>-84000</v>
          </cell>
          <cell r="F123" t="str">
            <v>Cr.</v>
          </cell>
          <cell r="G123">
            <v>45859</v>
          </cell>
          <cell r="H123" t="str">
            <v>ABL-CHC-19</v>
          </cell>
          <cell r="I123" t="str">
            <v>OTHER BUSINESS</v>
          </cell>
          <cell r="J123" t="str">
            <v>Payment</v>
          </cell>
          <cell r="K123" t="str">
            <v>General Expeses</v>
          </cell>
          <cell r="L123" t="str">
            <v>General, Admin &amp; Marketing Expenses</v>
          </cell>
          <cell r="M123" t="str">
            <v>General Expenses</v>
          </cell>
          <cell r="N123" t="str">
            <v>CHC</v>
          </cell>
        </row>
        <row r="124">
          <cell r="E124">
            <v>10000</v>
          </cell>
          <cell r="F124" t="str">
            <v>Dr.</v>
          </cell>
          <cell r="G124">
            <v>45859</v>
          </cell>
          <cell r="H124" t="str">
            <v>ABL-CHC-19</v>
          </cell>
          <cell r="I124" t="str">
            <v>OTHER BUSINESS</v>
          </cell>
          <cell r="J124" t="str">
            <v>RECEIPTS</v>
          </cell>
          <cell r="K124" t="str">
            <v>General Expeses</v>
          </cell>
          <cell r="L124" t="str">
            <v>INCOME</v>
          </cell>
          <cell r="M124" t="str">
            <v>INCOME</v>
          </cell>
          <cell r="N124" t="str">
            <v>CHC</v>
          </cell>
        </row>
        <row r="125">
          <cell r="E125">
            <v>-690000</v>
          </cell>
          <cell r="F125"/>
          <cell r="G125">
            <v>45860</v>
          </cell>
          <cell r="H125" t="str">
            <v>ABL-CHC-19</v>
          </cell>
          <cell r="I125" t="str">
            <v>OTHER BUSINESS</v>
          </cell>
          <cell r="J125" t="str">
            <v>Payment</v>
          </cell>
          <cell r="K125" t="str">
            <v>General Expeses</v>
          </cell>
          <cell r="L125" t="str">
            <v>Registration &amp; Affiliation</v>
          </cell>
          <cell r="M125" t="str">
            <v>Registration &amp; Affiliation</v>
          </cell>
          <cell r="N125" t="str">
            <v>CHC</v>
          </cell>
        </row>
        <row r="126">
          <cell r="E126">
            <v>-84000</v>
          </cell>
          <cell r="G126">
            <v>45860</v>
          </cell>
          <cell r="H126" t="str">
            <v>ABL-CHC-19</v>
          </cell>
          <cell r="I126" t="str">
            <v>OTHER BUSINESS</v>
          </cell>
          <cell r="J126" t="str">
            <v>Payment</v>
          </cell>
          <cell r="K126" t="str">
            <v>General Expeses</v>
          </cell>
          <cell r="L126" t="str">
            <v>General, Admin &amp; Marketing Expenses</v>
          </cell>
          <cell r="M126" t="str">
            <v>Books</v>
          </cell>
          <cell r="N126" t="str">
            <v>CHC</v>
          </cell>
        </row>
        <row r="127">
          <cell r="E127">
            <v>-84000</v>
          </cell>
          <cell r="G127">
            <v>45860</v>
          </cell>
          <cell r="H127" t="str">
            <v>ABL-CHC-19</v>
          </cell>
          <cell r="I127" t="str">
            <v>OTHER BUSINESS</v>
          </cell>
          <cell r="J127" t="str">
            <v>Payment</v>
          </cell>
          <cell r="K127" t="str">
            <v>General Expeses</v>
          </cell>
          <cell r="L127" t="str">
            <v>Advertisement Charges</v>
          </cell>
          <cell r="M127" t="str">
            <v>Advertisement Charges</v>
          </cell>
          <cell r="N127" t="str">
            <v>CHC</v>
          </cell>
        </row>
        <row r="128">
          <cell r="E128">
            <v>90000</v>
          </cell>
          <cell r="F128"/>
          <cell r="G128">
            <v>45862</v>
          </cell>
          <cell r="H128" t="str">
            <v>ABL-CHC-19</v>
          </cell>
          <cell r="I128" t="str">
            <v>OTHER BUSINESS</v>
          </cell>
          <cell r="J128" t="str">
            <v>RECEIPTS</v>
          </cell>
          <cell r="K128" t="str">
            <v>General Expenses</v>
          </cell>
          <cell r="L128" t="str">
            <v>INCOME</v>
          </cell>
          <cell r="M128" t="str">
            <v>INCOME</v>
          </cell>
          <cell r="N128" t="str">
            <v>CHC</v>
          </cell>
        </row>
        <row r="129">
          <cell r="E129">
            <v>50000</v>
          </cell>
          <cell r="G129">
            <v>45863</v>
          </cell>
          <cell r="H129" t="str">
            <v>ABL-CHC-19</v>
          </cell>
          <cell r="I129" t="str">
            <v>OTHER BUSINESS</v>
          </cell>
          <cell r="J129" t="str">
            <v>RECEIPTS</v>
          </cell>
          <cell r="K129" t="str">
            <v>General Expeses</v>
          </cell>
          <cell r="L129" t="str">
            <v>Income</v>
          </cell>
          <cell r="M129" t="str">
            <v>Income</v>
          </cell>
          <cell r="N129" t="str">
            <v>CHC</v>
          </cell>
        </row>
        <row r="130">
          <cell r="E130">
            <v>-15000</v>
          </cell>
          <cell r="F130" t="str">
            <v>Cr.</v>
          </cell>
          <cell r="G130">
            <v>45866</v>
          </cell>
          <cell r="H130" t="str">
            <v>ABL-CHC-19</v>
          </cell>
          <cell r="I130" t="str">
            <v>OTHER BUSINESS</v>
          </cell>
          <cell r="J130" t="str">
            <v>Payment</v>
          </cell>
          <cell r="K130" t="str">
            <v>General Expeses</v>
          </cell>
          <cell r="L130" t="str">
            <v>General, Admin &amp; Marketing Expenses</v>
          </cell>
          <cell r="M130" t="str">
            <v>General Expenses</v>
          </cell>
          <cell r="N130" t="str">
            <v>CHC</v>
          </cell>
        </row>
        <row r="131">
          <cell r="E131">
            <v>-246021</v>
          </cell>
          <cell r="F131" t="str">
            <v>Cr.</v>
          </cell>
          <cell r="G131">
            <v>45866</v>
          </cell>
          <cell r="H131" t="str">
            <v>ABL-CHC-19</v>
          </cell>
          <cell r="I131" t="str">
            <v>OTHER BUSINESS</v>
          </cell>
          <cell r="J131" t="str">
            <v>Payment</v>
          </cell>
          <cell r="K131" t="str">
            <v>General Expeses</v>
          </cell>
          <cell r="L131" t="str">
            <v>Utilities</v>
          </cell>
          <cell r="M131" t="str">
            <v>Electricity</v>
          </cell>
          <cell r="N131" t="str">
            <v>CHC</v>
          </cell>
        </row>
        <row r="132">
          <cell r="E132">
            <v>-1968</v>
          </cell>
          <cell r="F132" t="str">
            <v>Cr.</v>
          </cell>
          <cell r="G132">
            <v>45866</v>
          </cell>
          <cell r="H132" t="str">
            <v>ABL-CHC-19</v>
          </cell>
          <cell r="I132" t="str">
            <v>OTHER BUSINESS</v>
          </cell>
          <cell r="J132" t="str">
            <v>Payment</v>
          </cell>
          <cell r="K132" t="str">
            <v>General Expeses</v>
          </cell>
          <cell r="L132" t="str">
            <v>Advertisement Charges</v>
          </cell>
          <cell r="M132" t="str">
            <v>Advertisement Charges</v>
          </cell>
          <cell r="N132" t="str">
            <v>CHC</v>
          </cell>
        </row>
        <row r="133">
          <cell r="E133">
            <v>-340000</v>
          </cell>
          <cell r="F133" t="str">
            <v>Cr.</v>
          </cell>
          <cell r="G133">
            <v>45867</v>
          </cell>
          <cell r="H133" t="str">
            <v>ABL-CHC-19</v>
          </cell>
          <cell r="I133" t="str">
            <v>OTHER BUSINESS</v>
          </cell>
          <cell r="J133" t="str">
            <v>Payment</v>
          </cell>
          <cell r="K133" t="str">
            <v>General Expeses</v>
          </cell>
          <cell r="L133" t="str">
            <v>Utilities</v>
          </cell>
          <cell r="M133" t="str">
            <v>Electricity</v>
          </cell>
          <cell r="N133" t="str">
            <v>CHC</v>
          </cell>
        </row>
        <row r="134">
          <cell r="E134">
            <v>-2720</v>
          </cell>
          <cell r="F134" t="str">
            <v>Cr.</v>
          </cell>
          <cell r="G134">
            <v>45867</v>
          </cell>
          <cell r="H134" t="str">
            <v>ABL-CHC-19</v>
          </cell>
          <cell r="I134" t="str">
            <v>OTHER BUSINESS</v>
          </cell>
          <cell r="J134" t="str">
            <v>Payment</v>
          </cell>
          <cell r="K134" t="str">
            <v>General Expeses</v>
          </cell>
          <cell r="L134" t="str">
            <v>Utilities</v>
          </cell>
          <cell r="M134" t="str">
            <v>Electricity</v>
          </cell>
          <cell r="N134" t="str">
            <v>CHC</v>
          </cell>
        </row>
        <row r="135">
          <cell r="E135">
            <v>2500000</v>
          </cell>
          <cell r="F135" t="str">
            <v>Dr.</v>
          </cell>
          <cell r="G135">
            <v>45869</v>
          </cell>
          <cell r="H135" t="str">
            <v>ABL-CHC-19</v>
          </cell>
          <cell r="I135" t="str">
            <v>OTHER BUSINESS</v>
          </cell>
          <cell r="J135" t="str">
            <v>iNterbank</v>
          </cell>
          <cell r="K135" t="str">
            <v>General Expeses</v>
          </cell>
          <cell r="L135" t="str">
            <v>iNterbank</v>
          </cell>
          <cell r="M135" t="str">
            <v>iNterbank</v>
          </cell>
          <cell r="N135" t="str">
            <v>CHC</v>
          </cell>
        </row>
        <row r="136">
          <cell r="E136">
            <v>70000</v>
          </cell>
          <cell r="F136" t="str">
            <v>Dr.</v>
          </cell>
          <cell r="G136">
            <v>45869</v>
          </cell>
          <cell r="H136" t="str">
            <v>ABL-CHC-19</v>
          </cell>
          <cell r="I136" t="str">
            <v>OTHER BUSINESS</v>
          </cell>
          <cell r="J136" t="str">
            <v>RECEIPTS</v>
          </cell>
          <cell r="K136" t="str">
            <v>General Expeses</v>
          </cell>
          <cell r="L136" t="str">
            <v>INCOME</v>
          </cell>
          <cell r="M136" t="str">
            <v>INCOME</v>
          </cell>
          <cell r="N136" t="str">
            <v>CHC</v>
          </cell>
        </row>
        <row r="137">
          <cell r="E137">
            <v>-2393048</v>
          </cell>
          <cell r="F137" t="str">
            <v>Cr.</v>
          </cell>
          <cell r="G137">
            <v>45869</v>
          </cell>
          <cell r="H137" t="str">
            <v>ABL-CHC-19</v>
          </cell>
          <cell r="I137" t="str">
            <v>OTHER BUSINESS</v>
          </cell>
          <cell r="J137" t="str">
            <v>Payment</v>
          </cell>
          <cell r="K137" t="str">
            <v>General Expenses</v>
          </cell>
          <cell r="L137" t="str">
            <v>Utilities</v>
          </cell>
          <cell r="M137" t="str">
            <v>Electricity</v>
          </cell>
          <cell r="N137" t="str">
            <v>CHC</v>
          </cell>
        </row>
        <row r="138">
          <cell r="E138">
            <v>130000</v>
          </cell>
          <cell r="F138" t="str">
            <v>Dr.</v>
          </cell>
          <cell r="G138">
            <v>45870</v>
          </cell>
          <cell r="H138" t="str">
            <v>ABL-CHC-19</v>
          </cell>
          <cell r="I138" t="str">
            <v>OTHER BUSINESS</v>
          </cell>
          <cell r="J138" t="str">
            <v>RECEIPTS</v>
          </cell>
          <cell r="K138" t="str">
            <v>General Expeses</v>
          </cell>
          <cell r="L138" t="str">
            <v>Income</v>
          </cell>
          <cell r="M138" t="str">
            <v>Income</v>
          </cell>
          <cell r="N138" t="str">
            <v>CHC</v>
          </cell>
        </row>
        <row r="139">
          <cell r="E139">
            <v>159000</v>
          </cell>
          <cell r="F139" t="str">
            <v>Dr.</v>
          </cell>
          <cell r="G139">
            <v>45873</v>
          </cell>
          <cell r="H139" t="str">
            <v>ABL-CHC-19</v>
          </cell>
          <cell r="I139" t="str">
            <v>OTHER BUSINESS</v>
          </cell>
          <cell r="J139" t="str">
            <v>RECEIPTS</v>
          </cell>
          <cell r="K139" t="str">
            <v>General Expeses</v>
          </cell>
          <cell r="L139" t="str">
            <v>Income</v>
          </cell>
          <cell r="M139" t="str">
            <v>Income</v>
          </cell>
          <cell r="N139" t="str">
            <v>CHC</v>
          </cell>
        </row>
        <row r="140">
          <cell r="E140">
            <v>-90000</v>
          </cell>
          <cell r="F140"/>
          <cell r="G140">
            <v>45875</v>
          </cell>
          <cell r="H140" t="str">
            <v>ABL-CHC-19</v>
          </cell>
          <cell r="I140" t="str">
            <v>OTHER BUSINESS</v>
          </cell>
          <cell r="J140" t="str">
            <v>Payment</v>
          </cell>
          <cell r="K140" t="str">
            <v>General Expeses</v>
          </cell>
          <cell r="L140" t="str">
            <v>General, Admin &amp; Marketing Expenses</v>
          </cell>
          <cell r="M140" t="str">
            <v>Stationery</v>
          </cell>
          <cell r="N140" t="str">
            <v>CHC</v>
          </cell>
        </row>
        <row r="141">
          <cell r="E141">
            <v>120000</v>
          </cell>
          <cell r="F141"/>
          <cell r="G141">
            <v>45875</v>
          </cell>
          <cell r="H141" t="str">
            <v>ABL-CHC-19</v>
          </cell>
          <cell r="I141" t="str">
            <v>OTHER BUSINESS</v>
          </cell>
          <cell r="J141" t="str">
            <v>RECEIPTS</v>
          </cell>
          <cell r="K141" t="str">
            <v>General Expeses</v>
          </cell>
          <cell r="L141" t="str">
            <v>Income</v>
          </cell>
          <cell r="M141" t="str">
            <v>Income</v>
          </cell>
          <cell r="N141" t="str">
            <v>CHC</v>
          </cell>
        </row>
        <row r="142">
          <cell r="E142">
            <v>120000</v>
          </cell>
          <cell r="F142"/>
          <cell r="G142">
            <v>45875</v>
          </cell>
          <cell r="H142" t="str">
            <v>ABL-CHC-19</v>
          </cell>
          <cell r="I142" t="str">
            <v>OTHER BUSINESS</v>
          </cell>
          <cell r="J142" t="str">
            <v>RECEIPTS</v>
          </cell>
          <cell r="K142" t="str">
            <v>General Expeses</v>
          </cell>
          <cell r="L142" t="str">
            <v>Income</v>
          </cell>
          <cell r="M142" t="str">
            <v>Income</v>
          </cell>
          <cell r="N142" t="str">
            <v>CHC</v>
          </cell>
        </row>
        <row r="143">
          <cell r="E143">
            <v>45000</v>
          </cell>
          <cell r="F143"/>
          <cell r="G143">
            <v>45876</v>
          </cell>
          <cell r="H143" t="str">
            <v>ABL-CHC-19</v>
          </cell>
          <cell r="I143" t="str">
            <v>OTHER BUSINESS</v>
          </cell>
          <cell r="J143" t="str">
            <v>RECEIPTS</v>
          </cell>
          <cell r="K143" t="str">
            <v>General Expeses</v>
          </cell>
          <cell r="L143" t="str">
            <v>INCOME</v>
          </cell>
          <cell r="M143" t="str">
            <v>INCOME</v>
          </cell>
          <cell r="N143" t="str">
            <v>CHC</v>
          </cell>
        </row>
        <row r="144">
          <cell r="E144">
            <v>-166439</v>
          </cell>
          <cell r="F144"/>
          <cell r="G144">
            <v>45877</v>
          </cell>
          <cell r="H144" t="str">
            <v>ABL-CHC-19</v>
          </cell>
          <cell r="I144" t="str">
            <v>OTHER BUSINESS</v>
          </cell>
          <cell r="J144" t="str">
            <v>Payment</v>
          </cell>
          <cell r="K144" t="str">
            <v>General Expeses</v>
          </cell>
          <cell r="L144" t="str">
            <v>General, Admin &amp; Marketing Expenses</v>
          </cell>
          <cell r="M144" t="str">
            <v>General Expenses</v>
          </cell>
          <cell r="N144" t="str">
            <v>CHC</v>
          </cell>
        </row>
        <row r="145">
          <cell r="E145">
            <v>290000</v>
          </cell>
          <cell r="F145"/>
          <cell r="G145">
            <v>45877</v>
          </cell>
          <cell r="H145" t="str">
            <v>ABL-CHC-19</v>
          </cell>
          <cell r="I145" t="str">
            <v>OTHER BUSINESS</v>
          </cell>
          <cell r="J145" t="str">
            <v>RECEIPTS</v>
          </cell>
          <cell r="K145" t="str">
            <v>General Expeses</v>
          </cell>
          <cell r="L145" t="str">
            <v>INCOME</v>
          </cell>
          <cell r="M145" t="str">
            <v>INCOME</v>
          </cell>
          <cell r="N145" t="str">
            <v>CHC</v>
          </cell>
        </row>
        <row r="146">
          <cell r="E146">
            <v>40000</v>
          </cell>
          <cell r="F146"/>
          <cell r="G146">
            <v>45878</v>
          </cell>
          <cell r="H146" t="str">
            <v>ABL-CHC-19</v>
          </cell>
          <cell r="I146" t="str">
            <v>OTHER BUSINESS</v>
          </cell>
          <cell r="J146" t="str">
            <v>RECEIPTS</v>
          </cell>
          <cell r="K146" t="str">
            <v>General Expeses</v>
          </cell>
          <cell r="L146" t="str">
            <v>INCOME</v>
          </cell>
          <cell r="M146" t="str">
            <v>INCOME</v>
          </cell>
          <cell r="N146" t="str">
            <v>CHC</v>
          </cell>
        </row>
        <row r="147">
          <cell r="E147">
            <v>559500</v>
          </cell>
          <cell r="F147" t="str">
            <v>Dr.</v>
          </cell>
          <cell r="G147">
            <v>45880</v>
          </cell>
          <cell r="H147" t="str">
            <v>ABL-CHC-19</v>
          </cell>
          <cell r="I147" t="str">
            <v>OTHER BUSINESS</v>
          </cell>
          <cell r="J147" t="str">
            <v>RECEIPTS</v>
          </cell>
          <cell r="K147" t="str">
            <v>General Expeses</v>
          </cell>
          <cell r="L147" t="str">
            <v>INCOME</v>
          </cell>
          <cell r="M147" t="str">
            <v>INCOME</v>
          </cell>
          <cell r="N147" t="str">
            <v>CHC</v>
          </cell>
        </row>
        <row r="148">
          <cell r="E148">
            <v>-10575</v>
          </cell>
          <cell r="F148" t="str">
            <v>Cr.</v>
          </cell>
          <cell r="G148">
            <v>45881</v>
          </cell>
          <cell r="H148" t="str">
            <v>ABL-CHC-19</v>
          </cell>
          <cell r="I148" t="str">
            <v>OTHER BUSINESS</v>
          </cell>
          <cell r="J148" t="str">
            <v>Payment</v>
          </cell>
          <cell r="K148" t="str">
            <v>General Expeses</v>
          </cell>
          <cell r="L148" t="str">
            <v>Utilities</v>
          </cell>
          <cell r="M148" t="str">
            <v>Electricity</v>
          </cell>
          <cell r="N148" t="str">
            <v>CHC</v>
          </cell>
        </row>
        <row r="149">
          <cell r="E149">
            <v>-23</v>
          </cell>
          <cell r="F149" t="str">
            <v>Cr.</v>
          </cell>
          <cell r="G149">
            <v>45881</v>
          </cell>
          <cell r="H149" t="str">
            <v>ABL-CHC-19</v>
          </cell>
          <cell r="I149" t="str">
            <v>OTHER BUSINESS</v>
          </cell>
          <cell r="J149" t="str">
            <v>Payment</v>
          </cell>
          <cell r="K149" t="str">
            <v>General Expeses</v>
          </cell>
          <cell r="L149" t="str">
            <v>FBR Payment</v>
          </cell>
          <cell r="M149" t="str">
            <v>FBR Payment</v>
          </cell>
          <cell r="N149" t="str">
            <v>CHC</v>
          </cell>
        </row>
        <row r="150">
          <cell r="E150">
            <v>887500</v>
          </cell>
          <cell r="F150" t="str">
            <v>Dr.</v>
          </cell>
          <cell r="G150">
            <v>45888</v>
          </cell>
          <cell r="H150" t="str">
            <v>ABL-CHC-19</v>
          </cell>
          <cell r="I150" t="str">
            <v>OTHER BUSINESS</v>
          </cell>
          <cell r="J150" t="str">
            <v>RECEIPTS</v>
          </cell>
          <cell r="K150" t="str">
            <v>General Expeses</v>
          </cell>
          <cell r="L150" t="str">
            <v>INCOME</v>
          </cell>
          <cell r="M150" t="str">
            <v>INCOME</v>
          </cell>
          <cell r="N150" t="str">
            <v>CHC</v>
          </cell>
        </row>
        <row r="151">
          <cell r="E151">
            <v>-433500</v>
          </cell>
          <cell r="F151"/>
          <cell r="G151">
            <v>45889</v>
          </cell>
          <cell r="H151" t="str">
            <v>ABL-CHC-19</v>
          </cell>
          <cell r="I151" t="str">
            <v>OTHER BUSINESS</v>
          </cell>
          <cell r="J151" t="str">
            <v>Payment</v>
          </cell>
          <cell r="K151" t="str">
            <v>General Expeses</v>
          </cell>
          <cell r="L151" t="str">
            <v>FBR Payment</v>
          </cell>
          <cell r="M151" t="str">
            <v>FBR Payment</v>
          </cell>
          <cell r="N151" t="str">
            <v>CHC</v>
          </cell>
        </row>
        <row r="152">
          <cell r="E152">
            <v>-3468</v>
          </cell>
          <cell r="F152"/>
          <cell r="G152">
            <v>45889</v>
          </cell>
          <cell r="H152" t="str">
            <v>ABL-CHC-19</v>
          </cell>
          <cell r="I152" t="str">
            <v>OTHER BUSINESS</v>
          </cell>
          <cell r="J152" t="str">
            <v>Payment</v>
          </cell>
          <cell r="K152" t="str">
            <v>General Expeses</v>
          </cell>
          <cell r="L152" t="str">
            <v>FBR Payment</v>
          </cell>
          <cell r="M152" t="str">
            <v>FBR Payment</v>
          </cell>
          <cell r="N152" t="str">
            <v>CHC</v>
          </cell>
        </row>
        <row r="153">
          <cell r="E153">
            <v>-195007</v>
          </cell>
          <cell r="F153"/>
          <cell r="G153">
            <v>45891</v>
          </cell>
          <cell r="H153" t="str">
            <v>ABL-CHC-19</v>
          </cell>
          <cell r="I153" t="str">
            <v>OTHER BUSINESS</v>
          </cell>
          <cell r="J153" t="str">
            <v>Payment</v>
          </cell>
          <cell r="K153" t="str">
            <v>General Expeses</v>
          </cell>
          <cell r="L153" t="str">
            <v>General, Admin &amp; Marketing Expenses</v>
          </cell>
          <cell r="M153" t="str">
            <v>Repair &amp; maintenance</v>
          </cell>
          <cell r="N153" t="str">
            <v>CHC</v>
          </cell>
        </row>
        <row r="154">
          <cell r="E154">
            <v>-1560</v>
          </cell>
          <cell r="F154"/>
          <cell r="G154">
            <v>45891</v>
          </cell>
          <cell r="H154" t="str">
            <v>ABL-CHC-19</v>
          </cell>
          <cell r="I154" t="str">
            <v>OTHER BUSINESS</v>
          </cell>
          <cell r="J154" t="str">
            <v>Payment</v>
          </cell>
          <cell r="K154" t="str">
            <v>General Expenses</v>
          </cell>
          <cell r="L154" t="str">
            <v>FBR Payment</v>
          </cell>
          <cell r="M154" t="str">
            <v>FBR Payment</v>
          </cell>
          <cell r="N154" t="str">
            <v>CHC</v>
          </cell>
        </row>
        <row r="155">
          <cell r="E155">
            <v>3000</v>
          </cell>
          <cell r="F155"/>
          <cell r="G155">
            <v>45891</v>
          </cell>
          <cell r="H155" t="str">
            <v>ABL-CHC-19</v>
          </cell>
          <cell r="I155" t="str">
            <v>OTHER BUSINESS</v>
          </cell>
          <cell r="J155" t="str">
            <v>RECEIPTS</v>
          </cell>
          <cell r="K155" t="str">
            <v>General Expeses</v>
          </cell>
          <cell r="L155" t="str">
            <v>INCOME</v>
          </cell>
          <cell r="M155" t="str">
            <v>INCOME</v>
          </cell>
          <cell r="N155" t="str">
            <v>CHC</v>
          </cell>
        </row>
        <row r="156">
          <cell r="E156">
            <v>-504000</v>
          </cell>
          <cell r="F156"/>
          <cell r="G156">
            <v>45892</v>
          </cell>
          <cell r="H156" t="str">
            <v>ABL-CHC-19</v>
          </cell>
          <cell r="I156" t="str">
            <v>OTHER BUSINESS</v>
          </cell>
          <cell r="J156" t="str">
            <v>Payment</v>
          </cell>
          <cell r="K156" t="str">
            <v>General Expenses</v>
          </cell>
          <cell r="L156" t="str">
            <v>FBR Payment</v>
          </cell>
          <cell r="M156" t="str">
            <v>FBR Payment</v>
          </cell>
          <cell r="N156" t="str">
            <v>CHC</v>
          </cell>
        </row>
        <row r="157">
          <cell r="E157">
            <v>750190</v>
          </cell>
          <cell r="F157" t="str">
            <v>Dr.</v>
          </cell>
          <cell r="G157">
            <v>45894</v>
          </cell>
          <cell r="H157" t="str">
            <v>ABL-CHC-19</v>
          </cell>
          <cell r="I157" t="str">
            <v>OTHER BUSINESS</v>
          </cell>
          <cell r="J157" t="str">
            <v>RECEIPTS</v>
          </cell>
          <cell r="K157" t="str">
            <v>General Expenses</v>
          </cell>
          <cell r="L157" t="str">
            <v>INCOME</v>
          </cell>
          <cell r="M157" t="str">
            <v>INCOME</v>
          </cell>
          <cell r="N157" t="str">
            <v>CHC</v>
          </cell>
        </row>
        <row r="158">
          <cell r="E158">
            <v>-504000</v>
          </cell>
          <cell r="F158"/>
          <cell r="G158">
            <v>45895</v>
          </cell>
          <cell r="H158" t="str">
            <v>ABL-CHC-19</v>
          </cell>
          <cell r="I158" t="str">
            <v>OTHER BUSINESS</v>
          </cell>
          <cell r="J158" t="str">
            <v>Payment</v>
          </cell>
          <cell r="K158" t="str">
            <v>General Expenses</v>
          </cell>
          <cell r="L158" t="str">
            <v>FBR Payment</v>
          </cell>
          <cell r="M158" t="str">
            <v>FBR Payment</v>
          </cell>
          <cell r="N158" t="str">
            <v>CHC</v>
          </cell>
        </row>
        <row r="159">
          <cell r="E159">
            <v>-84000</v>
          </cell>
          <cell r="F159"/>
          <cell r="G159">
            <v>45895</v>
          </cell>
          <cell r="H159" t="str">
            <v>ABL-CHC-19</v>
          </cell>
          <cell r="I159" t="str">
            <v>OTHER BUSINESS</v>
          </cell>
          <cell r="J159" t="str">
            <v>Payment</v>
          </cell>
          <cell r="K159" t="str">
            <v>General Expenses</v>
          </cell>
          <cell r="L159" t="str">
            <v>FBR Payment</v>
          </cell>
          <cell r="M159" t="str">
            <v>FBR Payment</v>
          </cell>
          <cell r="N159" t="str">
            <v>CHC</v>
          </cell>
        </row>
        <row r="160">
          <cell r="E160">
            <v>-84000</v>
          </cell>
          <cell r="F160"/>
          <cell r="G160">
            <v>45895</v>
          </cell>
          <cell r="H160" t="str">
            <v>ABL-CHC-19</v>
          </cell>
          <cell r="I160" t="str">
            <v>OTHER BUSINESS</v>
          </cell>
          <cell r="J160" t="str">
            <v>Payment</v>
          </cell>
          <cell r="K160" t="str">
            <v>General Expenses</v>
          </cell>
          <cell r="L160" t="str">
            <v>FBR Payment</v>
          </cell>
          <cell r="M160" t="str">
            <v>FBR Payment</v>
          </cell>
          <cell r="N160" t="str">
            <v>CHC</v>
          </cell>
        </row>
        <row r="161">
          <cell r="E161">
            <v>-84000</v>
          </cell>
          <cell r="F161"/>
          <cell r="G161">
            <v>45895</v>
          </cell>
          <cell r="H161" t="str">
            <v>ABL-CHC-19</v>
          </cell>
          <cell r="I161" t="str">
            <v>OTHER BUSINESS</v>
          </cell>
          <cell r="J161" t="str">
            <v>Payment</v>
          </cell>
          <cell r="K161" t="str">
            <v>General Expeses</v>
          </cell>
          <cell r="L161" t="str">
            <v>FBR Payment</v>
          </cell>
          <cell r="M161" t="str">
            <v>FBR Payment</v>
          </cell>
          <cell r="N161" t="str">
            <v>CHC</v>
          </cell>
        </row>
        <row r="162">
          <cell r="E162">
            <v>-152248</v>
          </cell>
          <cell r="F162"/>
          <cell r="G162">
            <v>45898</v>
          </cell>
          <cell r="H162" t="str">
            <v>ABL-CHC-19</v>
          </cell>
          <cell r="I162" t="str">
            <v>OTHER BUSINESS</v>
          </cell>
          <cell r="J162" t="str">
            <v>Payment</v>
          </cell>
          <cell r="K162" t="str">
            <v>General Expeses</v>
          </cell>
          <cell r="L162" t="str">
            <v>FBR Payment</v>
          </cell>
          <cell r="M162" t="str">
            <v>FBR Payment</v>
          </cell>
          <cell r="N162" t="str">
            <v>CHC</v>
          </cell>
        </row>
        <row r="163">
          <cell r="E163">
            <v>119000</v>
          </cell>
          <cell r="F163"/>
          <cell r="G163">
            <v>45898</v>
          </cell>
          <cell r="H163" t="str">
            <v>ABL-CHC-19</v>
          </cell>
          <cell r="I163" t="str">
            <v>OTHER BUSINESS</v>
          </cell>
          <cell r="J163" t="str">
            <v>RECEIPTS</v>
          </cell>
          <cell r="K163" t="str">
            <v>General Expeses</v>
          </cell>
          <cell r="L163" t="str">
            <v>INCOME</v>
          </cell>
          <cell r="M163" t="str">
            <v>INCOME</v>
          </cell>
          <cell r="N163" t="str">
            <v>CHC</v>
          </cell>
        </row>
        <row r="164">
          <cell r="E164">
            <v>0</v>
          </cell>
          <cell r="F164"/>
          <cell r="G164">
            <v>45901</v>
          </cell>
          <cell r="H164" t="str">
            <v>ABL-CHC-19</v>
          </cell>
          <cell r="I164" t="str">
            <v>OTHER BUSINESS</v>
          </cell>
          <cell r="J164"/>
        </row>
        <row r="165">
          <cell r="E165">
            <v>1000000</v>
          </cell>
          <cell r="F165"/>
          <cell r="G165">
            <v>45901</v>
          </cell>
          <cell r="H165" t="str">
            <v>ABL-CHC-19</v>
          </cell>
          <cell r="I165" t="str">
            <v>OTHER BUSINESS</v>
          </cell>
          <cell r="J165" t="str">
            <v>iNterbank</v>
          </cell>
          <cell r="K165" t="str">
            <v>General Expeses</v>
          </cell>
          <cell r="L165" t="str">
            <v>Intercompany Loan</v>
          </cell>
          <cell r="M165" t="str">
            <v>Intercompany Loan</v>
          </cell>
          <cell r="N165" t="str">
            <v>CHC</v>
          </cell>
        </row>
        <row r="166">
          <cell r="E166">
            <v>-2322670</v>
          </cell>
          <cell r="F166"/>
          <cell r="G166">
            <v>45901</v>
          </cell>
          <cell r="H166" t="str">
            <v>ABL-CHC-19</v>
          </cell>
          <cell r="I166" t="str">
            <v>OTHER BUSINESS</v>
          </cell>
          <cell r="J166" t="str">
            <v>Payment</v>
          </cell>
          <cell r="K166" t="str">
            <v>General Expeses</v>
          </cell>
          <cell r="L166" t="str">
            <v>FBR Payment</v>
          </cell>
          <cell r="M166" t="str">
            <v>FBR Payment</v>
          </cell>
          <cell r="N166" t="str">
            <v>CHC</v>
          </cell>
        </row>
        <row r="167">
          <cell r="E167">
            <v>220000</v>
          </cell>
          <cell r="F167"/>
          <cell r="G167">
            <v>45902</v>
          </cell>
          <cell r="H167" t="str">
            <v>ABL-CHC-19</v>
          </cell>
          <cell r="I167" t="str">
            <v>OTHER BUSINESS</v>
          </cell>
          <cell r="J167" t="str">
            <v>RECEIPTS</v>
          </cell>
          <cell r="K167" t="str">
            <v>General Expeses</v>
          </cell>
          <cell r="L167" t="str">
            <v>INCOME</v>
          </cell>
          <cell r="M167" t="str">
            <v>INCOME</v>
          </cell>
          <cell r="N167" t="str">
            <v>CHC</v>
          </cell>
        </row>
        <row r="168">
          <cell r="E168">
            <v>55000</v>
          </cell>
          <cell r="F168"/>
          <cell r="G168">
            <v>45903</v>
          </cell>
          <cell r="H168" t="str">
            <v>ABL-CHC-19</v>
          </cell>
          <cell r="I168" t="str">
            <v>OTHER BUSINESS</v>
          </cell>
          <cell r="J168" t="str">
            <v>RECEIPTS</v>
          </cell>
          <cell r="K168" t="str">
            <v>General Expeses</v>
          </cell>
          <cell r="L168" t="str">
            <v>Income</v>
          </cell>
          <cell r="M168" t="str">
            <v>Income</v>
          </cell>
          <cell r="N168" t="str">
            <v>CHC</v>
          </cell>
        </row>
        <row r="169">
          <cell r="E169">
            <v>80000</v>
          </cell>
          <cell r="F169"/>
          <cell r="G169">
            <v>45904</v>
          </cell>
          <cell r="H169" t="str">
            <v>ABL-CHC-19</v>
          </cell>
          <cell r="I169" t="str">
            <v>OTHER BUSINESS</v>
          </cell>
          <cell r="J169" t="str">
            <v>RECEIPTS</v>
          </cell>
          <cell r="K169" t="str">
            <v>General Expenses</v>
          </cell>
          <cell r="L169" t="str">
            <v>INCOME</v>
          </cell>
          <cell r="M169" t="str">
            <v>INCOME</v>
          </cell>
          <cell r="N169" t="str">
            <v>CHC</v>
          </cell>
        </row>
        <row r="170">
          <cell r="E170">
            <v>220000</v>
          </cell>
          <cell r="F170" t="str">
            <v>Dr.</v>
          </cell>
          <cell r="G170">
            <v>45905</v>
          </cell>
          <cell r="H170" t="str">
            <v>ABL-CHC-19</v>
          </cell>
          <cell r="I170" t="str">
            <v>OTHER BUSINESS</v>
          </cell>
          <cell r="J170" t="str">
            <v>RECEIPTS</v>
          </cell>
          <cell r="K170" t="str">
            <v>General Expeses</v>
          </cell>
          <cell r="L170" t="str">
            <v>INCOME</v>
          </cell>
          <cell r="M170" t="str">
            <v>INCOME</v>
          </cell>
          <cell r="N170" t="str">
            <v>CHC</v>
          </cell>
        </row>
        <row r="171">
          <cell r="E171">
            <v>200000</v>
          </cell>
          <cell r="F171" t="str">
            <v>Dr.</v>
          </cell>
          <cell r="G171">
            <v>45905</v>
          </cell>
          <cell r="H171" t="str">
            <v>ABL-CHC-19</v>
          </cell>
          <cell r="I171" t="str">
            <v>OTHER BUSINESS</v>
          </cell>
          <cell r="J171" t="str">
            <v>RECEIPTS</v>
          </cell>
          <cell r="K171" t="str">
            <v>General Expeses</v>
          </cell>
          <cell r="L171" t="str">
            <v>Income</v>
          </cell>
          <cell r="M171" t="str">
            <v>Income</v>
          </cell>
          <cell r="N171" t="str">
            <v>CHC</v>
          </cell>
        </row>
        <row r="172">
          <cell r="E172">
            <v>240000</v>
          </cell>
          <cell r="F172"/>
          <cell r="G172">
            <v>45908</v>
          </cell>
          <cell r="H172" t="str">
            <v>ABL-CHC-19</v>
          </cell>
          <cell r="I172" t="str">
            <v>OTHER BUSINESS</v>
          </cell>
          <cell r="J172" t="str">
            <v>RECEIPTS</v>
          </cell>
          <cell r="K172" t="str">
            <v>General Expeses</v>
          </cell>
          <cell r="L172" t="str">
            <v>Income</v>
          </cell>
          <cell r="M172" t="str">
            <v>Income</v>
          </cell>
          <cell r="N172" t="str">
            <v>CHC</v>
          </cell>
        </row>
        <row r="173">
          <cell r="E173">
            <v>200000</v>
          </cell>
          <cell r="F173"/>
          <cell r="G173">
            <v>45910</v>
          </cell>
          <cell r="H173" t="str">
            <v>ABL-CHC-19</v>
          </cell>
          <cell r="I173" t="str">
            <v>OTHER BUSINESS</v>
          </cell>
          <cell r="J173" t="str">
            <v>RECEIPTS</v>
          </cell>
          <cell r="K173" t="str">
            <v>General Expeses</v>
          </cell>
          <cell r="L173" t="str">
            <v>Income</v>
          </cell>
          <cell r="M173" t="str">
            <v>Income</v>
          </cell>
          <cell r="N173" t="str">
            <v>CHC</v>
          </cell>
        </row>
        <row r="174">
          <cell r="E174">
            <v>-10575</v>
          </cell>
          <cell r="F174"/>
          <cell r="G174">
            <v>45911</v>
          </cell>
          <cell r="H174" t="str">
            <v>ABL-CHC-19</v>
          </cell>
          <cell r="I174" t="str">
            <v>OTHER BUSINESS</v>
          </cell>
          <cell r="J174" t="str">
            <v>Payment</v>
          </cell>
          <cell r="K174" t="str">
            <v>General Expeses</v>
          </cell>
          <cell r="L174" t="str">
            <v>FBR Payment</v>
          </cell>
          <cell r="M174" t="str">
            <v>FBR Payment</v>
          </cell>
          <cell r="N174" t="str">
            <v>CHC</v>
          </cell>
        </row>
        <row r="175">
          <cell r="E175">
            <v>-23</v>
          </cell>
          <cell r="F175"/>
          <cell r="G175">
            <v>45911</v>
          </cell>
          <cell r="H175" t="str">
            <v>ABL-CHC-19</v>
          </cell>
          <cell r="I175" t="str">
            <v>OTHER BUSINESS</v>
          </cell>
          <cell r="J175" t="str">
            <v>Payment</v>
          </cell>
          <cell r="K175" t="str">
            <v>General Expeses</v>
          </cell>
          <cell r="L175" t="str">
            <v>FBR Payment</v>
          </cell>
          <cell r="M175" t="str">
            <v>FBR Payment</v>
          </cell>
          <cell r="N175" t="str">
            <v>CHC</v>
          </cell>
        </row>
        <row r="176">
          <cell r="E176">
            <v>210000</v>
          </cell>
          <cell r="F176"/>
          <cell r="G176">
            <v>45911</v>
          </cell>
          <cell r="H176" t="str">
            <v>ABL-CHC-19</v>
          </cell>
          <cell r="I176" t="str">
            <v>OTHER BUSINESS</v>
          </cell>
          <cell r="J176" t="str">
            <v>RECEIPTS</v>
          </cell>
          <cell r="K176" t="str">
            <v>General Expeses</v>
          </cell>
          <cell r="L176" t="str">
            <v>Income</v>
          </cell>
          <cell r="M176" t="str">
            <v>Income</v>
          </cell>
          <cell r="N176" t="str">
            <v>CHC</v>
          </cell>
        </row>
        <row r="177">
          <cell r="E177">
            <v>-44400</v>
          </cell>
          <cell r="F177"/>
          <cell r="G177">
            <v>45912</v>
          </cell>
          <cell r="H177" t="str">
            <v>ABL-CHC-19</v>
          </cell>
          <cell r="I177" t="str">
            <v>OTHER BUSINESS</v>
          </cell>
          <cell r="J177" t="str">
            <v>Payment</v>
          </cell>
          <cell r="K177" t="str">
            <v>General Expeses</v>
          </cell>
          <cell r="L177" t="str">
            <v>FBR Payment</v>
          </cell>
          <cell r="M177" t="str">
            <v>FBR Payment</v>
          </cell>
          <cell r="N177" t="str">
            <v>CHC</v>
          </cell>
        </row>
        <row r="178">
          <cell r="E178">
            <v>-4510</v>
          </cell>
          <cell r="F178"/>
          <cell r="G178">
            <v>45912</v>
          </cell>
          <cell r="H178" t="str">
            <v>ABL-CHC-19</v>
          </cell>
          <cell r="I178" t="str">
            <v>OTHER BUSINESS</v>
          </cell>
          <cell r="J178" t="str">
            <v>Payment</v>
          </cell>
          <cell r="K178" t="str">
            <v>General Expeses</v>
          </cell>
          <cell r="L178" t="str">
            <v>Utilities</v>
          </cell>
          <cell r="M178" t="str">
            <v>Electricity</v>
          </cell>
          <cell r="N178" t="str">
            <v>CHC</v>
          </cell>
        </row>
        <row r="179">
          <cell r="E179">
            <v>-43000</v>
          </cell>
          <cell r="F179"/>
          <cell r="G179">
            <v>45912</v>
          </cell>
          <cell r="H179" t="str">
            <v>ABL-CHC-19</v>
          </cell>
          <cell r="I179" t="str">
            <v>OTHER BUSINESS</v>
          </cell>
          <cell r="J179" t="str">
            <v>Payment</v>
          </cell>
          <cell r="K179" t="str">
            <v>General Expenses</v>
          </cell>
          <cell r="L179" t="str">
            <v>FBR Payment</v>
          </cell>
          <cell r="M179" t="str">
            <v>FBR Payment</v>
          </cell>
          <cell r="N179" t="str">
            <v>CHC</v>
          </cell>
        </row>
        <row r="180">
          <cell r="E180">
            <v>-23</v>
          </cell>
          <cell r="F180"/>
          <cell r="G180">
            <v>45912</v>
          </cell>
          <cell r="H180" t="str">
            <v>ABL-CHC-19</v>
          </cell>
          <cell r="I180" t="str">
            <v>OTHER BUSINESS</v>
          </cell>
          <cell r="J180" t="str">
            <v>Payment</v>
          </cell>
          <cell r="K180" t="str">
            <v>General Expenses</v>
          </cell>
          <cell r="L180" t="str">
            <v>FBR Payment</v>
          </cell>
          <cell r="M180" t="str">
            <v>FBR Payment</v>
          </cell>
          <cell r="N180" t="str">
            <v>CHC</v>
          </cell>
        </row>
        <row r="181">
          <cell r="E181">
            <v>230000</v>
          </cell>
          <cell r="F181"/>
          <cell r="G181">
            <v>45912</v>
          </cell>
          <cell r="H181" t="str">
            <v>ABL-CHC-19</v>
          </cell>
          <cell r="I181" t="str">
            <v>OTHER BUSINESS</v>
          </cell>
          <cell r="J181" t="str">
            <v>RECEIPTS</v>
          </cell>
          <cell r="K181" t="str">
            <v>General Expeses</v>
          </cell>
          <cell r="L181" t="str">
            <v>Income</v>
          </cell>
          <cell r="M181" t="str">
            <v>Income</v>
          </cell>
          <cell r="N181" t="str">
            <v>CHC</v>
          </cell>
        </row>
        <row r="182">
          <cell r="E182">
            <v>410000</v>
          </cell>
          <cell r="F182"/>
          <cell r="G182">
            <v>45915</v>
          </cell>
          <cell r="H182" t="str">
            <v>ABL-CHC-19</v>
          </cell>
          <cell r="I182" t="str">
            <v>OTHER BUSINESS</v>
          </cell>
          <cell r="J182" t="str">
            <v>RECEIPTS</v>
          </cell>
          <cell r="K182" t="str">
            <v>General Expeses</v>
          </cell>
          <cell r="L182" t="str">
            <v>Income</v>
          </cell>
          <cell r="M182" t="str">
            <v>Income</v>
          </cell>
          <cell r="N182" t="str">
            <v>CHC</v>
          </cell>
        </row>
        <row r="183">
          <cell r="E183">
            <v>-9023</v>
          </cell>
          <cell r="F183"/>
          <cell r="G183">
            <v>45915</v>
          </cell>
          <cell r="H183" t="str">
            <v>ABL-CHC-19</v>
          </cell>
          <cell r="I183" t="str">
            <v>OTHER BUSINESS</v>
          </cell>
          <cell r="J183" t="str">
            <v>Payment</v>
          </cell>
          <cell r="K183" t="str">
            <v>General Expenses</v>
          </cell>
          <cell r="L183" t="str">
            <v>Utilities</v>
          </cell>
          <cell r="M183" t="str">
            <v>Electricity</v>
          </cell>
          <cell r="N183" t="str">
            <v>CHC</v>
          </cell>
        </row>
        <row r="184">
          <cell r="E184">
            <v>120000</v>
          </cell>
          <cell r="F184" t="str">
            <v>Dr.</v>
          </cell>
          <cell r="G184">
            <v>45916</v>
          </cell>
          <cell r="H184" t="str">
            <v>ABL-CHC-19</v>
          </cell>
          <cell r="I184" t="str">
            <v>OTHER BUSINESS</v>
          </cell>
          <cell r="J184" t="str">
            <v>RECEIPTS</v>
          </cell>
          <cell r="K184" t="str">
            <v>General Expeses</v>
          </cell>
          <cell r="L184" t="str">
            <v>INCOME</v>
          </cell>
          <cell r="M184" t="str">
            <v>INCOME</v>
          </cell>
          <cell r="N184" t="str">
            <v>CHC</v>
          </cell>
        </row>
        <row r="185">
          <cell r="E185">
            <v>120000</v>
          </cell>
          <cell r="F185" t="str">
            <v>Dr.</v>
          </cell>
          <cell r="G185">
            <v>45918</v>
          </cell>
          <cell r="H185" t="str">
            <v>ABL-CHC-19</v>
          </cell>
          <cell r="I185" t="str">
            <v>OTHER BUSINESS</v>
          </cell>
          <cell r="J185" t="str">
            <v>RECEIPTS</v>
          </cell>
          <cell r="K185" t="str">
            <v>General Expeses</v>
          </cell>
          <cell r="L185" t="str">
            <v>INCOME</v>
          </cell>
          <cell r="M185" t="str">
            <v>INCOME</v>
          </cell>
          <cell r="N185" t="str">
            <v>CHC</v>
          </cell>
        </row>
        <row r="186">
          <cell r="E186">
            <v>-240000</v>
          </cell>
          <cell r="F186" t="str">
            <v>Cr.</v>
          </cell>
          <cell r="G186">
            <v>45919</v>
          </cell>
          <cell r="H186" t="str">
            <v>ABL-CHC-19</v>
          </cell>
          <cell r="I186" t="str">
            <v>OTHER BUSINESS</v>
          </cell>
          <cell r="J186" t="str">
            <v>Payment</v>
          </cell>
          <cell r="K186" t="str">
            <v>General Expeses</v>
          </cell>
          <cell r="L186" t="str">
            <v>General, Admin &amp; Marketing Expenses</v>
          </cell>
          <cell r="M186" t="str">
            <v>General Expenses</v>
          </cell>
          <cell r="N186" t="str">
            <v>CHC</v>
          </cell>
        </row>
        <row r="187">
          <cell r="E187">
            <v>-1920</v>
          </cell>
          <cell r="F187" t="str">
            <v>Cr.</v>
          </cell>
          <cell r="G187">
            <v>45919</v>
          </cell>
          <cell r="H187" t="str">
            <v>ABL-CHC-19</v>
          </cell>
          <cell r="I187" t="str">
            <v>OTHER BUSINESS</v>
          </cell>
          <cell r="J187" t="str">
            <v>Payment</v>
          </cell>
          <cell r="K187" t="str">
            <v>General Expeses</v>
          </cell>
          <cell r="L187" t="str">
            <v>General, Admin &amp; Marketing Expenses</v>
          </cell>
          <cell r="M187" t="str">
            <v>General Expenses</v>
          </cell>
          <cell r="N187" t="str">
            <v>CHC</v>
          </cell>
        </row>
        <row r="188">
          <cell r="E188">
            <v>330000</v>
          </cell>
          <cell r="F188" t="str">
            <v>Dr.</v>
          </cell>
          <cell r="G188">
            <v>45919</v>
          </cell>
          <cell r="H188" t="str">
            <v>ABL-CHC-19</v>
          </cell>
          <cell r="I188" t="str">
            <v>OTHER BUSINESS</v>
          </cell>
          <cell r="J188" t="str">
            <v>RECEIPTS</v>
          </cell>
          <cell r="K188" t="str">
            <v>General Expeses</v>
          </cell>
          <cell r="L188" t="str">
            <v>INCOME</v>
          </cell>
          <cell r="M188" t="str">
            <v>INCOME</v>
          </cell>
          <cell r="N188" t="str">
            <v>CHC</v>
          </cell>
        </row>
        <row r="189">
          <cell r="E189">
            <v>360000</v>
          </cell>
          <cell r="F189" t="str">
            <v>Dr.</v>
          </cell>
          <cell r="G189">
            <v>45920</v>
          </cell>
          <cell r="H189" t="str">
            <v>ABL-CHC-19</v>
          </cell>
          <cell r="I189" t="str">
            <v>OTHER BUSINESS</v>
          </cell>
          <cell r="J189" t="str">
            <v>RECEIPTS</v>
          </cell>
          <cell r="K189" t="str">
            <v>General Expeses</v>
          </cell>
          <cell r="L189" t="str">
            <v>INCOME</v>
          </cell>
          <cell r="M189" t="str">
            <v>INCOME</v>
          </cell>
          <cell r="N189" t="str">
            <v>CHC</v>
          </cell>
        </row>
        <row r="190">
          <cell r="E190">
            <v>225500</v>
          </cell>
          <cell r="F190" t="str">
            <v>Dr.</v>
          </cell>
          <cell r="G190">
            <v>45922</v>
          </cell>
          <cell r="H190" t="str">
            <v>ABL-CHC-19</v>
          </cell>
          <cell r="I190" t="str">
            <v>OTHER BUSINESS</v>
          </cell>
          <cell r="J190" t="str">
            <v>RECEIPTS</v>
          </cell>
          <cell r="K190" t="str">
            <v>General Expenses</v>
          </cell>
          <cell r="L190" t="str">
            <v>INCOME</v>
          </cell>
          <cell r="M190" t="str">
            <v>INCOME</v>
          </cell>
          <cell r="N190" t="str">
            <v>CHC</v>
          </cell>
        </row>
        <row r="191">
          <cell r="E191">
            <v>190000</v>
          </cell>
          <cell r="F191" t="str">
            <v>Dr.</v>
          </cell>
          <cell r="G191">
            <v>45923</v>
          </cell>
          <cell r="H191" t="str">
            <v>ABL-CHC-19</v>
          </cell>
          <cell r="I191" t="str">
            <v>OTHER BUSINESS</v>
          </cell>
          <cell r="J191" t="str">
            <v>RECEIPTS</v>
          </cell>
          <cell r="K191" t="str">
            <v>General Expenses</v>
          </cell>
          <cell r="L191" t="str">
            <v>INCOME</v>
          </cell>
          <cell r="M191" t="str">
            <v>INCOME</v>
          </cell>
          <cell r="N191" t="str">
            <v>CHC</v>
          </cell>
        </row>
        <row r="192">
          <cell r="E192">
            <v>200000</v>
          </cell>
          <cell r="F192" t="str">
            <v>Dr.</v>
          </cell>
          <cell r="G192">
            <v>45925</v>
          </cell>
          <cell r="H192" t="str">
            <v>ABL-CHC-19</v>
          </cell>
          <cell r="I192" t="str">
            <v>OTHER BUSINESS</v>
          </cell>
          <cell r="J192" t="str">
            <v>RECEIPTS</v>
          </cell>
          <cell r="K192" t="str">
            <v>General Expenses</v>
          </cell>
          <cell r="L192" t="str">
            <v>INCOME</v>
          </cell>
          <cell r="M192" t="str">
            <v>INCOME</v>
          </cell>
          <cell r="N192" t="str">
            <v>CHC</v>
          </cell>
        </row>
        <row r="193">
          <cell r="E193">
            <v>-184968</v>
          </cell>
          <cell r="F193" t="str">
            <v>Cr.</v>
          </cell>
          <cell r="G193">
            <v>45926</v>
          </cell>
          <cell r="H193" t="str">
            <v>ABL-CHC-19</v>
          </cell>
          <cell r="I193" t="str">
            <v>OTHER BUSINESS</v>
          </cell>
          <cell r="J193" t="str">
            <v>Payment</v>
          </cell>
          <cell r="K193" t="str">
            <v>General Expeses</v>
          </cell>
          <cell r="L193" t="str">
            <v>General, Admin &amp; Marketing Expenses</v>
          </cell>
          <cell r="M193" t="str">
            <v>General Expenses</v>
          </cell>
          <cell r="N193" t="str">
            <v>CHC</v>
          </cell>
        </row>
        <row r="194">
          <cell r="E194">
            <v>-1480</v>
          </cell>
          <cell r="F194" t="str">
            <v>Cr.</v>
          </cell>
          <cell r="G194">
            <v>45926</v>
          </cell>
          <cell r="H194" t="str">
            <v>ABL-CHC-19</v>
          </cell>
          <cell r="I194" t="str">
            <v>OTHER BUSINESS</v>
          </cell>
          <cell r="J194" t="str">
            <v>Payment</v>
          </cell>
          <cell r="K194" t="str">
            <v>General Expeses</v>
          </cell>
          <cell r="L194" t="str">
            <v>General, Admin &amp; Marketing Expenses</v>
          </cell>
          <cell r="M194" t="str">
            <v>General Expenses</v>
          </cell>
          <cell r="N194" t="str">
            <v>CHC</v>
          </cell>
        </row>
        <row r="195">
          <cell r="E195">
            <v>308000</v>
          </cell>
          <cell r="F195" t="str">
            <v>Dr.</v>
          </cell>
          <cell r="G195">
            <v>45926</v>
          </cell>
          <cell r="H195" t="str">
            <v>ABL-CHC-19</v>
          </cell>
          <cell r="I195" t="str">
            <v>OTHER BUSINESS</v>
          </cell>
          <cell r="J195" t="str">
            <v>RECEIPTS</v>
          </cell>
          <cell r="K195" t="str">
            <v>General Expeses</v>
          </cell>
          <cell r="L195" t="str">
            <v>INCOME</v>
          </cell>
          <cell r="M195" t="str">
            <v>INCOME</v>
          </cell>
          <cell r="N195" t="str">
            <v>CHC</v>
          </cell>
        </row>
        <row r="196">
          <cell r="E196">
            <v>-84000</v>
          </cell>
          <cell r="F196"/>
          <cell r="G196">
            <v>45929</v>
          </cell>
          <cell r="H196" t="str">
            <v>ABL-CHC-19</v>
          </cell>
          <cell r="I196" t="str">
            <v>OTHER BUSINESS</v>
          </cell>
          <cell r="J196" t="str">
            <v>Payment</v>
          </cell>
          <cell r="K196" t="str">
            <v>General Expenses</v>
          </cell>
          <cell r="L196" t="str">
            <v>Utilities</v>
          </cell>
          <cell r="M196" t="str">
            <v>Electricity</v>
          </cell>
          <cell r="N196" t="str">
            <v>CHC</v>
          </cell>
        </row>
        <row r="197">
          <cell r="E197">
            <v>-504000</v>
          </cell>
          <cell r="F197"/>
          <cell r="G197">
            <v>45929</v>
          </cell>
          <cell r="H197" t="str">
            <v>ABL-CHC-19</v>
          </cell>
          <cell r="I197" t="str">
            <v>OTHER BUSINESS</v>
          </cell>
          <cell r="J197" t="str">
            <v>Payment</v>
          </cell>
          <cell r="K197" t="str">
            <v>General Expeses</v>
          </cell>
          <cell r="L197" t="str">
            <v>General, Admin &amp; Marketing Expenses</v>
          </cell>
          <cell r="M197" t="str">
            <v>General Expenses</v>
          </cell>
          <cell r="N197" t="str">
            <v>CHC</v>
          </cell>
        </row>
        <row r="198">
          <cell r="E198">
            <v>-504000</v>
          </cell>
          <cell r="F198"/>
          <cell r="G198">
            <v>45930</v>
          </cell>
          <cell r="H198" t="str">
            <v>ABL-CHC-19</v>
          </cell>
          <cell r="I198" t="str">
            <v>OTHER BUSINESS</v>
          </cell>
          <cell r="J198" t="str">
            <v>Payment</v>
          </cell>
          <cell r="K198" t="str">
            <v>General Expeses</v>
          </cell>
          <cell r="L198" t="str">
            <v>General, Admin &amp; Marketing Expenses</v>
          </cell>
          <cell r="M198" t="str">
            <v>Re-Fund</v>
          </cell>
          <cell r="N198" t="str">
            <v>CHC</v>
          </cell>
        </row>
        <row r="199">
          <cell r="E199">
            <v>-84000</v>
          </cell>
          <cell r="F199"/>
          <cell r="G199">
            <v>45930</v>
          </cell>
          <cell r="H199" t="str">
            <v>ABL-CHC-19</v>
          </cell>
          <cell r="I199" t="str">
            <v>OTHER BUSINESS</v>
          </cell>
          <cell r="J199" t="str">
            <v>Payment</v>
          </cell>
          <cell r="K199" t="str">
            <v>General Expeses</v>
          </cell>
          <cell r="L199" t="str">
            <v>General, Admin &amp; Marketing Expenses</v>
          </cell>
          <cell r="M199" t="str">
            <v>General Expenses</v>
          </cell>
          <cell r="N199" t="str">
            <v>CHC</v>
          </cell>
        </row>
        <row r="200">
          <cell r="E200">
            <v>-84000</v>
          </cell>
          <cell r="F200"/>
          <cell r="G200">
            <v>45930</v>
          </cell>
          <cell r="H200" t="str">
            <v>ABL-CHC-19</v>
          </cell>
          <cell r="I200" t="str">
            <v>OTHER BUSINESS</v>
          </cell>
          <cell r="J200" t="str">
            <v>Payment</v>
          </cell>
          <cell r="K200" t="str">
            <v>General Expenses</v>
          </cell>
          <cell r="L200" t="str">
            <v>Salaries &amp; Wages</v>
          </cell>
          <cell r="M200" t="str">
            <v>Salaries &amp; Wages</v>
          </cell>
          <cell r="N200" t="str">
            <v>CHC</v>
          </cell>
        </row>
        <row r="201">
          <cell r="E201">
            <v>90000</v>
          </cell>
          <cell r="F201"/>
          <cell r="G201">
            <v>45930</v>
          </cell>
          <cell r="H201" t="str">
            <v>ABL-CHC-19</v>
          </cell>
          <cell r="I201" t="str">
            <v>OTHER BUSINESS</v>
          </cell>
          <cell r="J201" t="str">
            <v>RECEIPTS</v>
          </cell>
          <cell r="K201" t="str">
            <v>General Expenses</v>
          </cell>
          <cell r="L201" t="str">
            <v>INCOME</v>
          </cell>
          <cell r="M201" t="str">
            <v>INCOME</v>
          </cell>
          <cell r="N201" t="str">
            <v>CHC</v>
          </cell>
        </row>
        <row r="202">
          <cell r="E202">
            <v>0</v>
          </cell>
          <cell r="F202"/>
          <cell r="G202">
            <v>45931</v>
          </cell>
          <cell r="H202" t="str">
            <v>ABL-CHC-19</v>
          </cell>
          <cell r="I202" t="str">
            <v>OTHER BUSINESS</v>
          </cell>
          <cell r="J202"/>
        </row>
        <row r="203">
          <cell r="E203">
            <v>1363000</v>
          </cell>
          <cell r="F203"/>
          <cell r="G203">
            <v>45931</v>
          </cell>
          <cell r="H203" t="str">
            <v>ABL-CHC-19</v>
          </cell>
          <cell r="I203" t="str">
            <v>OTHER BUSINESS</v>
          </cell>
          <cell r="J203" t="str">
            <v>RECEIPTS</v>
          </cell>
          <cell r="K203" t="str">
            <v>General Expeses</v>
          </cell>
          <cell r="L203" t="str">
            <v>INCOME</v>
          </cell>
          <cell r="M203" t="str">
            <v>INCOME</v>
          </cell>
          <cell r="N203" t="str">
            <v>CHC</v>
          </cell>
        </row>
        <row r="204">
          <cell r="E204">
            <v>-2412270</v>
          </cell>
          <cell r="F204" t="str">
            <v>Cr.</v>
          </cell>
          <cell r="G204">
            <v>45932</v>
          </cell>
          <cell r="H204" t="str">
            <v>ABL-CHC-19</v>
          </cell>
          <cell r="I204" t="str">
            <v>OTHER BUSINESS</v>
          </cell>
          <cell r="J204" t="str">
            <v>Payment</v>
          </cell>
          <cell r="K204" t="str">
            <v>General Expeses</v>
          </cell>
          <cell r="L204" t="str">
            <v>Rent Expense</v>
          </cell>
          <cell r="M204" t="str">
            <v>Rent Expense</v>
          </cell>
          <cell r="N204" t="str">
            <v>CHC</v>
          </cell>
        </row>
        <row r="205">
          <cell r="E205">
            <v>360000</v>
          </cell>
          <cell r="F205" t="str">
            <v>Dr.</v>
          </cell>
          <cell r="G205">
            <v>45932</v>
          </cell>
          <cell r="H205" t="str">
            <v>ABL-CHC-19</v>
          </cell>
          <cell r="I205" t="str">
            <v>OTHER BUSINESS</v>
          </cell>
          <cell r="J205" t="str">
            <v>RECEIPTS</v>
          </cell>
          <cell r="K205" t="str">
            <v>General Expenses</v>
          </cell>
          <cell r="L205" t="str">
            <v>Income</v>
          </cell>
          <cell r="M205" t="str">
            <v>Income</v>
          </cell>
          <cell r="N205" t="str">
            <v>CHC</v>
          </cell>
        </row>
        <row r="206">
          <cell r="E206">
            <v>180000</v>
          </cell>
          <cell r="F206" t="str">
            <v>Dr.</v>
          </cell>
          <cell r="G206">
            <v>45933</v>
          </cell>
          <cell r="H206" t="str">
            <v>ABL-CHC-19</v>
          </cell>
          <cell r="I206" t="str">
            <v>OTHER BUSINESS</v>
          </cell>
          <cell r="J206" t="str">
            <v>RECEIPTS</v>
          </cell>
          <cell r="K206" t="str">
            <v>General Expeses</v>
          </cell>
          <cell r="L206" t="str">
            <v>INCOME</v>
          </cell>
          <cell r="M206" t="str">
            <v>INCOME</v>
          </cell>
          <cell r="N206" t="str">
            <v>CHC</v>
          </cell>
        </row>
        <row r="207">
          <cell r="E207">
            <v>230000</v>
          </cell>
          <cell r="F207" t="str">
            <v>Dr.</v>
          </cell>
          <cell r="G207">
            <v>45936</v>
          </cell>
          <cell r="H207" t="str">
            <v>ABL-CHC-19</v>
          </cell>
          <cell r="I207" t="str">
            <v>OTHER BUSINESS</v>
          </cell>
          <cell r="J207" t="str">
            <v>RECEIPTS</v>
          </cell>
          <cell r="K207" t="str">
            <v>General Expeses</v>
          </cell>
          <cell r="L207" t="str">
            <v>Income</v>
          </cell>
          <cell r="M207" t="str">
            <v>Income</v>
          </cell>
          <cell r="N207" t="str">
            <v>CHC</v>
          </cell>
        </row>
        <row r="208">
          <cell r="E208">
            <v>765000</v>
          </cell>
          <cell r="F208" t="str">
            <v>Dr.</v>
          </cell>
          <cell r="G208">
            <v>45937</v>
          </cell>
          <cell r="H208" t="str">
            <v>ABL-CHC-19</v>
          </cell>
          <cell r="I208" t="str">
            <v>OTHER BUSINESS</v>
          </cell>
          <cell r="J208" t="str">
            <v>RECEIPTS</v>
          </cell>
          <cell r="K208" t="str">
            <v>General Expeses</v>
          </cell>
          <cell r="L208" t="str">
            <v>Income</v>
          </cell>
          <cell r="M208" t="str">
            <v>Income</v>
          </cell>
          <cell r="N208" t="str">
            <v>CHC</v>
          </cell>
        </row>
        <row r="209">
          <cell r="E209">
            <v>30000</v>
          </cell>
          <cell r="F209" t="str">
            <v>Dr.</v>
          </cell>
          <cell r="G209">
            <v>45938</v>
          </cell>
          <cell r="H209" t="str">
            <v>ABL-CHC-19</v>
          </cell>
          <cell r="I209" t="str">
            <v>OTHER BUSINESS</v>
          </cell>
          <cell r="J209" t="str">
            <v>RECEIPTS</v>
          </cell>
          <cell r="K209" t="str">
            <v>General Expeses</v>
          </cell>
          <cell r="L209" t="str">
            <v>INCOME</v>
          </cell>
          <cell r="M209" t="str">
            <v>INCOME</v>
          </cell>
          <cell r="N209" t="str">
            <v>CHC</v>
          </cell>
        </row>
        <row r="210">
          <cell r="E210">
            <v>130000</v>
          </cell>
          <cell r="F210" t="str">
            <v>Dr.</v>
          </cell>
          <cell r="G210">
            <v>45939</v>
          </cell>
          <cell r="H210" t="str">
            <v>ABL-CHC-19</v>
          </cell>
          <cell r="I210" t="str">
            <v>OTHER BUSINESS</v>
          </cell>
          <cell r="J210" t="str">
            <v>RECEIPTS</v>
          </cell>
          <cell r="K210" t="str">
            <v>General Expeses</v>
          </cell>
          <cell r="L210" t="str">
            <v>INCOME</v>
          </cell>
          <cell r="M210" t="str">
            <v>INCOME</v>
          </cell>
          <cell r="N210" t="str">
            <v>CHC</v>
          </cell>
        </row>
        <row r="211">
          <cell r="E211">
            <v>-50400</v>
          </cell>
          <cell r="F211"/>
          <cell r="G211">
            <v>45943</v>
          </cell>
          <cell r="H211" t="str">
            <v>ABL-CHC-19</v>
          </cell>
          <cell r="I211" t="str">
            <v>OTHER BUSINESS</v>
          </cell>
          <cell r="J211" t="str">
            <v>Payment</v>
          </cell>
          <cell r="K211" t="str">
            <v>General Expeses</v>
          </cell>
          <cell r="L211" t="str">
            <v>Rent Expense</v>
          </cell>
          <cell r="M211" t="str">
            <v>Rent Expense</v>
          </cell>
          <cell r="N211" t="str">
            <v>CHC</v>
          </cell>
        </row>
        <row r="212">
          <cell r="E212">
            <v>-75000</v>
          </cell>
          <cell r="F212"/>
          <cell r="G212">
            <v>45944</v>
          </cell>
          <cell r="H212" t="str">
            <v>ABL-CHC-19</v>
          </cell>
          <cell r="I212" t="str">
            <v>OTHER BUSINESS</v>
          </cell>
          <cell r="J212" t="str">
            <v>Payment</v>
          </cell>
          <cell r="K212" t="str">
            <v>General Expeses</v>
          </cell>
          <cell r="L212" t="str">
            <v>Rent Expense</v>
          </cell>
          <cell r="M212" t="str">
            <v>Rent Expense</v>
          </cell>
          <cell r="N212" t="str">
            <v>CHC</v>
          </cell>
        </row>
        <row r="213">
          <cell r="E213">
            <v>-36000</v>
          </cell>
          <cell r="F213"/>
          <cell r="G213">
            <v>45944</v>
          </cell>
          <cell r="H213" t="str">
            <v>ABL-CHC-19</v>
          </cell>
          <cell r="I213" t="str">
            <v>OTHER BUSINESS</v>
          </cell>
          <cell r="J213" t="str">
            <v>Payment</v>
          </cell>
          <cell r="K213" t="str">
            <v>General Expeses</v>
          </cell>
          <cell r="L213" t="str">
            <v>Rent Expense</v>
          </cell>
          <cell r="M213" t="str">
            <v>Rent Expense</v>
          </cell>
          <cell r="N213" t="str">
            <v>CHC</v>
          </cell>
        </row>
        <row r="214">
          <cell r="E214">
            <v>-357325</v>
          </cell>
          <cell r="F214"/>
          <cell r="G214">
            <v>45944</v>
          </cell>
          <cell r="H214" t="str">
            <v>ABL-CHC-19</v>
          </cell>
          <cell r="I214" t="str">
            <v>OTHER BUSINESS</v>
          </cell>
          <cell r="J214" t="str">
            <v>Payment</v>
          </cell>
          <cell r="K214" t="str">
            <v>General Expeses</v>
          </cell>
          <cell r="L214" t="str">
            <v>Rent Expense</v>
          </cell>
          <cell r="M214" t="str">
            <v>Rent Expense</v>
          </cell>
          <cell r="N214" t="str">
            <v>CHC</v>
          </cell>
        </row>
        <row r="215">
          <cell r="E215">
            <v>-279990</v>
          </cell>
          <cell r="F215"/>
          <cell r="G215">
            <v>45944</v>
          </cell>
          <cell r="H215" t="str">
            <v>ABL-CHC-19</v>
          </cell>
          <cell r="I215" t="str">
            <v>OTHER BUSINESS</v>
          </cell>
          <cell r="J215" t="str">
            <v>Payment</v>
          </cell>
          <cell r="K215" t="str">
            <v>General Expeses</v>
          </cell>
          <cell r="L215" t="str">
            <v>Rent Expense</v>
          </cell>
          <cell r="M215" t="str">
            <v>Rent Expense</v>
          </cell>
          <cell r="N215" t="str">
            <v>CHC</v>
          </cell>
        </row>
        <row r="216">
          <cell r="E216">
            <v>-27950</v>
          </cell>
          <cell r="F216" t="str">
            <v>Cr.</v>
          </cell>
          <cell r="G216">
            <v>45945</v>
          </cell>
          <cell r="H216" t="str">
            <v>ABL-CHC-19</v>
          </cell>
          <cell r="I216" t="str">
            <v>OTHER BUSINESS</v>
          </cell>
          <cell r="J216" t="str">
            <v>Payment</v>
          </cell>
          <cell r="K216" t="str">
            <v>General Expeses</v>
          </cell>
          <cell r="L216" t="str">
            <v>Rent Expense</v>
          </cell>
          <cell r="M216" t="str">
            <v>Rent Expense</v>
          </cell>
          <cell r="N216" t="str">
            <v>CHC</v>
          </cell>
        </row>
        <row r="217">
          <cell r="E217">
            <v>-9471</v>
          </cell>
          <cell r="F217" t="str">
            <v>Cr.</v>
          </cell>
          <cell r="G217">
            <v>45945</v>
          </cell>
          <cell r="H217" t="str">
            <v>ABL-CHC-19</v>
          </cell>
          <cell r="I217" t="str">
            <v>OTHER BUSINESS</v>
          </cell>
          <cell r="J217" t="str">
            <v>Payment</v>
          </cell>
          <cell r="K217" t="str">
            <v>General Expeses</v>
          </cell>
          <cell r="L217" t="str">
            <v>Rent Expense</v>
          </cell>
          <cell r="M217" t="str">
            <v>Rent Expense</v>
          </cell>
          <cell r="N217" t="str">
            <v>CHC</v>
          </cell>
        </row>
        <row r="218">
          <cell r="E218">
            <v>-47850</v>
          </cell>
          <cell r="F218" t="str">
            <v>Cr.</v>
          </cell>
          <cell r="G218">
            <v>45945</v>
          </cell>
          <cell r="H218" t="str">
            <v>ABL-CHC-19</v>
          </cell>
          <cell r="I218" t="str">
            <v>OTHER BUSINESS</v>
          </cell>
          <cell r="J218" t="str">
            <v>Payment</v>
          </cell>
          <cell r="K218" t="str">
            <v>General Expeses</v>
          </cell>
          <cell r="L218" t="str">
            <v>Rent Expense</v>
          </cell>
          <cell r="M218" t="str">
            <v>Rent Expense</v>
          </cell>
          <cell r="N218" t="str">
            <v>CHC</v>
          </cell>
        </row>
        <row r="219">
          <cell r="E219">
            <v>-177935</v>
          </cell>
          <cell r="F219" t="str">
            <v>Cr.</v>
          </cell>
          <cell r="G219">
            <v>45945</v>
          </cell>
          <cell r="H219" t="str">
            <v>ABL-CHC-19</v>
          </cell>
          <cell r="I219" t="str">
            <v>OTHER BUSINESS</v>
          </cell>
          <cell r="J219" t="str">
            <v>Payment</v>
          </cell>
          <cell r="K219" t="str">
            <v>General Expeses</v>
          </cell>
          <cell r="L219" t="str">
            <v>Rent Expense</v>
          </cell>
          <cell r="M219" t="str">
            <v>Rent Expense</v>
          </cell>
          <cell r="N219" t="str">
            <v>CHC</v>
          </cell>
        </row>
        <row r="220">
          <cell r="E220">
            <v>110000</v>
          </cell>
          <cell r="F220" t="str">
            <v>Dr.</v>
          </cell>
          <cell r="G220">
            <v>45945</v>
          </cell>
          <cell r="H220" t="str">
            <v>ABL-CHC-19</v>
          </cell>
          <cell r="I220" t="str">
            <v>OTHER BUSINESS</v>
          </cell>
          <cell r="J220" t="str">
            <v>RECEIPTS</v>
          </cell>
          <cell r="K220" t="str">
            <v>General Expeses</v>
          </cell>
          <cell r="L220" t="str">
            <v>INCOME</v>
          </cell>
          <cell r="M220" t="str">
            <v>INCOME</v>
          </cell>
          <cell r="N220" t="str">
            <v>CHC</v>
          </cell>
        </row>
        <row r="221">
          <cell r="E221">
            <v>1225000</v>
          </cell>
          <cell r="F221"/>
          <cell r="G221">
            <v>45946</v>
          </cell>
          <cell r="H221" t="str">
            <v>ABL-CHC-19</v>
          </cell>
          <cell r="I221" t="str">
            <v>OTHER BUSINESS</v>
          </cell>
          <cell r="J221" t="str">
            <v>RECEIPTS</v>
          </cell>
          <cell r="K221" t="str">
            <v>General Expeses</v>
          </cell>
          <cell r="L221" t="str">
            <v>INCOME</v>
          </cell>
          <cell r="M221" t="str">
            <v>INCOME</v>
          </cell>
          <cell r="N221" t="str">
            <v>CHC</v>
          </cell>
        </row>
        <row r="222">
          <cell r="E222">
            <v>-548220</v>
          </cell>
          <cell r="F222"/>
          <cell r="G222">
            <v>45946</v>
          </cell>
          <cell r="H222" t="str">
            <v>ABL-CHC-19</v>
          </cell>
          <cell r="I222" t="str">
            <v>OTHER BUSINESS</v>
          </cell>
          <cell r="J222" t="str">
            <v>Payment</v>
          </cell>
          <cell r="K222" t="str">
            <v>General Expeses</v>
          </cell>
          <cell r="L222" t="str">
            <v>Rent Expense</v>
          </cell>
          <cell r="M222" t="str">
            <v>Rent Expense</v>
          </cell>
          <cell r="N222" t="str">
            <v>CHC</v>
          </cell>
        </row>
        <row r="223">
          <cell r="E223">
            <v>-393750</v>
          </cell>
          <cell r="F223"/>
          <cell r="G223">
            <v>45947</v>
          </cell>
          <cell r="H223" t="str">
            <v>ABL-CHC-19</v>
          </cell>
          <cell r="I223" t="str">
            <v>OTHER BUSINESS</v>
          </cell>
          <cell r="J223" t="str">
            <v>Payment</v>
          </cell>
          <cell r="K223" t="str">
            <v>General Expeses</v>
          </cell>
          <cell r="L223" t="str">
            <v>Rent Expense</v>
          </cell>
          <cell r="M223" t="str">
            <v>Rent Expense</v>
          </cell>
          <cell r="N223" t="str">
            <v>CHC</v>
          </cell>
        </row>
        <row r="224">
          <cell r="E224">
            <v>-10575</v>
          </cell>
          <cell r="F224"/>
          <cell r="G224">
            <v>45947</v>
          </cell>
          <cell r="H224" t="str">
            <v>ABL-CHC-19</v>
          </cell>
          <cell r="I224" t="str">
            <v>OTHER BUSINESS</v>
          </cell>
          <cell r="J224" t="str">
            <v>Payment</v>
          </cell>
          <cell r="K224" t="str">
            <v>General Expeses</v>
          </cell>
          <cell r="L224" t="str">
            <v>Rent Expense</v>
          </cell>
          <cell r="M224" t="str">
            <v>Rent Expense</v>
          </cell>
          <cell r="N224" t="str">
            <v>CHC</v>
          </cell>
        </row>
        <row r="225">
          <cell r="E225">
            <v>-112000</v>
          </cell>
          <cell r="F225"/>
          <cell r="G225">
            <v>45947</v>
          </cell>
          <cell r="H225" t="str">
            <v>ABL-CHC-19</v>
          </cell>
          <cell r="I225" t="str">
            <v>OTHER BUSINESS</v>
          </cell>
          <cell r="J225" t="str">
            <v>Payment</v>
          </cell>
          <cell r="K225" t="str">
            <v>General Expeses</v>
          </cell>
          <cell r="L225" t="str">
            <v>Rent Expense</v>
          </cell>
          <cell r="M225" t="str">
            <v>Rent Expense</v>
          </cell>
          <cell r="N225" t="str">
            <v>CHC</v>
          </cell>
        </row>
        <row r="226">
          <cell r="E226">
            <v>613750</v>
          </cell>
          <cell r="F226"/>
          <cell r="G226">
            <v>45948</v>
          </cell>
          <cell r="H226" t="str">
            <v>ABL-CHC-19</v>
          </cell>
          <cell r="I226" t="str">
            <v>OTHER BUSINESS</v>
          </cell>
          <cell r="J226" t="str">
            <v>RECEIPTS</v>
          </cell>
          <cell r="K226" t="str">
            <v>General Expeses</v>
          </cell>
          <cell r="L226" t="str">
            <v>INCOME</v>
          </cell>
          <cell r="M226" t="str">
            <v>INCOME</v>
          </cell>
          <cell r="N226" t="str">
            <v>CHC</v>
          </cell>
        </row>
        <row r="227">
          <cell r="E227">
            <v>736000</v>
          </cell>
          <cell r="F227" t="str">
            <v>Dr.</v>
          </cell>
          <cell r="G227">
            <v>45950</v>
          </cell>
          <cell r="H227" t="str">
            <v>ABL-CHC-19</v>
          </cell>
          <cell r="I227" t="str">
            <v>OTHER BUSINESS</v>
          </cell>
          <cell r="J227" t="str">
            <v>RECEIPTS</v>
          </cell>
          <cell r="K227" t="str">
            <v>General Expeses</v>
          </cell>
          <cell r="L227" t="str">
            <v>INCOME</v>
          </cell>
          <cell r="M227" t="str">
            <v>INCOME</v>
          </cell>
          <cell r="N227" t="str">
            <v>CHC</v>
          </cell>
        </row>
        <row r="228">
          <cell r="E228">
            <v>120000</v>
          </cell>
          <cell r="F228" t="str">
            <v>Dr.</v>
          </cell>
          <cell r="G228">
            <v>45951</v>
          </cell>
          <cell r="H228" t="str">
            <v>ABL-CHC-19</v>
          </cell>
          <cell r="I228" t="str">
            <v>OTHER BUSINESS</v>
          </cell>
          <cell r="J228" t="str">
            <v>RECEIPTS</v>
          </cell>
          <cell r="K228" t="str">
            <v>General Expeses</v>
          </cell>
          <cell r="L228" t="str">
            <v>INCOME</v>
          </cell>
          <cell r="M228" t="str">
            <v>INCOME</v>
          </cell>
          <cell r="N228" t="str">
            <v>CHC</v>
          </cell>
        </row>
        <row r="229">
          <cell r="E229">
            <v>-696</v>
          </cell>
          <cell r="F229"/>
          <cell r="G229">
            <v>45952</v>
          </cell>
          <cell r="H229" t="str">
            <v>ABL-CHC-19</v>
          </cell>
          <cell r="I229" t="str">
            <v>OTHER BUSINESS</v>
          </cell>
          <cell r="J229" t="str">
            <v>Payment</v>
          </cell>
          <cell r="K229" t="str">
            <v>General Expeses</v>
          </cell>
          <cell r="L229" t="str">
            <v>Rent Expense</v>
          </cell>
          <cell r="M229" t="str">
            <v>Rent Expense</v>
          </cell>
          <cell r="N229" t="str">
            <v>CHC</v>
          </cell>
        </row>
        <row r="230">
          <cell r="E230">
            <v>755000</v>
          </cell>
          <cell r="F230"/>
          <cell r="G230">
            <v>45952</v>
          </cell>
          <cell r="H230" t="str">
            <v>ABL-CHC-19</v>
          </cell>
          <cell r="I230" t="str">
            <v>OTHER BUSINESS</v>
          </cell>
          <cell r="J230" t="str">
            <v>RECEIPTS</v>
          </cell>
          <cell r="K230" t="str">
            <v>General Expeses</v>
          </cell>
          <cell r="L230" t="str">
            <v>INCOME</v>
          </cell>
          <cell r="M230" t="str">
            <v>INCOME</v>
          </cell>
          <cell r="N230" t="str">
            <v>CHC</v>
          </cell>
        </row>
        <row r="231">
          <cell r="E231">
            <v>-175000</v>
          </cell>
          <cell r="F231"/>
          <cell r="G231">
            <v>45953</v>
          </cell>
          <cell r="H231" t="str">
            <v>ABL-CHC-19</v>
          </cell>
          <cell r="I231" t="str">
            <v>OTHER BUSINESS</v>
          </cell>
          <cell r="J231" t="str">
            <v>Payment</v>
          </cell>
          <cell r="K231" t="str">
            <v>General Expeses</v>
          </cell>
          <cell r="L231" t="str">
            <v>Rent Expense</v>
          </cell>
          <cell r="M231" t="str">
            <v>Rent Expense</v>
          </cell>
          <cell r="N231" t="str">
            <v>CHC</v>
          </cell>
        </row>
        <row r="232">
          <cell r="E232">
            <v>250000</v>
          </cell>
          <cell r="F232"/>
          <cell r="G232">
            <v>45953</v>
          </cell>
          <cell r="H232" t="str">
            <v>ABL-CHC-19</v>
          </cell>
          <cell r="I232" t="str">
            <v>OTHER BUSINESS</v>
          </cell>
          <cell r="J232" t="str">
            <v>RECEIPTS</v>
          </cell>
          <cell r="K232" t="str">
            <v>General Expeses</v>
          </cell>
          <cell r="L232" t="str">
            <v>INCOME</v>
          </cell>
          <cell r="M232" t="str">
            <v>INCOME</v>
          </cell>
          <cell r="N232" t="str">
            <v>CHC</v>
          </cell>
        </row>
        <row r="233">
          <cell r="E233">
            <v>95000</v>
          </cell>
          <cell r="F233"/>
          <cell r="G233">
            <v>45954</v>
          </cell>
          <cell r="H233" t="str">
            <v>ABL-CHC-19</v>
          </cell>
          <cell r="I233" t="str">
            <v>OTHER BUSINESS</v>
          </cell>
          <cell r="J233" t="str">
            <v>RECEIPTS</v>
          </cell>
          <cell r="K233" t="str">
            <v>General Expeses</v>
          </cell>
          <cell r="L233" t="str">
            <v>INCOME</v>
          </cell>
          <cell r="M233" t="str">
            <v>INCOME</v>
          </cell>
          <cell r="N233" t="str">
            <v>CHC</v>
          </cell>
        </row>
        <row r="234">
          <cell r="E234">
            <v>318000</v>
          </cell>
          <cell r="F234"/>
          <cell r="G234">
            <v>45957</v>
          </cell>
          <cell r="H234" t="str">
            <v>ABL-CHC-19</v>
          </cell>
          <cell r="I234" t="str">
            <v>OTHER BUSINESS</v>
          </cell>
          <cell r="J234" t="str">
            <v>RECEIPTS</v>
          </cell>
          <cell r="K234" t="str">
            <v>General Expeses</v>
          </cell>
          <cell r="L234" t="str">
            <v>INCOME</v>
          </cell>
          <cell r="M234" t="str">
            <v>INCOME</v>
          </cell>
          <cell r="N234" t="str">
            <v>CHC</v>
          </cell>
        </row>
        <row r="235">
          <cell r="E235">
            <v>-162000</v>
          </cell>
          <cell r="F235"/>
          <cell r="G235">
            <v>45958</v>
          </cell>
          <cell r="H235" t="str">
            <v>ABL-CHC-19</v>
          </cell>
          <cell r="I235" t="str">
            <v>OTHER BUSINESS</v>
          </cell>
          <cell r="J235" t="str">
            <v>Payment</v>
          </cell>
          <cell r="K235" t="str">
            <v>General Expeses</v>
          </cell>
          <cell r="L235" t="str">
            <v>Rent Expense</v>
          </cell>
          <cell r="M235" t="str">
            <v>Rent Expense</v>
          </cell>
          <cell r="N235" t="str">
            <v>CHC</v>
          </cell>
        </row>
        <row r="236">
          <cell r="E236">
            <v>100000</v>
          </cell>
          <cell r="F236"/>
          <cell r="G236">
            <v>45958</v>
          </cell>
          <cell r="H236" t="str">
            <v>ABL-CHC-19</v>
          </cell>
          <cell r="I236" t="str">
            <v>OTHER BUSINESS</v>
          </cell>
          <cell r="J236" t="str">
            <v>RECEIPTS</v>
          </cell>
          <cell r="K236" t="str">
            <v>General Expenses</v>
          </cell>
          <cell r="L236" t="str">
            <v>INCOME</v>
          </cell>
          <cell r="M236" t="str">
            <v>INCOME</v>
          </cell>
          <cell r="N236" t="str">
            <v>CHC</v>
          </cell>
        </row>
        <row r="237">
          <cell r="E237">
            <v>-663</v>
          </cell>
          <cell r="F237"/>
          <cell r="G237">
            <v>45959</v>
          </cell>
          <cell r="H237" t="str">
            <v>ABL-CHC-19</v>
          </cell>
          <cell r="I237" t="str">
            <v>OTHER BUSINESS</v>
          </cell>
          <cell r="J237" t="str">
            <v>Payment</v>
          </cell>
          <cell r="K237" t="str">
            <v>General Expeses</v>
          </cell>
          <cell r="L237" t="str">
            <v>Rent Expense</v>
          </cell>
          <cell r="M237" t="str">
            <v>Rent Expense</v>
          </cell>
          <cell r="N237" t="str">
            <v>CHC</v>
          </cell>
        </row>
        <row r="238">
          <cell r="E238">
            <v>115842</v>
          </cell>
          <cell r="F238"/>
          <cell r="G238">
            <v>45959</v>
          </cell>
          <cell r="H238" t="str">
            <v>ABL-CHC-19</v>
          </cell>
          <cell r="I238" t="str">
            <v>OTHER BUSINESS</v>
          </cell>
          <cell r="J238" t="str">
            <v>RECEIPTS</v>
          </cell>
          <cell r="K238" t="str">
            <v>General Expenses</v>
          </cell>
          <cell r="L238" t="str">
            <v>INCOME</v>
          </cell>
          <cell r="M238" t="str">
            <v>INCOME</v>
          </cell>
          <cell r="N238" t="str">
            <v>CHC</v>
          </cell>
        </row>
        <row r="239">
          <cell r="E239">
            <v>-82842</v>
          </cell>
          <cell r="F239"/>
          <cell r="G239">
            <v>45959</v>
          </cell>
          <cell r="H239" t="str">
            <v>ABL-CHC-19</v>
          </cell>
          <cell r="I239" t="str">
            <v>OTHER BUSINESS</v>
          </cell>
          <cell r="J239" t="str">
            <v>Payment</v>
          </cell>
          <cell r="K239" t="str">
            <v>General Expeses</v>
          </cell>
          <cell r="L239" t="str">
            <v>Rent Expense</v>
          </cell>
          <cell r="M239" t="str">
            <v>Rent Expense</v>
          </cell>
          <cell r="N239" t="str">
            <v>CHC</v>
          </cell>
        </row>
        <row r="240">
          <cell r="E240">
            <v>-152058</v>
          </cell>
          <cell r="F240"/>
          <cell r="G240">
            <v>45959</v>
          </cell>
          <cell r="H240" t="str">
            <v>ABL-CHC-19</v>
          </cell>
          <cell r="I240" t="str">
            <v>OTHER BUSINESS</v>
          </cell>
          <cell r="J240" t="str">
            <v>Payment</v>
          </cell>
          <cell r="K240" t="str">
            <v>General Expeses</v>
          </cell>
          <cell r="L240" t="str">
            <v>Rent Expense</v>
          </cell>
          <cell r="M240" t="str">
            <v>Rent Expense</v>
          </cell>
          <cell r="N240" t="str">
            <v>CHC</v>
          </cell>
        </row>
        <row r="241">
          <cell r="E241">
            <v>-152028</v>
          </cell>
          <cell r="F241"/>
          <cell r="G241">
            <v>45959</v>
          </cell>
          <cell r="H241" t="str">
            <v>ABL-CHC-19</v>
          </cell>
          <cell r="I241" t="str">
            <v>OTHER BUSINESS</v>
          </cell>
          <cell r="J241" t="str">
            <v>Payment</v>
          </cell>
          <cell r="K241" t="str">
            <v>General Expeses</v>
          </cell>
          <cell r="L241" t="str">
            <v>Rent Expense</v>
          </cell>
          <cell r="M241" t="str">
            <v>Rent Expense</v>
          </cell>
          <cell r="N241" t="str">
            <v>CHC</v>
          </cell>
        </row>
        <row r="242">
          <cell r="E242">
            <v>180000</v>
          </cell>
          <cell r="F242"/>
          <cell r="G242">
            <v>45961</v>
          </cell>
          <cell r="H242" t="str">
            <v>ABL-CHC-19</v>
          </cell>
          <cell r="I242" t="str">
            <v>OTHER BUSINESS</v>
          </cell>
          <cell r="J242" t="str">
            <v>RECEIPTS</v>
          </cell>
          <cell r="K242" t="str">
            <v>General Expenses</v>
          </cell>
          <cell r="L242" t="str">
            <v>INCOME</v>
          </cell>
          <cell r="M242" t="str">
            <v>INCOME</v>
          </cell>
          <cell r="N242" t="str">
            <v>CHC</v>
          </cell>
        </row>
        <row r="243">
          <cell r="E243">
            <v>0</v>
          </cell>
          <cell r="F243"/>
          <cell r="G243">
            <v>45962</v>
          </cell>
          <cell r="H243" t="str">
            <v>ABL-CHC-19</v>
          </cell>
          <cell r="I243" t="str">
            <v>OTHER BUSINESS</v>
          </cell>
          <cell r="J243"/>
        </row>
        <row r="244">
          <cell r="E244">
            <v>238000</v>
          </cell>
          <cell r="F244"/>
          <cell r="G244">
            <v>45964</v>
          </cell>
          <cell r="H244" t="str">
            <v>ABL-CHC-19</v>
          </cell>
          <cell r="I244" t="str">
            <v>OTHER BUSINESS</v>
          </cell>
          <cell r="J244" t="str">
            <v>RECEIPTS</v>
          </cell>
          <cell r="K244" t="str">
            <v>General Expenses</v>
          </cell>
          <cell r="L244" t="str">
            <v>INCOME</v>
          </cell>
          <cell r="M244" t="str">
            <v>INCOME</v>
          </cell>
          <cell r="N244" t="str">
            <v>CHC</v>
          </cell>
        </row>
        <row r="245">
          <cell r="E245">
            <v>135000</v>
          </cell>
          <cell r="F245"/>
          <cell r="G245">
            <v>45965</v>
          </cell>
          <cell r="H245" t="str">
            <v>ABL-CHC-19</v>
          </cell>
          <cell r="I245" t="str">
            <v>OTHER BUSINESS</v>
          </cell>
          <cell r="J245" t="str">
            <v>RECEIPTS</v>
          </cell>
          <cell r="K245" t="str">
            <v>General Expeses</v>
          </cell>
          <cell r="L245" t="str">
            <v>Income</v>
          </cell>
          <cell r="M245" t="str">
            <v>Income</v>
          </cell>
          <cell r="N245" t="str">
            <v>CHC</v>
          </cell>
        </row>
        <row r="246">
          <cell r="E246">
            <v>-2405046</v>
          </cell>
          <cell r="F246"/>
          <cell r="G246">
            <v>45965</v>
          </cell>
          <cell r="H246" t="str">
            <v>ABL-CHC-19</v>
          </cell>
          <cell r="I246" t="str">
            <v>OTHER BUSINESS</v>
          </cell>
          <cell r="J246" t="str">
            <v>Payment</v>
          </cell>
          <cell r="K246" t="str">
            <v>General Expeses</v>
          </cell>
          <cell r="L246" t="str">
            <v>Rent Expense</v>
          </cell>
          <cell r="M246" t="str">
            <v>Rent Expense</v>
          </cell>
          <cell r="N246" t="str">
            <v>CHC</v>
          </cell>
        </row>
        <row r="247">
          <cell r="E247">
            <v>-35</v>
          </cell>
          <cell r="F247"/>
          <cell r="G247">
            <v>45965</v>
          </cell>
          <cell r="H247" t="str">
            <v>ABL-CHC-19</v>
          </cell>
          <cell r="I247" t="str">
            <v>OTHER BUSINESS</v>
          </cell>
          <cell r="J247" t="str">
            <v>Payment</v>
          </cell>
          <cell r="K247" t="str">
            <v>General Expeses</v>
          </cell>
          <cell r="L247" t="str">
            <v>Rent Expense</v>
          </cell>
          <cell r="M247" t="str">
            <v>Rent Expense</v>
          </cell>
          <cell r="N247" t="str">
            <v>CHC</v>
          </cell>
        </row>
        <row r="248">
          <cell r="E248">
            <v>150000</v>
          </cell>
          <cell r="F248"/>
          <cell r="G248">
            <v>45966</v>
          </cell>
          <cell r="H248" t="str">
            <v>ABL-CHC-19</v>
          </cell>
          <cell r="I248" t="str">
            <v>OTHER BUSINESS</v>
          </cell>
          <cell r="J248" t="str">
            <v>RECEIPTS</v>
          </cell>
          <cell r="K248" t="str">
            <v>General Expeses</v>
          </cell>
          <cell r="L248" t="str">
            <v>INCOME</v>
          </cell>
          <cell r="M248" t="str">
            <v>INCOME</v>
          </cell>
          <cell r="N248" t="str">
            <v>CHC</v>
          </cell>
        </row>
        <row r="249">
          <cell r="E249">
            <v>100000</v>
          </cell>
          <cell r="F249"/>
          <cell r="G249">
            <v>45967</v>
          </cell>
          <cell r="H249" t="str">
            <v>ABL-CHC-19</v>
          </cell>
          <cell r="I249" t="str">
            <v>OTHER BUSINESS</v>
          </cell>
          <cell r="J249" t="str">
            <v>RECEIPTS</v>
          </cell>
          <cell r="K249" t="str">
            <v>General Expeses</v>
          </cell>
          <cell r="L249" t="str">
            <v>INCOME</v>
          </cell>
          <cell r="M249" t="str">
            <v>INCOME</v>
          </cell>
          <cell r="N249" t="str">
            <v>CHC</v>
          </cell>
        </row>
        <row r="250">
          <cell r="E250">
            <v>418500</v>
          </cell>
          <cell r="F250" t="str">
            <v>Dr.</v>
          </cell>
          <cell r="G250">
            <v>45971</v>
          </cell>
          <cell r="H250" t="str">
            <v>ABL-CHC-19</v>
          </cell>
          <cell r="I250" t="str">
            <v>OTHER BUSINESS</v>
          </cell>
          <cell r="J250" t="str">
            <v>RECEIPTS</v>
          </cell>
          <cell r="K250" t="str">
            <v>General Expeses</v>
          </cell>
          <cell r="L250" t="str">
            <v>INCOME</v>
          </cell>
          <cell r="M250" t="str">
            <v>INCOME</v>
          </cell>
          <cell r="N250" t="str">
            <v>CHC</v>
          </cell>
        </row>
        <row r="251">
          <cell r="E251">
            <v>340000</v>
          </cell>
          <cell r="F251"/>
          <cell r="G251">
            <v>45972</v>
          </cell>
          <cell r="H251" t="str">
            <v>ABL-CHC-19</v>
          </cell>
          <cell r="I251" t="str">
            <v>OTHER BUSINESS</v>
          </cell>
          <cell r="J251" t="str">
            <v>RECEIPTS</v>
          </cell>
          <cell r="K251" t="str">
            <v>General Expenses</v>
          </cell>
          <cell r="L251" t="str">
            <v>INCOME</v>
          </cell>
          <cell r="M251" t="str">
            <v>INCOME</v>
          </cell>
          <cell r="N251" t="str">
            <v>CHC</v>
          </cell>
        </row>
        <row r="252">
          <cell r="E252">
            <v>-5040</v>
          </cell>
          <cell r="F252"/>
          <cell r="G252">
            <v>45974</v>
          </cell>
          <cell r="H252" t="str">
            <v>ABL-CHC-19</v>
          </cell>
          <cell r="I252" t="str">
            <v>OTHER BUSINESS</v>
          </cell>
          <cell r="J252" t="str">
            <v>Payment</v>
          </cell>
          <cell r="K252" t="str">
            <v>General Expeses</v>
          </cell>
          <cell r="L252" t="str">
            <v>Rent Expense</v>
          </cell>
          <cell r="M252" t="str">
            <v>Rent Expense</v>
          </cell>
          <cell r="N252" t="str">
            <v>CHC</v>
          </cell>
        </row>
        <row r="253">
          <cell r="E253">
            <v>230000</v>
          </cell>
          <cell r="F253"/>
          <cell r="G253">
            <v>45974</v>
          </cell>
          <cell r="H253" t="str">
            <v>ABL-CHC-19</v>
          </cell>
          <cell r="I253" t="str">
            <v>OTHER BUSINESS</v>
          </cell>
          <cell r="J253" t="str">
            <v>RECEIPTS</v>
          </cell>
          <cell r="K253" t="str">
            <v>General Expenses</v>
          </cell>
          <cell r="L253" t="str">
            <v>INCOME</v>
          </cell>
          <cell r="M253" t="str">
            <v>INCOME</v>
          </cell>
          <cell r="N253" t="str">
            <v>CHC</v>
          </cell>
        </row>
        <row r="254">
          <cell r="E254">
            <v>-10575</v>
          </cell>
          <cell r="F254"/>
          <cell r="G254">
            <v>45975</v>
          </cell>
          <cell r="H254" t="str">
            <v>ABL-CHC-19</v>
          </cell>
          <cell r="I254" t="str">
            <v>OTHER BUSINESS</v>
          </cell>
          <cell r="J254" t="str">
            <v>Payment</v>
          </cell>
          <cell r="K254" t="str">
            <v>General Expenses</v>
          </cell>
          <cell r="L254" t="str">
            <v>General, Admin &amp; Marketing Expenses</v>
          </cell>
          <cell r="M254" t="str">
            <v>Rent Expense</v>
          </cell>
          <cell r="N254" t="str">
            <v>CHC</v>
          </cell>
        </row>
        <row r="255">
          <cell r="E255">
            <v>-10027</v>
          </cell>
          <cell r="F255"/>
          <cell r="G255">
            <v>45978</v>
          </cell>
          <cell r="H255" t="str">
            <v>ABL-CHC-19</v>
          </cell>
          <cell r="I255" t="str">
            <v>OTHER BUSINESS</v>
          </cell>
          <cell r="J255" t="str">
            <v>Payment</v>
          </cell>
          <cell r="K255" t="str">
            <v>General Expenses</v>
          </cell>
          <cell r="L255" t="str">
            <v>Rent Expense</v>
          </cell>
          <cell r="M255" t="str">
            <v>Rent Expense</v>
          </cell>
          <cell r="N255" t="str">
            <v>CHC</v>
          </cell>
        </row>
        <row r="256">
          <cell r="E256">
            <v>-50400</v>
          </cell>
          <cell r="F256"/>
          <cell r="G256">
            <v>45978</v>
          </cell>
          <cell r="H256" t="str">
            <v>ABL-CHC-19</v>
          </cell>
          <cell r="I256" t="str">
            <v>OTHER BUSINESS</v>
          </cell>
          <cell r="J256" t="str">
            <v>Payment</v>
          </cell>
          <cell r="K256" t="str">
            <v>General Expenses</v>
          </cell>
          <cell r="L256" t="str">
            <v>Rent Expense</v>
          </cell>
          <cell r="M256" t="str">
            <v>Rent Expense</v>
          </cell>
          <cell r="N256" t="str">
            <v>CHC</v>
          </cell>
        </row>
        <row r="257">
          <cell r="E257">
            <v>25000</v>
          </cell>
          <cell r="F257"/>
          <cell r="G257">
            <v>45978</v>
          </cell>
          <cell r="H257" t="str">
            <v>ABL-CHC-19</v>
          </cell>
          <cell r="I257" t="str">
            <v>OTHER BUSINESS</v>
          </cell>
          <cell r="J257" t="str">
            <v>RECEIPTS</v>
          </cell>
          <cell r="K257" t="str">
            <v>General Expeses</v>
          </cell>
          <cell r="L257" t="str">
            <v>bank profit</v>
          </cell>
          <cell r="M257" t="str">
            <v>bank profit</v>
          </cell>
          <cell r="N257" t="str">
            <v>CHC</v>
          </cell>
        </row>
        <row r="258">
          <cell r="E258">
            <v>150000</v>
          </cell>
          <cell r="F258"/>
          <cell r="G258">
            <v>45979</v>
          </cell>
          <cell r="H258" t="str">
            <v>ABL-CHC-19</v>
          </cell>
          <cell r="I258" t="str">
            <v>OTHER BUSINESS</v>
          </cell>
          <cell r="J258" t="str">
            <v>RECEIPTS</v>
          </cell>
          <cell r="K258" t="str">
            <v>General Expeses</v>
          </cell>
          <cell r="L258" t="str">
            <v>INCOME</v>
          </cell>
          <cell r="M258" t="str">
            <v>INCOME</v>
          </cell>
          <cell r="N258" t="str">
            <v>CHC</v>
          </cell>
        </row>
        <row r="259">
          <cell r="E259">
            <v>320000</v>
          </cell>
          <cell r="F259"/>
          <cell r="G259">
            <v>45980</v>
          </cell>
          <cell r="H259" t="str">
            <v>ABL-CHC-19</v>
          </cell>
          <cell r="I259" t="str">
            <v>OTHER BUSINESS</v>
          </cell>
          <cell r="J259" t="str">
            <v>RECEIPTS</v>
          </cell>
          <cell r="K259" t="str">
            <v>General Expenses</v>
          </cell>
          <cell r="L259" t="str">
            <v>INCOME</v>
          </cell>
          <cell r="M259" t="str">
            <v>INCOME</v>
          </cell>
          <cell r="N259" t="str">
            <v>CHC</v>
          </cell>
        </row>
        <row r="260">
          <cell r="E260">
            <v>-504000</v>
          </cell>
          <cell r="F260"/>
          <cell r="G260">
            <v>45980</v>
          </cell>
          <cell r="H260" t="str">
            <v>ABL-CHC-19</v>
          </cell>
          <cell r="I260" t="str">
            <v>OTHER BUSINESS</v>
          </cell>
          <cell r="J260" t="str">
            <v>Payment</v>
          </cell>
          <cell r="K260" t="str">
            <v>General Expenses</v>
          </cell>
          <cell r="L260" t="str">
            <v>Rent Expense</v>
          </cell>
          <cell r="M260" t="str">
            <v>Rent Expense</v>
          </cell>
          <cell r="N260" t="str">
            <v>CHC</v>
          </cell>
        </row>
        <row r="261">
          <cell r="E261">
            <v>-84000</v>
          </cell>
          <cell r="F261"/>
          <cell r="G261">
            <v>45980</v>
          </cell>
          <cell r="H261" t="str">
            <v>ABL-CHC-19</v>
          </cell>
          <cell r="I261" t="str">
            <v>OTHER BUSINESS</v>
          </cell>
          <cell r="J261" t="str">
            <v>Payment</v>
          </cell>
          <cell r="K261" t="str">
            <v>General Expenses</v>
          </cell>
          <cell r="L261" t="str">
            <v>Rent Expense</v>
          </cell>
          <cell r="M261" t="str">
            <v>Rent Expense</v>
          </cell>
          <cell r="N261" t="str">
            <v>CHC</v>
          </cell>
        </row>
        <row r="262">
          <cell r="E262">
            <v>-84000</v>
          </cell>
          <cell r="F262"/>
          <cell r="G262">
            <v>45981</v>
          </cell>
          <cell r="H262" t="str">
            <v>ABL-CHC-19</v>
          </cell>
          <cell r="I262" t="str">
            <v>OTHER BUSINESS</v>
          </cell>
          <cell r="J262" t="str">
            <v>Payment</v>
          </cell>
          <cell r="K262" t="str">
            <v>General Expenses</v>
          </cell>
          <cell r="L262" t="str">
            <v>Rent Expense</v>
          </cell>
          <cell r="M262" t="str">
            <v>Rent Expense</v>
          </cell>
          <cell r="N262" t="str">
            <v>CHC</v>
          </cell>
        </row>
        <row r="263">
          <cell r="E263">
            <v>-84000</v>
          </cell>
          <cell r="F263"/>
          <cell r="G263">
            <v>45981</v>
          </cell>
          <cell r="H263" t="str">
            <v>ABL-CHC-19</v>
          </cell>
          <cell r="I263" t="str">
            <v>OTHER BUSINESS</v>
          </cell>
          <cell r="J263" t="str">
            <v>Payment</v>
          </cell>
          <cell r="K263" t="str">
            <v>General Expenses</v>
          </cell>
          <cell r="L263" t="str">
            <v>Rent Expense</v>
          </cell>
          <cell r="M263" t="str">
            <v>Rent Expense</v>
          </cell>
          <cell r="N263" t="str">
            <v>CHC</v>
          </cell>
        </row>
        <row r="264">
          <cell r="E264">
            <v>-89331</v>
          </cell>
          <cell r="F264"/>
          <cell r="G264">
            <v>45981</v>
          </cell>
          <cell r="H264" t="str">
            <v>ABL-CHC-19</v>
          </cell>
          <cell r="I264" t="str">
            <v>OTHER BUSINESS</v>
          </cell>
          <cell r="J264" t="str">
            <v>Payment</v>
          </cell>
          <cell r="K264" t="str">
            <v>General Expenses</v>
          </cell>
          <cell r="L264" t="str">
            <v>Rent Expense</v>
          </cell>
          <cell r="M264" t="str">
            <v>Rent Expense</v>
          </cell>
          <cell r="N264" t="str">
            <v>CHC</v>
          </cell>
        </row>
        <row r="265">
          <cell r="E265">
            <v>-541000</v>
          </cell>
          <cell r="F265"/>
          <cell r="G265">
            <v>45982</v>
          </cell>
          <cell r="H265" t="str">
            <v>ABL-CHC-19</v>
          </cell>
          <cell r="I265" t="str">
            <v>OTHER BUSINESS</v>
          </cell>
          <cell r="J265" t="str">
            <v>Payment</v>
          </cell>
          <cell r="K265" t="str">
            <v>General Expenses</v>
          </cell>
          <cell r="L265" t="str">
            <v>Rent Expense</v>
          </cell>
          <cell r="M265" t="str">
            <v>Rent Expense</v>
          </cell>
          <cell r="N265" t="str">
            <v>CHC</v>
          </cell>
        </row>
        <row r="266">
          <cell r="E266">
            <v>-504000</v>
          </cell>
          <cell r="F266"/>
          <cell r="G266">
            <v>45982</v>
          </cell>
          <cell r="H266" t="str">
            <v>ABL-CHC-19</v>
          </cell>
          <cell r="I266" t="str">
            <v>OTHER BUSINESS</v>
          </cell>
          <cell r="J266" t="str">
            <v>Payment</v>
          </cell>
          <cell r="K266" t="str">
            <v>General Expenses</v>
          </cell>
          <cell r="L266" t="str">
            <v>Rent Expense</v>
          </cell>
          <cell r="M266" t="str">
            <v>Rent Expense</v>
          </cell>
          <cell r="N266" t="str">
            <v>CHC</v>
          </cell>
        </row>
        <row r="267">
          <cell r="E267">
            <v>300000</v>
          </cell>
          <cell r="F267"/>
          <cell r="G267">
            <v>45982</v>
          </cell>
          <cell r="H267" t="str">
            <v>ABL-CHC-19</v>
          </cell>
          <cell r="I267" t="str">
            <v>OTHER BUSINESS</v>
          </cell>
          <cell r="J267" t="str">
            <v>RECEIPTS</v>
          </cell>
          <cell r="K267" t="str">
            <v>General Expenses</v>
          </cell>
          <cell r="L267" t="str">
            <v>INCOME</v>
          </cell>
          <cell r="M267" t="str">
            <v>INCOME</v>
          </cell>
          <cell r="N267" t="str">
            <v>CHC</v>
          </cell>
        </row>
        <row r="268">
          <cell r="E268">
            <v>430000</v>
          </cell>
          <cell r="F268"/>
          <cell r="G268">
            <v>45985</v>
          </cell>
          <cell r="H268" t="str">
            <v>ABL-CHC-19</v>
          </cell>
          <cell r="I268" t="str">
            <v>OTHER BUSINESS</v>
          </cell>
          <cell r="J268" t="str">
            <v>RECEIPTS</v>
          </cell>
          <cell r="K268" t="str">
            <v>General Expeses</v>
          </cell>
          <cell r="L268" t="str">
            <v>Income</v>
          </cell>
          <cell r="M268" t="str">
            <v>Income</v>
          </cell>
          <cell r="N268" t="str">
            <v>CHC</v>
          </cell>
        </row>
        <row r="269">
          <cell r="E269">
            <v>-73029</v>
          </cell>
          <cell r="F269"/>
          <cell r="G269">
            <v>45987</v>
          </cell>
          <cell r="H269" t="str">
            <v>ABL-CHC-19</v>
          </cell>
          <cell r="I269" t="str">
            <v>OTHER BUSINESS</v>
          </cell>
          <cell r="J269" t="str">
            <v>Payment</v>
          </cell>
          <cell r="K269" t="str">
            <v>General Expenses</v>
          </cell>
          <cell r="L269" t="str">
            <v>Rent Expense</v>
          </cell>
          <cell r="M269" t="str">
            <v>Rent Expense</v>
          </cell>
          <cell r="N269" t="str">
            <v>CHC</v>
          </cell>
        </row>
        <row r="270">
          <cell r="E270">
            <v>130000</v>
          </cell>
          <cell r="F270"/>
          <cell r="G270">
            <v>45987</v>
          </cell>
          <cell r="H270" t="str">
            <v>ABL-CHC-19</v>
          </cell>
          <cell r="I270" t="str">
            <v>OTHER BUSINESS</v>
          </cell>
          <cell r="J270" t="str">
            <v>RECEIPTS</v>
          </cell>
          <cell r="K270" t="str">
            <v>General Expeses</v>
          </cell>
          <cell r="L270" t="str">
            <v>INCOME</v>
          </cell>
          <cell r="M270" t="str">
            <v>INCOME</v>
          </cell>
          <cell r="N270" t="str">
            <v>CHC</v>
          </cell>
        </row>
        <row r="271">
          <cell r="E271">
            <v>190000</v>
          </cell>
          <cell r="F271"/>
          <cell r="G271">
            <v>45988</v>
          </cell>
          <cell r="H271" t="str">
            <v>ABL-CHC-19</v>
          </cell>
          <cell r="I271" t="str">
            <v>OTHER BUSINESS</v>
          </cell>
          <cell r="J271" t="str">
            <v>RECEIPTS</v>
          </cell>
          <cell r="K271" t="str">
            <v>General Expeses</v>
          </cell>
          <cell r="L271" t="str">
            <v>INCOME</v>
          </cell>
          <cell r="M271" t="str">
            <v>INCOME</v>
          </cell>
          <cell r="N271" t="str">
            <v>CHC</v>
          </cell>
        </row>
        <row r="272">
          <cell r="E272">
            <v>-2046990</v>
          </cell>
          <cell r="F272"/>
          <cell r="G272">
            <v>45993</v>
          </cell>
          <cell r="H272" t="str">
            <v>ABL-CHC-19</v>
          </cell>
          <cell r="I272" t="str">
            <v>OTHER BUSINESS</v>
          </cell>
          <cell r="J272" t="str">
            <v>Payment</v>
          </cell>
          <cell r="K272" t="str">
            <v>General Expenses</v>
          </cell>
          <cell r="L272" t="str">
            <v>Rent Expense</v>
          </cell>
          <cell r="M272" t="str">
            <v>Rent Expense</v>
          </cell>
          <cell r="N272" t="str">
            <v>CHC</v>
          </cell>
        </row>
        <row r="273">
          <cell r="E273">
            <v>265000</v>
          </cell>
          <cell r="F273"/>
          <cell r="G273">
            <v>45993</v>
          </cell>
          <cell r="H273" t="str">
            <v>ABL-CHC-19</v>
          </cell>
          <cell r="I273" t="str">
            <v>OTHER BUSINESS</v>
          </cell>
          <cell r="J273" t="str">
            <v>RECEIPTS</v>
          </cell>
          <cell r="K273" t="str">
            <v>General Expeses</v>
          </cell>
          <cell r="L273" t="str">
            <v>INCOME</v>
          </cell>
          <cell r="M273" t="str">
            <v>INCOME</v>
          </cell>
          <cell r="N273" t="str">
            <v>CHC</v>
          </cell>
        </row>
        <row r="274">
          <cell r="E274">
            <v>-504000</v>
          </cell>
          <cell r="F274"/>
          <cell r="G274">
            <v>45995</v>
          </cell>
          <cell r="H274" t="str">
            <v>ABL-CHC-19</v>
          </cell>
          <cell r="I274" t="str">
            <v>OTHER BUSINESS</v>
          </cell>
          <cell r="J274" t="str">
            <v>Payment</v>
          </cell>
          <cell r="K274" t="str">
            <v>General Expenses</v>
          </cell>
          <cell r="L274" t="str">
            <v>Rent Expense</v>
          </cell>
          <cell r="M274" t="str">
            <v>Rent Expense</v>
          </cell>
          <cell r="N274" t="str">
            <v>CHC</v>
          </cell>
        </row>
        <row r="275">
          <cell r="E275">
            <v>-84000</v>
          </cell>
          <cell r="F275"/>
          <cell r="G275">
            <v>45995</v>
          </cell>
          <cell r="H275" t="str">
            <v>ABL-CHC-19</v>
          </cell>
          <cell r="I275" t="str">
            <v>OTHER BUSINESS</v>
          </cell>
          <cell r="J275" t="str">
            <v>Payment</v>
          </cell>
          <cell r="K275" t="str">
            <v>General Expenses</v>
          </cell>
          <cell r="L275" t="str">
            <v>Rent Expense</v>
          </cell>
          <cell r="M275" t="str">
            <v>Rent Expense</v>
          </cell>
          <cell r="N275" t="str">
            <v>CHC</v>
          </cell>
        </row>
        <row r="276">
          <cell r="E276">
            <v>-84000</v>
          </cell>
          <cell r="F276"/>
          <cell r="G276">
            <v>45995</v>
          </cell>
          <cell r="H276" t="str">
            <v>ABL-CHC-19</v>
          </cell>
          <cell r="I276" t="str">
            <v>OTHER BUSINESS</v>
          </cell>
          <cell r="J276" t="str">
            <v>Payment</v>
          </cell>
          <cell r="K276" t="str">
            <v>General Expenses</v>
          </cell>
          <cell r="L276" t="str">
            <v>Rent Expense</v>
          </cell>
          <cell r="M276" t="str">
            <v>Rent Expense</v>
          </cell>
          <cell r="N276" t="str">
            <v>CHC</v>
          </cell>
        </row>
        <row r="277">
          <cell r="E277">
            <v>-84000</v>
          </cell>
          <cell r="F277"/>
          <cell r="G277">
            <v>45995</v>
          </cell>
          <cell r="H277" t="str">
            <v>ABL-CHC-19</v>
          </cell>
          <cell r="I277" t="str">
            <v>OTHER BUSINESS</v>
          </cell>
          <cell r="J277" t="str">
            <v>Payment</v>
          </cell>
          <cell r="K277" t="str">
            <v>General Expeses</v>
          </cell>
          <cell r="L277" t="str">
            <v>General, Admin &amp; Marketing Expenses</v>
          </cell>
          <cell r="M277" t="str">
            <v>General Expenses</v>
          </cell>
          <cell r="N277" t="str">
            <v>CHC</v>
          </cell>
        </row>
        <row r="278">
          <cell r="E278">
            <v>-504000</v>
          </cell>
          <cell r="F278"/>
          <cell r="G278">
            <v>45996</v>
          </cell>
          <cell r="H278" t="str">
            <v>ABL-CHC-19</v>
          </cell>
          <cell r="I278" t="str">
            <v>OTHER BUSINESS</v>
          </cell>
          <cell r="J278" t="str">
            <v>Payment</v>
          </cell>
          <cell r="K278" t="str">
            <v>General Expeses</v>
          </cell>
          <cell r="L278" t="str">
            <v>Salaries &amp; Wages</v>
          </cell>
          <cell r="M278" t="str">
            <v>Salaries &amp; Wages</v>
          </cell>
          <cell r="N278" t="str">
            <v>CHC</v>
          </cell>
        </row>
        <row r="279">
          <cell r="E279">
            <v>99750</v>
          </cell>
          <cell r="F279"/>
          <cell r="G279">
            <v>45996</v>
          </cell>
          <cell r="H279" t="str">
            <v>ABL-CHC-19</v>
          </cell>
          <cell r="I279" t="str">
            <v>OTHER BUSINESS</v>
          </cell>
          <cell r="J279" t="str">
            <v>RECEIPTS</v>
          </cell>
          <cell r="K279" t="str">
            <v>General Expeses</v>
          </cell>
          <cell r="L279" t="str">
            <v>Income</v>
          </cell>
          <cell r="M279" t="str">
            <v>Income</v>
          </cell>
          <cell r="N279" t="str">
            <v>CHC</v>
          </cell>
        </row>
        <row r="280">
          <cell r="E280">
            <v>365500</v>
          </cell>
          <cell r="F280"/>
          <cell r="G280">
            <v>45999</v>
          </cell>
          <cell r="H280" t="str">
            <v>ABL-CHC-19</v>
          </cell>
          <cell r="I280" t="str">
            <v>OTHER BUSINESS</v>
          </cell>
          <cell r="J280" t="str">
            <v>RECEIPTS</v>
          </cell>
          <cell r="K280" t="str">
            <v>General Expeses</v>
          </cell>
          <cell r="L280" t="str">
            <v>Income</v>
          </cell>
          <cell r="M280" t="str">
            <v>Income</v>
          </cell>
          <cell r="N280" t="str">
            <v>CHC</v>
          </cell>
        </row>
        <row r="281">
          <cell r="E281">
            <v>90000</v>
          </cell>
          <cell r="F281"/>
          <cell r="G281">
            <v>46000</v>
          </cell>
          <cell r="H281" t="str">
            <v>ABL-CHC-19</v>
          </cell>
          <cell r="I281" t="str">
            <v>OTHER BUSINESS</v>
          </cell>
          <cell r="J281" t="str">
            <v>RECEIPTS</v>
          </cell>
          <cell r="K281" t="str">
            <v>General Expeses</v>
          </cell>
          <cell r="L281" t="str">
            <v>INCOME</v>
          </cell>
          <cell r="M281" t="str">
            <v>INCOME</v>
          </cell>
          <cell r="N281" t="str">
            <v>CHC</v>
          </cell>
        </row>
        <row r="282">
          <cell r="E282">
            <v>70000</v>
          </cell>
          <cell r="F282"/>
          <cell r="G282">
            <v>46001</v>
          </cell>
          <cell r="H282" t="str">
            <v>ABL-CHC-19</v>
          </cell>
          <cell r="I282" t="str">
            <v>OTHER BUSINESS</v>
          </cell>
          <cell r="J282" t="str">
            <v>RECEIPTS</v>
          </cell>
          <cell r="K282" t="str">
            <v>General Expeses</v>
          </cell>
          <cell r="L282" t="str">
            <v>INCOME</v>
          </cell>
          <cell r="M282" t="str">
            <v>INCOME</v>
          </cell>
          <cell r="N282" t="str">
            <v>CHC</v>
          </cell>
        </row>
        <row r="283">
          <cell r="E283">
            <v>40000</v>
          </cell>
          <cell r="F283" t="str">
            <v>Dr.</v>
          </cell>
          <cell r="G283">
            <v>46003</v>
          </cell>
          <cell r="H283" t="str">
            <v>ABL-CHC-19</v>
          </cell>
          <cell r="I283" t="str">
            <v>OTHER BUSINESS</v>
          </cell>
          <cell r="J283" t="str">
            <v>RECEIPTS</v>
          </cell>
          <cell r="K283" t="str">
            <v>General Expenses</v>
          </cell>
          <cell r="L283" t="str">
            <v>INCOME</v>
          </cell>
          <cell r="M283" t="str">
            <v>INCOME</v>
          </cell>
          <cell r="N283" t="str">
            <v>CHC</v>
          </cell>
        </row>
        <row r="284">
          <cell r="E284">
            <v>410000</v>
          </cell>
          <cell r="F284"/>
          <cell r="G284">
            <v>46006</v>
          </cell>
          <cell r="H284" t="str">
            <v>ABL-CHC-19</v>
          </cell>
          <cell r="I284" t="str">
            <v>OTHER BUSINESS</v>
          </cell>
          <cell r="J284" t="str">
            <v>RECEIPTS</v>
          </cell>
          <cell r="K284" t="str">
            <v>General Expenses</v>
          </cell>
          <cell r="L284" t="str">
            <v>INCOME</v>
          </cell>
          <cell r="M284" t="str">
            <v>INCOME</v>
          </cell>
          <cell r="N284" t="str">
            <v>CHC</v>
          </cell>
        </row>
        <row r="285">
          <cell r="E285">
            <v>-23</v>
          </cell>
          <cell r="F285"/>
          <cell r="G285">
            <v>46006</v>
          </cell>
          <cell r="H285" t="str">
            <v>ABL-CHC-19</v>
          </cell>
          <cell r="I285" t="str">
            <v>OTHER BUSINESS</v>
          </cell>
          <cell r="J285" t="str">
            <v>Payment</v>
          </cell>
          <cell r="K285" t="str">
            <v>General Expeses</v>
          </cell>
          <cell r="L285" t="str">
            <v>Salaries &amp; Wages</v>
          </cell>
          <cell r="M285" t="str">
            <v>Salaries &amp; Wages</v>
          </cell>
          <cell r="N285" t="str">
            <v>CHC</v>
          </cell>
        </row>
        <row r="286">
          <cell r="E286">
            <v>-10575</v>
          </cell>
          <cell r="F286"/>
          <cell r="G286">
            <v>46006</v>
          </cell>
          <cell r="H286" t="str">
            <v>ABL-CHC-19</v>
          </cell>
          <cell r="I286" t="str">
            <v>OTHER BUSINESS</v>
          </cell>
          <cell r="J286" t="str">
            <v>Payment</v>
          </cell>
          <cell r="K286" t="str">
            <v>General Expeses</v>
          </cell>
          <cell r="L286" t="str">
            <v>General, Admin &amp; Marketing Expenses</v>
          </cell>
          <cell r="M286" t="str">
            <v>IT EQUIPMENT</v>
          </cell>
          <cell r="N286" t="str">
            <v>CHC</v>
          </cell>
        </row>
        <row r="287">
          <cell r="E287">
            <v>-8700</v>
          </cell>
          <cell r="F287"/>
          <cell r="G287">
            <v>46006</v>
          </cell>
          <cell r="H287" t="str">
            <v>ABL-CHC-19</v>
          </cell>
          <cell r="I287" t="str">
            <v>OTHER BUSINESS</v>
          </cell>
          <cell r="J287" t="str">
            <v>Payment</v>
          </cell>
          <cell r="K287" t="str">
            <v>General Expeses</v>
          </cell>
          <cell r="L287" t="str">
            <v>Utilities</v>
          </cell>
          <cell r="M287" t="str">
            <v>Electricity</v>
          </cell>
          <cell r="N287" t="str">
            <v>CHC</v>
          </cell>
        </row>
        <row r="288">
          <cell r="E288">
            <v>200000</v>
          </cell>
          <cell r="F288"/>
          <cell r="G288">
            <v>46008</v>
          </cell>
          <cell r="H288" t="str">
            <v>ABL-CHC-19</v>
          </cell>
          <cell r="I288" t="str">
            <v>OTHER BUSINESS</v>
          </cell>
          <cell r="J288" t="str">
            <v>RECEIPTS</v>
          </cell>
          <cell r="K288" t="str">
            <v>General Expenses</v>
          </cell>
          <cell r="L288" t="str">
            <v>INCOME</v>
          </cell>
          <cell r="M288" t="str">
            <v>INCOME</v>
          </cell>
          <cell r="N288" t="str">
            <v>CHC</v>
          </cell>
        </row>
        <row r="289">
          <cell r="E289">
            <v>-48000</v>
          </cell>
          <cell r="F289"/>
          <cell r="G289">
            <v>46009</v>
          </cell>
          <cell r="H289" t="str">
            <v>ABL-CHC-19</v>
          </cell>
          <cell r="I289" t="str">
            <v>OTHER BUSINESS</v>
          </cell>
          <cell r="J289" t="str">
            <v>Payment</v>
          </cell>
          <cell r="K289" t="str">
            <v>General Expeses</v>
          </cell>
          <cell r="L289" t="str">
            <v>General, Admin &amp; Marketing Expenses</v>
          </cell>
          <cell r="M289" t="str">
            <v>Books</v>
          </cell>
          <cell r="N289" t="str">
            <v>CHC</v>
          </cell>
        </row>
        <row r="290">
          <cell r="E290">
            <v>50000</v>
          </cell>
          <cell r="F290"/>
          <cell r="G290">
            <v>46009</v>
          </cell>
          <cell r="H290" t="str">
            <v>ABL-CHC-19</v>
          </cell>
          <cell r="I290" t="str">
            <v>OTHER BUSINESS</v>
          </cell>
          <cell r="J290" t="str">
            <v>RECEIPTS</v>
          </cell>
          <cell r="K290" t="str">
            <v>General Expeses</v>
          </cell>
          <cell r="L290" t="str">
            <v>INCOME</v>
          </cell>
          <cell r="M290" t="str">
            <v>INCOME</v>
          </cell>
          <cell r="N290" t="str">
            <v>CHC</v>
          </cell>
        </row>
        <row r="291">
          <cell r="E291">
            <v>120000</v>
          </cell>
          <cell r="F291"/>
          <cell r="G291">
            <v>46010</v>
          </cell>
          <cell r="H291" t="str">
            <v>ABL-CHC-19</v>
          </cell>
          <cell r="I291" t="str">
            <v>OTHER BUSINESS</v>
          </cell>
          <cell r="J291" t="str">
            <v>RECEIPTS</v>
          </cell>
          <cell r="K291" t="str">
            <v>General Expeses</v>
          </cell>
          <cell r="L291" t="str">
            <v>Income</v>
          </cell>
          <cell r="M291" t="str">
            <v>fee</v>
          </cell>
          <cell r="N291" t="str">
            <v>CHC</v>
          </cell>
        </row>
        <row r="292">
          <cell r="E292">
            <v>-41800</v>
          </cell>
          <cell r="F292"/>
          <cell r="G292">
            <v>46013</v>
          </cell>
          <cell r="H292" t="str">
            <v>ABL-CHC-19</v>
          </cell>
          <cell r="I292" t="str">
            <v>OTHER BUSINESS</v>
          </cell>
          <cell r="J292" t="str">
            <v>Payment</v>
          </cell>
          <cell r="K292" t="str">
            <v>General Expeses</v>
          </cell>
          <cell r="L292" t="str">
            <v>tax on profit</v>
          </cell>
          <cell r="M292" t="str">
            <v>tax on profit</v>
          </cell>
          <cell r="N292" t="str">
            <v>CHC</v>
          </cell>
        </row>
        <row r="293">
          <cell r="E293">
            <v>-10358</v>
          </cell>
          <cell r="F293"/>
          <cell r="G293">
            <v>46013</v>
          </cell>
          <cell r="H293" t="str">
            <v>ABL-CHC-19</v>
          </cell>
          <cell r="I293" t="str">
            <v>OTHER BUSINESS</v>
          </cell>
          <cell r="J293" t="str">
            <v>Payment</v>
          </cell>
          <cell r="K293" t="str">
            <v>General Expeses</v>
          </cell>
          <cell r="L293" t="str">
            <v>Salaries &amp; Wages</v>
          </cell>
          <cell r="M293" t="str">
            <v>Salaries &amp; Wages</v>
          </cell>
          <cell r="N293" t="str">
            <v>CHC</v>
          </cell>
        </row>
        <row r="294">
          <cell r="E294">
            <v>425000</v>
          </cell>
          <cell r="F294" t="str">
            <v>Dr.</v>
          </cell>
          <cell r="G294">
            <v>46014</v>
          </cell>
          <cell r="H294" t="str">
            <v>ABL-CHC-19</v>
          </cell>
          <cell r="I294" t="str">
            <v>OTHER BUSINESS</v>
          </cell>
          <cell r="J294" t="str">
            <v>RECEIPTS</v>
          </cell>
          <cell r="K294" t="str">
            <v>General Expenses</v>
          </cell>
          <cell r="L294" t="str">
            <v>INCOME</v>
          </cell>
          <cell r="M294" t="str">
            <v>INCOME</v>
          </cell>
          <cell r="N294" t="str">
            <v>CHC</v>
          </cell>
        </row>
        <row r="295">
          <cell r="E295">
            <v>480000</v>
          </cell>
          <cell r="F295"/>
          <cell r="G295">
            <v>46015</v>
          </cell>
          <cell r="H295" t="str">
            <v>ABL-CHC-19</v>
          </cell>
          <cell r="I295" t="str">
            <v>OTHER BUSINESS</v>
          </cell>
          <cell r="J295" t="str">
            <v>RECEIPTS</v>
          </cell>
          <cell r="K295" t="str">
            <v>General Expenses</v>
          </cell>
          <cell r="L295" t="str">
            <v>INCOME</v>
          </cell>
          <cell r="M295" t="str">
            <v>INCOME</v>
          </cell>
          <cell r="N295" t="str">
            <v>CHC</v>
          </cell>
        </row>
        <row r="296">
          <cell r="E296">
            <v>-363101</v>
          </cell>
          <cell r="F296"/>
          <cell r="G296">
            <v>46017</v>
          </cell>
          <cell r="H296" t="str">
            <v>ABL-CHC-19</v>
          </cell>
          <cell r="I296" t="str">
            <v>OTHER BUSINESS</v>
          </cell>
          <cell r="J296" t="str">
            <v>Payment</v>
          </cell>
          <cell r="K296" t="str">
            <v>General Expeses</v>
          </cell>
          <cell r="L296" t="str">
            <v>Salaries &amp; Wages</v>
          </cell>
          <cell r="M296" t="str">
            <v>Salaries &amp; Wages</v>
          </cell>
          <cell r="N296" t="str">
            <v>CHC</v>
          </cell>
        </row>
        <row r="297">
          <cell r="E297">
            <v>90000</v>
          </cell>
          <cell r="F297"/>
          <cell r="G297">
            <v>46017</v>
          </cell>
          <cell r="H297" t="str">
            <v>ABL-CHC-19</v>
          </cell>
          <cell r="I297" t="str">
            <v>OTHER BUSINESS</v>
          </cell>
          <cell r="J297" t="str">
            <v>RECEIPTS</v>
          </cell>
          <cell r="K297" t="str">
            <v>General Expeses</v>
          </cell>
          <cell r="L297" t="str">
            <v>Income</v>
          </cell>
          <cell r="M297" t="str">
            <v>Income</v>
          </cell>
          <cell r="N297" t="str">
            <v>CHC</v>
          </cell>
        </row>
        <row r="298">
          <cell r="E298">
            <v>220000</v>
          </cell>
          <cell r="F298"/>
          <cell r="G298">
            <v>46018</v>
          </cell>
          <cell r="H298" t="str">
            <v>ABL-CHC-19</v>
          </cell>
          <cell r="I298" t="str">
            <v>OTHER BUSINESS</v>
          </cell>
          <cell r="J298" t="str">
            <v>RECEIPTS</v>
          </cell>
          <cell r="K298" t="str">
            <v>General Expenses</v>
          </cell>
          <cell r="L298" t="str">
            <v>INCOME</v>
          </cell>
          <cell r="M298" t="str">
            <v>INCOME</v>
          </cell>
          <cell r="N298" t="str">
            <v>CHC</v>
          </cell>
        </row>
        <row r="299">
          <cell r="E299">
            <v>-84000</v>
          </cell>
          <cell r="F299"/>
          <cell r="G299">
            <v>46020</v>
          </cell>
          <cell r="H299" t="str">
            <v>ABL-CHC-19</v>
          </cell>
          <cell r="I299" t="str">
            <v>OTHER BUSINESS</v>
          </cell>
          <cell r="J299" t="str">
            <v>Payment</v>
          </cell>
          <cell r="K299" t="str">
            <v>General Expenses</v>
          </cell>
          <cell r="L299" t="str">
            <v>Salaries &amp; Wages</v>
          </cell>
          <cell r="M299" t="str">
            <v>Salaries &amp; Wages</v>
          </cell>
          <cell r="N299" t="str">
            <v>CHC</v>
          </cell>
        </row>
        <row r="300">
          <cell r="E300">
            <v>-504000</v>
          </cell>
          <cell r="F300"/>
          <cell r="G300">
            <v>46020</v>
          </cell>
          <cell r="H300" t="str">
            <v>ABL-CHC-19</v>
          </cell>
          <cell r="I300" t="str">
            <v>OTHER BUSINESS</v>
          </cell>
          <cell r="J300" t="str">
            <v>Payment</v>
          </cell>
          <cell r="K300" t="str">
            <v>General Expeses</v>
          </cell>
          <cell r="L300" t="str">
            <v>General, Admin &amp; Marketing Expenses</v>
          </cell>
          <cell r="M300" t="str">
            <v>Travelling Expense</v>
          </cell>
          <cell r="N300" t="str">
            <v>CHC</v>
          </cell>
        </row>
        <row r="301">
          <cell r="E301">
            <v>699000</v>
          </cell>
          <cell r="F301"/>
          <cell r="G301">
            <v>46020</v>
          </cell>
          <cell r="H301" t="str">
            <v>ABL-CHC-19</v>
          </cell>
          <cell r="I301" t="str">
            <v>OTHER BUSINESS</v>
          </cell>
          <cell r="J301" t="str">
            <v>RECEIPTS</v>
          </cell>
          <cell r="K301" t="str">
            <v>General Expenses</v>
          </cell>
          <cell r="L301" t="str">
            <v>INCOME</v>
          </cell>
          <cell r="M301" t="str">
            <v>INCOME</v>
          </cell>
          <cell r="N301" t="str">
            <v>CHC</v>
          </cell>
        </row>
        <row r="302">
          <cell r="E302">
            <v>90000</v>
          </cell>
          <cell r="F302"/>
          <cell r="G302">
            <v>46021</v>
          </cell>
          <cell r="H302" t="str">
            <v>ABL-CHC-19</v>
          </cell>
          <cell r="I302" t="str">
            <v>OTHER BUSINESS</v>
          </cell>
          <cell r="J302" t="str">
            <v>RECEIPTS</v>
          </cell>
          <cell r="K302" t="str">
            <v>General Expeses</v>
          </cell>
          <cell r="L302" t="str">
            <v>INCOME</v>
          </cell>
          <cell r="M302" t="str">
            <v>INCOME</v>
          </cell>
          <cell r="N302" t="str">
            <v>CHC</v>
          </cell>
        </row>
        <row r="303">
          <cell r="E303">
            <v>-504000</v>
          </cell>
          <cell r="F303"/>
          <cell r="G303">
            <v>46021</v>
          </cell>
          <cell r="H303" t="str">
            <v>ABL-CHC-19</v>
          </cell>
          <cell r="I303" t="str">
            <v>OTHER BUSINESS</v>
          </cell>
          <cell r="J303" t="str">
            <v>Payment</v>
          </cell>
          <cell r="K303" t="str">
            <v>General Expeses</v>
          </cell>
          <cell r="L303" t="str">
            <v>Salaries &amp; Wages</v>
          </cell>
          <cell r="M303" t="str">
            <v>Salaries &amp; Wages</v>
          </cell>
          <cell r="N303" t="str">
            <v>CHC</v>
          </cell>
        </row>
        <row r="304">
          <cell r="E304">
            <v>-84000</v>
          </cell>
          <cell r="F304"/>
          <cell r="G304">
            <v>46021</v>
          </cell>
          <cell r="H304" t="str">
            <v>ABL-CHC-19</v>
          </cell>
          <cell r="I304" t="str">
            <v>OTHER BUSINESS</v>
          </cell>
          <cell r="J304" t="str">
            <v>Payment</v>
          </cell>
          <cell r="K304" t="str">
            <v>General Expeses</v>
          </cell>
          <cell r="L304" t="str">
            <v>Salaries &amp; Wages</v>
          </cell>
          <cell r="M304" t="str">
            <v>Salaries &amp; Wages</v>
          </cell>
          <cell r="N304" t="str">
            <v>CHC</v>
          </cell>
        </row>
        <row r="305">
          <cell r="E305">
            <v>-84000</v>
          </cell>
          <cell r="F305"/>
          <cell r="G305">
            <v>46021</v>
          </cell>
          <cell r="H305" t="str">
            <v>ABL-CHC-19</v>
          </cell>
          <cell r="I305" t="str">
            <v>OTHER BUSINESS</v>
          </cell>
          <cell r="J305" t="str">
            <v>Payment</v>
          </cell>
          <cell r="K305" t="str">
            <v>General Expenses</v>
          </cell>
          <cell r="L305" t="str">
            <v>Salaries &amp; Wages</v>
          </cell>
          <cell r="M305" t="str">
            <v>Salaries &amp; Wages</v>
          </cell>
          <cell r="N305" t="str">
            <v>CHC</v>
          </cell>
        </row>
        <row r="306">
          <cell r="E306">
            <v>140000</v>
          </cell>
          <cell r="F306"/>
          <cell r="G306">
            <v>46022</v>
          </cell>
          <cell r="H306" t="str">
            <v>ABL-CHC-19</v>
          </cell>
          <cell r="I306" t="str">
            <v>OTHER BUSINESS</v>
          </cell>
          <cell r="J306" t="str">
            <v>RECEIPTS</v>
          </cell>
          <cell r="K306" t="str">
            <v>General Expenses</v>
          </cell>
          <cell r="L306" t="str">
            <v>INCOME</v>
          </cell>
          <cell r="M306" t="str">
            <v>INCOME</v>
          </cell>
          <cell r="N306" t="str">
            <v>CHC</v>
          </cell>
        </row>
        <row r="307">
          <cell r="E307">
            <v>134323</v>
          </cell>
          <cell r="F307"/>
          <cell r="G307">
            <v>46022</v>
          </cell>
          <cell r="H307" t="str">
            <v>ABL-CHC-19</v>
          </cell>
          <cell r="I307" t="str">
            <v>OTHER BUSINESS</v>
          </cell>
          <cell r="J307" t="str">
            <v>Misc.Receipts</v>
          </cell>
          <cell r="K307" t="str">
            <v>General Expenses</v>
          </cell>
          <cell r="L307" t="str">
            <v>INCOME</v>
          </cell>
          <cell r="M307" t="str">
            <v>INCOME</v>
          </cell>
          <cell r="N307" t="str">
            <v>CHC</v>
          </cell>
        </row>
        <row r="308">
          <cell r="E308">
            <v>-53729</v>
          </cell>
          <cell r="F308"/>
          <cell r="G308">
            <v>46022</v>
          </cell>
          <cell r="H308" t="str">
            <v>ABL-CHC-19</v>
          </cell>
          <cell r="I308" t="str">
            <v>OTHER BUSINESS</v>
          </cell>
          <cell r="J308" t="str">
            <v>Payment</v>
          </cell>
          <cell r="K308" t="str">
            <v>General Expenses</v>
          </cell>
          <cell r="L308" t="str">
            <v>General, Admin &amp; Marketing Expenses</v>
          </cell>
          <cell r="M308" t="str">
            <v>General Expenses</v>
          </cell>
          <cell r="N308" t="str">
            <v>CHC</v>
          </cell>
        </row>
        <row r="309">
          <cell r="E309">
            <v>-1959039</v>
          </cell>
          <cell r="F309"/>
          <cell r="G309">
            <v>46024</v>
          </cell>
          <cell r="H309" t="str">
            <v>ABL-CHC-19</v>
          </cell>
          <cell r="I309" t="str">
            <v>OTHER BUSINESS</v>
          </cell>
          <cell r="J309" t="str">
            <v>Payment</v>
          </cell>
          <cell r="K309" t="str">
            <v>General Expenses</v>
          </cell>
          <cell r="L309" t="str">
            <v>General, Admin &amp; Marketing Expenses</v>
          </cell>
          <cell r="M309" t="str">
            <v>General Expenses</v>
          </cell>
          <cell r="N309" t="str">
            <v>CHC</v>
          </cell>
        </row>
        <row r="310">
          <cell r="E310">
            <v>147000</v>
          </cell>
          <cell r="F310"/>
          <cell r="G310">
            <v>46027</v>
          </cell>
          <cell r="H310" t="str">
            <v>ABL-CHC-19</v>
          </cell>
          <cell r="I310" t="str">
            <v>OTHER BUSINESS</v>
          </cell>
          <cell r="J310" t="str">
            <v>RECEIPTS</v>
          </cell>
          <cell r="K310" t="str">
            <v>General Expeses</v>
          </cell>
          <cell r="L310" t="str">
            <v>INCOME</v>
          </cell>
          <cell r="M310" t="str">
            <v>INCOME</v>
          </cell>
          <cell r="N310" t="str">
            <v>CHC</v>
          </cell>
        </row>
        <row r="311">
          <cell r="E311">
            <v>-23</v>
          </cell>
          <cell r="F311"/>
          <cell r="G311">
            <v>46027</v>
          </cell>
          <cell r="H311" t="str">
            <v>ABL-CHC-19</v>
          </cell>
          <cell r="I311" t="str">
            <v>OTHER BUSINESS</v>
          </cell>
          <cell r="J311" t="str">
            <v>Payment</v>
          </cell>
          <cell r="K311" t="str">
            <v>General Expeses</v>
          </cell>
          <cell r="L311" t="str">
            <v>General, Admin &amp; Marketing Expenses</v>
          </cell>
          <cell r="M311" t="str">
            <v>Stationery</v>
          </cell>
          <cell r="N311" t="str">
            <v>CHC</v>
          </cell>
        </row>
        <row r="312">
          <cell r="E312">
            <v>-80000</v>
          </cell>
          <cell r="F312"/>
          <cell r="G312">
            <v>46027</v>
          </cell>
          <cell r="H312" t="str">
            <v>ABL-CHC-19</v>
          </cell>
          <cell r="I312" t="str">
            <v>OTHER BUSINESS</v>
          </cell>
          <cell r="J312" t="str">
            <v>Payment</v>
          </cell>
          <cell r="K312" t="str">
            <v>General Expeses</v>
          </cell>
          <cell r="L312" t="str">
            <v>Utilities</v>
          </cell>
          <cell r="M312" t="str">
            <v>internet charges</v>
          </cell>
          <cell r="N312" t="str">
            <v>CHC</v>
          </cell>
        </row>
        <row r="313">
          <cell r="E313">
            <v>145000</v>
          </cell>
          <cell r="F313"/>
          <cell r="G313">
            <v>46028</v>
          </cell>
          <cell r="H313" t="str">
            <v>ABL-CHC-19</v>
          </cell>
          <cell r="I313" t="str">
            <v>OTHER BUSINESS</v>
          </cell>
          <cell r="J313" t="str">
            <v>RECEIPTS</v>
          </cell>
          <cell r="K313" t="str">
            <v>General Expeses</v>
          </cell>
          <cell r="L313" t="str">
            <v>INCOME</v>
          </cell>
          <cell r="M313" t="str">
            <v>INCOME</v>
          </cell>
          <cell r="N313" t="str">
            <v>CHC</v>
          </cell>
        </row>
        <row r="314">
          <cell r="E314">
            <v>-80000</v>
          </cell>
          <cell r="F314" t="str">
            <v>Cr.</v>
          </cell>
          <cell r="G314">
            <v>46029</v>
          </cell>
          <cell r="H314" t="str">
            <v>ABL-CHC-19</v>
          </cell>
          <cell r="I314" t="str">
            <v>OTHER BUSINESS</v>
          </cell>
          <cell r="J314" t="str">
            <v>Payment</v>
          </cell>
          <cell r="K314" t="str">
            <v>General Expenses</v>
          </cell>
          <cell r="L314" t="str">
            <v>Salaries &amp; Wages</v>
          </cell>
          <cell r="M314" t="str">
            <v>Salaries &amp; Wages</v>
          </cell>
          <cell r="N314" t="str">
            <v>CHC</v>
          </cell>
        </row>
        <row r="315">
          <cell r="E315">
            <v>50000</v>
          </cell>
          <cell r="F315" t="str">
            <v>Dr.</v>
          </cell>
          <cell r="G315">
            <v>46029</v>
          </cell>
          <cell r="H315" t="str">
            <v>ABL-CHC-19</v>
          </cell>
          <cell r="I315" t="str">
            <v>OTHER BUSINESS</v>
          </cell>
          <cell r="J315" t="str">
            <v>RECEIPTS</v>
          </cell>
          <cell r="K315" t="str">
            <v>General Expenses</v>
          </cell>
          <cell r="L315" t="str">
            <v>INCOME</v>
          </cell>
          <cell r="M315" t="str">
            <v>INCOME</v>
          </cell>
          <cell r="N315" t="str">
            <v>CHC</v>
          </cell>
        </row>
        <row r="316">
          <cell r="E316">
            <v>60000</v>
          </cell>
          <cell r="F316" t="str">
            <v>Dr.</v>
          </cell>
          <cell r="G316">
            <v>46030</v>
          </cell>
          <cell r="H316" t="str">
            <v>ABL-CHC-19</v>
          </cell>
          <cell r="I316" t="str">
            <v>OTHER BUSINESS</v>
          </cell>
          <cell r="J316" t="str">
            <v>RECEIPTS</v>
          </cell>
          <cell r="K316" t="str">
            <v>General Expenses</v>
          </cell>
          <cell r="L316" t="str">
            <v>INCOME</v>
          </cell>
          <cell r="M316" t="str">
            <v>INCOME</v>
          </cell>
          <cell r="N316" t="str">
            <v>CHC</v>
          </cell>
        </row>
        <row r="317">
          <cell r="E317">
            <v>15000</v>
          </cell>
          <cell r="F317"/>
          <cell r="G317">
            <v>46031</v>
          </cell>
          <cell r="H317" t="str">
            <v>ABL-CHC-19</v>
          </cell>
          <cell r="I317" t="str">
            <v>OTHER BUSINESS</v>
          </cell>
          <cell r="J317" t="str">
            <v>RECEIPTS</v>
          </cell>
          <cell r="K317" t="str">
            <v>General Expeses</v>
          </cell>
          <cell r="L317" t="str">
            <v>Income</v>
          </cell>
          <cell r="M317" t="str">
            <v>Income</v>
          </cell>
          <cell r="N317" t="str">
            <v>CHC</v>
          </cell>
        </row>
        <row r="318">
          <cell r="E318">
            <v>-41000</v>
          </cell>
          <cell r="F318" t="str">
            <v>Cr.</v>
          </cell>
          <cell r="G318">
            <v>46034</v>
          </cell>
          <cell r="H318" t="str">
            <v>ABL-CHC-19</v>
          </cell>
          <cell r="I318" t="str">
            <v>OTHER BUSINESS</v>
          </cell>
          <cell r="J318" t="str">
            <v>Payment</v>
          </cell>
          <cell r="K318" t="str">
            <v>General Expeses</v>
          </cell>
          <cell r="L318" t="str">
            <v>Salaries &amp; Wages</v>
          </cell>
          <cell r="M318" t="str">
            <v>Salaries &amp; Wages</v>
          </cell>
          <cell r="N318" t="str">
            <v>CHC</v>
          </cell>
        </row>
        <row r="319">
          <cell r="E319">
            <v>-23</v>
          </cell>
          <cell r="F319" t="str">
            <v>Cr.</v>
          </cell>
          <cell r="G319">
            <v>46034</v>
          </cell>
          <cell r="H319" t="str">
            <v>ABL-CHC-19</v>
          </cell>
          <cell r="I319" t="str">
            <v>OTHER BUSINESS</v>
          </cell>
          <cell r="J319" t="str">
            <v>Payment</v>
          </cell>
          <cell r="K319" t="str">
            <v>General Expeses</v>
          </cell>
          <cell r="L319" t="str">
            <v>General, Admin &amp; Marketing Expenses</v>
          </cell>
          <cell r="M319" t="str">
            <v>General Expenses</v>
          </cell>
          <cell r="N319" t="str">
            <v>CHC</v>
          </cell>
        </row>
        <row r="320">
          <cell r="E320">
            <v>94000</v>
          </cell>
          <cell r="F320" t="str">
            <v>Dr.</v>
          </cell>
          <cell r="G320">
            <v>46034</v>
          </cell>
          <cell r="H320" t="str">
            <v>ABL-CHC-19</v>
          </cell>
          <cell r="I320" t="str">
            <v>OTHER BUSINESS</v>
          </cell>
          <cell r="J320" t="str">
            <v>RECEIPTS</v>
          </cell>
          <cell r="K320" t="str">
            <v>General Expeses</v>
          </cell>
          <cell r="L320" t="str">
            <v>INCOME</v>
          </cell>
          <cell r="M320" t="str">
            <v>INCOME</v>
          </cell>
          <cell r="N320" t="str">
            <v>CHC</v>
          </cell>
        </row>
        <row r="321">
          <cell r="E321">
            <v>10000</v>
          </cell>
          <cell r="F321" t="str">
            <v>Dr.</v>
          </cell>
          <cell r="G321">
            <v>46035</v>
          </cell>
          <cell r="H321" t="str">
            <v>ABL-CHC-19</v>
          </cell>
          <cell r="I321" t="str">
            <v>OTHER BUSINESS</v>
          </cell>
          <cell r="J321" t="str">
            <v>RECEIPTS</v>
          </cell>
          <cell r="K321" t="str">
            <v>General Expeses</v>
          </cell>
          <cell r="L321" t="str">
            <v>INCOME</v>
          </cell>
          <cell r="M321" t="str">
            <v>INCOME</v>
          </cell>
          <cell r="N321" t="str">
            <v>CHC</v>
          </cell>
        </row>
        <row r="322">
          <cell r="E322">
            <v>-400000</v>
          </cell>
          <cell r="F322" t="str">
            <v>Cr.</v>
          </cell>
          <cell r="G322">
            <v>46036</v>
          </cell>
          <cell r="H322" t="str">
            <v>ABL-CHC-19</v>
          </cell>
          <cell r="I322" t="str">
            <v>OTHER BUSINESS</v>
          </cell>
          <cell r="J322" t="str">
            <v>Payment</v>
          </cell>
          <cell r="K322" t="str">
            <v>General Expeses</v>
          </cell>
          <cell r="L322" t="str">
            <v>Salaries &amp; Wages</v>
          </cell>
          <cell r="M322" t="str">
            <v>Salaries &amp; Wages</v>
          </cell>
          <cell r="N322" t="str">
            <v>CHC</v>
          </cell>
        </row>
        <row r="323">
          <cell r="E323">
            <v>-11633</v>
          </cell>
          <cell r="F323"/>
          <cell r="G323">
            <v>46039</v>
          </cell>
          <cell r="H323" t="str">
            <v>ABL-CHC-19</v>
          </cell>
          <cell r="I323" t="str">
            <v>OTHER BUSINESS</v>
          </cell>
          <cell r="J323" t="str">
            <v>Payment</v>
          </cell>
          <cell r="K323" t="str">
            <v>General Expeses</v>
          </cell>
          <cell r="L323" t="str">
            <v>General, Admin &amp; Marketing Expenses</v>
          </cell>
          <cell r="M323" t="str">
            <v>General Expenses</v>
          </cell>
          <cell r="N323" t="str">
            <v>CHC</v>
          </cell>
        </row>
        <row r="324">
          <cell r="E324">
            <v>20000</v>
          </cell>
          <cell r="F324"/>
          <cell r="G324">
            <v>46038</v>
          </cell>
          <cell r="H324" t="str">
            <v>ABL-CHC-19</v>
          </cell>
          <cell r="I324" t="str">
            <v>OTHER BUSINESS</v>
          </cell>
          <cell r="J324" t="str">
            <v>RECEIPTS</v>
          </cell>
          <cell r="K324" t="str">
            <v>General Expeses</v>
          </cell>
          <cell r="L324" t="str">
            <v>INCOME</v>
          </cell>
          <cell r="M324" t="str">
            <v>INCOME</v>
          </cell>
          <cell r="N324" t="str">
            <v>CHC</v>
          </cell>
        </row>
        <row r="325">
          <cell r="E325">
            <v>120000</v>
          </cell>
          <cell r="F325"/>
          <cell r="G325">
            <v>46039</v>
          </cell>
          <cell r="H325" t="str">
            <v>ABL-CHC-19</v>
          </cell>
          <cell r="I325" t="str">
            <v>OTHER BUSINESS</v>
          </cell>
          <cell r="J325" t="str">
            <v>RECEIPTS</v>
          </cell>
          <cell r="K325" t="str">
            <v>General Expeses</v>
          </cell>
          <cell r="L325" t="str">
            <v>Income</v>
          </cell>
          <cell r="M325" t="str">
            <v>Income</v>
          </cell>
          <cell r="N325" t="str">
            <v>CHC</v>
          </cell>
        </row>
        <row r="326">
          <cell r="E326">
            <v>360000</v>
          </cell>
          <cell r="F326"/>
          <cell r="G326">
            <v>46041</v>
          </cell>
          <cell r="H326" t="str">
            <v>ABL-CHC-19</v>
          </cell>
          <cell r="I326" t="str">
            <v>OTHER BUSINESS</v>
          </cell>
          <cell r="J326" t="str">
            <v>RECEIPTS</v>
          </cell>
          <cell r="K326" t="str">
            <v>General Expeses</v>
          </cell>
          <cell r="L326" t="str">
            <v>Income</v>
          </cell>
          <cell r="M326" t="str">
            <v>fee</v>
          </cell>
          <cell r="N326" t="str">
            <v>CHC</v>
          </cell>
        </row>
        <row r="327">
          <cell r="E327">
            <v>-14960</v>
          </cell>
          <cell r="F327"/>
          <cell r="G327">
            <v>46041</v>
          </cell>
          <cell r="H327" t="str">
            <v>ABL-CHC-19</v>
          </cell>
          <cell r="I327" t="str">
            <v>OTHER BUSINESS</v>
          </cell>
          <cell r="J327" t="str">
            <v>Payment</v>
          </cell>
          <cell r="K327" t="str">
            <v>General Expenses</v>
          </cell>
          <cell r="L327" t="str">
            <v>Utilities</v>
          </cell>
          <cell r="M327" t="str">
            <v>Electricity</v>
          </cell>
          <cell r="N327" t="str">
            <v>CHC</v>
          </cell>
        </row>
        <row r="328">
          <cell r="E328">
            <v>170250</v>
          </cell>
          <cell r="F328"/>
          <cell r="G328">
            <v>46042</v>
          </cell>
          <cell r="H328" t="str">
            <v>ABL-CHC-19</v>
          </cell>
          <cell r="I328" t="str">
            <v>OTHER BUSINESS</v>
          </cell>
          <cell r="J328" t="str">
            <v>RECEIPTS</v>
          </cell>
          <cell r="K328" t="str">
            <v>General Expeses</v>
          </cell>
          <cell r="L328" t="str">
            <v>Income</v>
          </cell>
          <cell r="M328" t="str">
            <v>Income</v>
          </cell>
          <cell r="N328" t="str">
            <v>CHC</v>
          </cell>
        </row>
        <row r="329">
          <cell r="E329">
            <v>60000</v>
          </cell>
          <cell r="F329"/>
          <cell r="G329">
            <v>46043</v>
          </cell>
          <cell r="H329" t="str">
            <v>ABL-CHC-19</v>
          </cell>
          <cell r="I329" t="str">
            <v>OTHER BUSINESS</v>
          </cell>
          <cell r="J329" t="str">
            <v>RECEIPTS</v>
          </cell>
          <cell r="K329" t="str">
            <v>General Expeses</v>
          </cell>
          <cell r="L329" t="str">
            <v>INCOME</v>
          </cell>
          <cell r="M329" t="str">
            <v>INCOME</v>
          </cell>
          <cell r="N329" t="str">
            <v>CHC</v>
          </cell>
        </row>
        <row r="330">
          <cell r="E330">
            <v>-47381</v>
          </cell>
          <cell r="F330"/>
          <cell r="G330">
            <v>46044</v>
          </cell>
          <cell r="H330" t="str">
            <v>ABL-CHC-19</v>
          </cell>
          <cell r="I330" t="str">
            <v>OTHER BUSINESS</v>
          </cell>
          <cell r="J330" t="str">
            <v>Payment</v>
          </cell>
          <cell r="K330" t="str">
            <v>General Expeses</v>
          </cell>
          <cell r="L330" t="str">
            <v>General, Admin &amp; Marketing Expenses</v>
          </cell>
          <cell r="M330" t="str">
            <v>IT Consumeable</v>
          </cell>
          <cell r="N330" t="str">
            <v>CHC</v>
          </cell>
        </row>
        <row r="331">
          <cell r="E331">
            <v>-11708</v>
          </cell>
          <cell r="F331"/>
          <cell r="G331">
            <v>46044</v>
          </cell>
          <cell r="H331" t="str">
            <v>ABL-CHC-19</v>
          </cell>
          <cell r="I331" t="str">
            <v>OTHER BUSINESS</v>
          </cell>
          <cell r="J331" t="str">
            <v>Payment</v>
          </cell>
          <cell r="K331" t="str">
            <v>General Expenses</v>
          </cell>
          <cell r="L331" t="str">
            <v>General, Admin &amp; Marketing Expenses</v>
          </cell>
          <cell r="M331" t="str">
            <v>Stationery</v>
          </cell>
          <cell r="N331" t="str">
            <v>CHC</v>
          </cell>
        </row>
        <row r="332">
          <cell r="E332">
            <v>100000</v>
          </cell>
          <cell r="F332"/>
          <cell r="G332">
            <v>46044</v>
          </cell>
          <cell r="H332" t="str">
            <v>ABL-CHC-19</v>
          </cell>
          <cell r="I332" t="str">
            <v>OTHER BUSINESS</v>
          </cell>
          <cell r="J332" t="str">
            <v>RECEIPTS</v>
          </cell>
          <cell r="K332" t="str">
            <v>General Expeses</v>
          </cell>
          <cell r="L332" t="str">
            <v>INCOME</v>
          </cell>
          <cell r="M332" t="str">
            <v>INCOME</v>
          </cell>
          <cell r="N332" t="str">
            <v>CHC</v>
          </cell>
        </row>
        <row r="333">
          <cell r="E333">
            <v>68000</v>
          </cell>
          <cell r="F333"/>
          <cell r="G333">
            <v>46046</v>
          </cell>
          <cell r="H333" t="str">
            <v>ABL-CHC-19</v>
          </cell>
          <cell r="I333" t="str">
            <v>OTHER BUSINESS</v>
          </cell>
          <cell r="J333" t="str">
            <v>RECEIPTS</v>
          </cell>
          <cell r="K333" t="str">
            <v>General Expeses</v>
          </cell>
          <cell r="L333" t="str">
            <v>INCOME</v>
          </cell>
          <cell r="M333" t="str">
            <v>INCOME</v>
          </cell>
          <cell r="N333" t="str">
            <v>CHC</v>
          </cell>
        </row>
        <row r="334">
          <cell r="E334">
            <v>220000</v>
          </cell>
          <cell r="F334"/>
          <cell r="G334">
            <v>46048</v>
          </cell>
          <cell r="H334" t="str">
            <v>ABL-CHC-19</v>
          </cell>
          <cell r="I334" t="str">
            <v>OTHER BUSINESS</v>
          </cell>
          <cell r="J334" t="str">
            <v>RECEIPTS</v>
          </cell>
          <cell r="K334" t="str">
            <v>General Expeses</v>
          </cell>
          <cell r="L334" t="str">
            <v>INCOME</v>
          </cell>
          <cell r="M334" t="str">
            <v>INCOME</v>
          </cell>
          <cell r="N334" t="str">
            <v>CHC</v>
          </cell>
        </row>
        <row r="335">
          <cell r="E335">
            <v>-152054</v>
          </cell>
          <cell r="F335"/>
          <cell r="G335">
            <v>46048</v>
          </cell>
          <cell r="H335" t="str">
            <v>ABL-CHC-19</v>
          </cell>
          <cell r="I335" t="str">
            <v>OTHER BUSINESS</v>
          </cell>
          <cell r="J335" t="str">
            <v>Payment</v>
          </cell>
          <cell r="K335" t="str">
            <v>General Expeses</v>
          </cell>
          <cell r="L335" t="str">
            <v>Utilities</v>
          </cell>
          <cell r="M335" t="str">
            <v>Gas Charges</v>
          </cell>
          <cell r="N335" t="str">
            <v>CHC</v>
          </cell>
        </row>
        <row r="336">
          <cell r="E336">
            <v>-133699</v>
          </cell>
          <cell r="F336"/>
          <cell r="G336">
            <v>46048</v>
          </cell>
          <cell r="H336" t="str">
            <v>ABL-CHC-19</v>
          </cell>
          <cell r="I336" t="str">
            <v>OTHER BUSINESS</v>
          </cell>
          <cell r="J336" t="str">
            <v>Payment</v>
          </cell>
          <cell r="K336" t="str">
            <v>General Expenses</v>
          </cell>
          <cell r="L336" t="str">
            <v>Utilities</v>
          </cell>
          <cell r="M336" t="str">
            <v>Gas Charges</v>
          </cell>
          <cell r="N336" t="str">
            <v>CHC</v>
          </cell>
        </row>
        <row r="337">
          <cell r="E337">
            <v>100000</v>
          </cell>
          <cell r="F337"/>
          <cell r="G337">
            <v>46049</v>
          </cell>
          <cell r="H337" t="str">
            <v>ABL-CHC-19</v>
          </cell>
          <cell r="I337" t="str">
            <v>OTHER BUSINESS</v>
          </cell>
          <cell r="J337" t="str">
            <v>RECEIPTS</v>
          </cell>
          <cell r="K337" t="str">
            <v>General Expeses</v>
          </cell>
          <cell r="L337" t="str">
            <v>INCOME</v>
          </cell>
          <cell r="M337" t="str">
            <v>INCOME</v>
          </cell>
          <cell r="N337" t="str">
            <v>CHC</v>
          </cell>
        </row>
        <row r="338">
          <cell r="E338">
            <v>20000</v>
          </cell>
          <cell r="F338"/>
          <cell r="G338">
            <v>46050</v>
          </cell>
          <cell r="H338" t="str">
            <v>ABL-CHC-19</v>
          </cell>
          <cell r="I338" t="str">
            <v>OTHER BUSINESS</v>
          </cell>
          <cell r="J338" t="str">
            <v>RECEIPTS</v>
          </cell>
          <cell r="K338" t="str">
            <v>General Expenses</v>
          </cell>
          <cell r="L338" t="str">
            <v>INCOME</v>
          </cell>
          <cell r="M338" t="str">
            <v>INCOME</v>
          </cell>
          <cell r="N338" t="str">
            <v>CHC</v>
          </cell>
        </row>
        <row r="339">
          <cell r="E339">
            <v>-504000</v>
          </cell>
          <cell r="F339"/>
          <cell r="G339">
            <v>46050</v>
          </cell>
          <cell r="H339" t="str">
            <v>ABL-CHC-19</v>
          </cell>
          <cell r="I339" t="str">
            <v>OTHER BUSINESS</v>
          </cell>
          <cell r="J339" t="str">
            <v>Payment</v>
          </cell>
          <cell r="K339" t="str">
            <v>General Expeses</v>
          </cell>
          <cell r="L339" t="str">
            <v>General, Admin &amp; Marketing Expenses</v>
          </cell>
          <cell r="M339" t="str">
            <v>General Expenses</v>
          </cell>
          <cell r="N339" t="str">
            <v>CHC</v>
          </cell>
        </row>
        <row r="340">
          <cell r="E340">
            <v>-50000</v>
          </cell>
          <cell r="F340"/>
          <cell r="G340">
            <v>46050</v>
          </cell>
          <cell r="H340" t="str">
            <v>ABL-CHC-19</v>
          </cell>
          <cell r="I340" t="str">
            <v>OTHER BUSINESS</v>
          </cell>
          <cell r="J340" t="str">
            <v>Payment</v>
          </cell>
          <cell r="K340" t="str">
            <v>General Expeses</v>
          </cell>
          <cell r="L340" t="str">
            <v>Utilities</v>
          </cell>
          <cell r="M340" t="str">
            <v>Electricity</v>
          </cell>
          <cell r="N340" t="str">
            <v>CHC</v>
          </cell>
        </row>
        <row r="341">
          <cell r="E341">
            <v>-23</v>
          </cell>
          <cell r="F341"/>
          <cell r="G341">
            <v>46050</v>
          </cell>
          <cell r="H341" t="str">
            <v>ABL-CHC-19</v>
          </cell>
          <cell r="I341" t="str">
            <v>OTHER BUSINESS</v>
          </cell>
          <cell r="J341" t="str">
            <v>Payment</v>
          </cell>
          <cell r="K341" t="str">
            <v>General Expeses</v>
          </cell>
          <cell r="L341" t="str">
            <v>Utilities</v>
          </cell>
          <cell r="M341" t="str">
            <v>Electricity</v>
          </cell>
          <cell r="N341" t="str">
            <v>CHC</v>
          </cell>
        </row>
        <row r="342">
          <cell r="E342">
            <v>-84000</v>
          </cell>
          <cell r="F342"/>
          <cell r="G342">
            <v>46051</v>
          </cell>
          <cell r="H342" t="str">
            <v>ABL-CHC-19</v>
          </cell>
          <cell r="I342" t="str">
            <v>OTHER BUSINESS</v>
          </cell>
          <cell r="J342" t="str">
            <v>Payment</v>
          </cell>
          <cell r="K342" t="str">
            <v>General Expeses</v>
          </cell>
          <cell r="L342" t="str">
            <v>Bank Charges</v>
          </cell>
          <cell r="M342" t="str">
            <v>Bank Charges</v>
          </cell>
          <cell r="N342" t="str">
            <v>CHC</v>
          </cell>
        </row>
        <row r="343">
          <cell r="E343">
            <v>-504000</v>
          </cell>
          <cell r="F343"/>
          <cell r="G343">
            <v>46051</v>
          </cell>
          <cell r="H343" t="str">
            <v>ABL-CHC-19</v>
          </cell>
          <cell r="I343" t="str">
            <v>OTHER BUSINESS</v>
          </cell>
          <cell r="J343" t="str">
            <v>Payment</v>
          </cell>
          <cell r="K343" t="str">
            <v>General Expenses</v>
          </cell>
          <cell r="L343" t="str">
            <v>General, Admin &amp; Marketing Expenses</v>
          </cell>
          <cell r="M343" t="str">
            <v>Petty Cash Expense</v>
          </cell>
          <cell r="N343" t="str">
            <v>CHC</v>
          </cell>
        </row>
        <row r="344">
          <cell r="E344">
            <v>-84000</v>
          </cell>
          <cell r="F344"/>
          <cell r="G344">
            <v>46052</v>
          </cell>
          <cell r="H344" t="str">
            <v>ABL-CHC-19</v>
          </cell>
          <cell r="I344" t="str">
            <v>OTHER BUSINESS</v>
          </cell>
          <cell r="J344" t="str">
            <v>Payment</v>
          </cell>
          <cell r="K344" t="str">
            <v>General Expeses</v>
          </cell>
          <cell r="L344" t="str">
            <v>General, Admin &amp; Marketing Expenses</v>
          </cell>
          <cell r="M344" t="str">
            <v>Zakat</v>
          </cell>
          <cell r="N344" t="str">
            <v>CHC</v>
          </cell>
        </row>
        <row r="345">
          <cell r="E345">
            <v>-84000</v>
          </cell>
          <cell r="F345"/>
          <cell r="G345">
            <v>46052</v>
          </cell>
          <cell r="H345" t="str">
            <v>ABL-CHC-19</v>
          </cell>
          <cell r="I345" t="str">
            <v>OTHER BUSINESS</v>
          </cell>
          <cell r="J345" t="str">
            <v>Payment</v>
          </cell>
          <cell r="K345" t="str">
            <v>General Expeses</v>
          </cell>
          <cell r="L345" t="str">
            <v>General, Admin &amp; Marketing Expenses</v>
          </cell>
          <cell r="M345" t="str">
            <v>Electrical Equipment</v>
          </cell>
          <cell r="N345" t="str">
            <v>CHC</v>
          </cell>
        </row>
        <row r="346">
          <cell r="E346">
            <v>120000</v>
          </cell>
          <cell r="F346"/>
          <cell r="G346">
            <v>46052</v>
          </cell>
          <cell r="H346" t="str">
            <v>ABL-CHC-19</v>
          </cell>
          <cell r="I346" t="str">
            <v>OTHER BUSINESS</v>
          </cell>
          <cell r="J346" t="str">
            <v>RECEIPTS</v>
          </cell>
          <cell r="K346" t="str">
            <v>General Expeses</v>
          </cell>
          <cell r="L346" t="str">
            <v>INCOME</v>
          </cell>
          <cell r="M346" t="str">
            <v>INCOME</v>
          </cell>
          <cell r="N346" t="str">
            <v>CHC</v>
          </cell>
        </row>
        <row r="347">
          <cell r="E347">
            <v>120000</v>
          </cell>
          <cell r="F347"/>
          <cell r="G347">
            <v>46055</v>
          </cell>
          <cell r="H347" t="str">
            <v>ABL-CHC-19</v>
          </cell>
          <cell r="I347" t="str">
            <v>OTHER BUSINESS</v>
          </cell>
          <cell r="J347" t="str">
            <v>RECEIPTS</v>
          </cell>
          <cell r="K347" t="str">
            <v>General Expeses</v>
          </cell>
          <cell r="L347" t="str">
            <v>Income</v>
          </cell>
          <cell r="M347" t="str">
            <v>Income</v>
          </cell>
          <cell r="N347" t="str">
            <v>CHC</v>
          </cell>
        </row>
        <row r="348">
          <cell r="E348">
            <v>333001</v>
          </cell>
          <cell r="F348" t="str">
            <v>Dr.</v>
          </cell>
          <cell r="G348">
            <v>46057</v>
          </cell>
          <cell r="H348" t="str">
            <v>ABL-CHC-19</v>
          </cell>
          <cell r="I348" t="str">
            <v>OTHER BUSINESS</v>
          </cell>
          <cell r="J348" t="str">
            <v>RECEIPTS</v>
          </cell>
          <cell r="K348" t="str">
            <v>General Expeses</v>
          </cell>
          <cell r="L348" t="str">
            <v>INCOME</v>
          </cell>
          <cell r="M348" t="str">
            <v>INCOME</v>
          </cell>
          <cell r="N348" t="str">
            <v>CHC</v>
          </cell>
        </row>
        <row r="349">
          <cell r="E349">
            <v>630000</v>
          </cell>
          <cell r="F349"/>
          <cell r="G349">
            <v>46059</v>
          </cell>
          <cell r="H349" t="str">
            <v>ABL-CHC-19</v>
          </cell>
          <cell r="I349" t="str">
            <v>OTHER BUSINESS</v>
          </cell>
          <cell r="J349" t="str">
            <v>RECEIPTS</v>
          </cell>
          <cell r="K349" t="str">
            <v>General Expenses</v>
          </cell>
          <cell r="L349" t="str">
            <v>INCOME</v>
          </cell>
          <cell r="M349" t="str">
            <v>INCOME</v>
          </cell>
          <cell r="N349" t="str">
            <v>CHC</v>
          </cell>
        </row>
        <row r="350">
          <cell r="E350">
            <v>375000</v>
          </cell>
          <cell r="F350"/>
          <cell r="G350">
            <v>46060</v>
          </cell>
          <cell r="H350" t="str">
            <v>ABL-CHC-19</v>
          </cell>
          <cell r="I350" t="str">
            <v>OTHER BUSINESS</v>
          </cell>
          <cell r="J350" t="str">
            <v>RECEIPTS</v>
          </cell>
          <cell r="K350" t="str">
            <v>General Expenses</v>
          </cell>
          <cell r="L350" t="str">
            <v>INCOME</v>
          </cell>
          <cell r="M350" t="str">
            <v>INCOME</v>
          </cell>
          <cell r="N350" t="str">
            <v>CHC</v>
          </cell>
        </row>
        <row r="351">
          <cell r="E351">
            <v>390500</v>
          </cell>
          <cell r="F351"/>
          <cell r="G351">
            <v>46062</v>
          </cell>
          <cell r="H351" t="str">
            <v>ABL-CHC-19</v>
          </cell>
          <cell r="I351" t="str">
            <v>OTHER BUSINESS</v>
          </cell>
          <cell r="J351" t="str">
            <v>RECEIPTS</v>
          </cell>
          <cell r="K351" t="str">
            <v>General Expeses</v>
          </cell>
          <cell r="L351" t="str">
            <v>Income</v>
          </cell>
          <cell r="M351" t="str">
            <v>Income</v>
          </cell>
          <cell r="N351" t="str">
            <v>CHC</v>
          </cell>
        </row>
        <row r="352">
          <cell r="E352">
            <v>-30240</v>
          </cell>
          <cell r="F352"/>
          <cell r="G352">
            <v>46063</v>
          </cell>
          <cell r="H352" t="str">
            <v>ABL-CHC-19</v>
          </cell>
          <cell r="I352" t="str">
            <v>OTHER BUSINESS</v>
          </cell>
          <cell r="J352" t="str">
            <v>Payment</v>
          </cell>
          <cell r="K352" t="str">
            <v>General Expeses</v>
          </cell>
          <cell r="L352" t="str">
            <v>Utilities</v>
          </cell>
          <cell r="M352" t="str">
            <v>Gas Charges</v>
          </cell>
          <cell r="N352" t="str">
            <v>CHC</v>
          </cell>
        </row>
        <row r="353">
          <cell r="E353">
            <v>-10575</v>
          </cell>
          <cell r="F353"/>
          <cell r="G353">
            <v>46063</v>
          </cell>
          <cell r="H353" t="str">
            <v>ABL-CHC-19</v>
          </cell>
          <cell r="I353" t="str">
            <v>OTHER BUSINESS</v>
          </cell>
          <cell r="J353" t="str">
            <v>Payment</v>
          </cell>
          <cell r="K353" t="str">
            <v>General Expenses</v>
          </cell>
          <cell r="L353" t="str">
            <v>tax on profit</v>
          </cell>
          <cell r="M353" t="str">
            <v>tax on profit</v>
          </cell>
          <cell r="N353" t="str">
            <v>CHC</v>
          </cell>
        </row>
        <row r="354">
          <cell r="E354">
            <v>373000</v>
          </cell>
          <cell r="F354"/>
          <cell r="G354">
            <v>46063</v>
          </cell>
          <cell r="H354" t="str">
            <v>ABL-CHC-19</v>
          </cell>
          <cell r="I354" t="str">
            <v>OTHER BUSINESS</v>
          </cell>
          <cell r="J354" t="str">
            <v>RECEIPTS</v>
          </cell>
          <cell r="K354" t="str">
            <v>General Expeses</v>
          </cell>
          <cell r="L354" t="str">
            <v>Income</v>
          </cell>
          <cell r="M354" t="str">
            <v>Income</v>
          </cell>
          <cell r="N354" t="str">
            <v>CHC</v>
          </cell>
        </row>
        <row r="355">
          <cell r="E355">
            <v>-48000</v>
          </cell>
          <cell r="F355"/>
          <cell r="G355">
            <v>46064</v>
          </cell>
          <cell r="H355" t="str">
            <v>ABL-CHC-19</v>
          </cell>
          <cell r="I355" t="str">
            <v>OTHER BUSINESS</v>
          </cell>
          <cell r="J355" t="str">
            <v>Payment</v>
          </cell>
          <cell r="K355" t="str">
            <v>General Expenses</v>
          </cell>
          <cell r="L355" t="str">
            <v>Utilities</v>
          </cell>
          <cell r="M355" t="str">
            <v>Internet Charges</v>
          </cell>
          <cell r="N355" t="str">
            <v>CHC</v>
          </cell>
        </row>
        <row r="356">
          <cell r="E356">
            <v>265000</v>
          </cell>
          <cell r="F356"/>
          <cell r="G356">
            <v>46064</v>
          </cell>
          <cell r="H356" t="str">
            <v>ABL-CHC-19</v>
          </cell>
          <cell r="I356" t="str">
            <v>OTHER BUSINESS</v>
          </cell>
          <cell r="J356" t="str">
            <v>RECEIPTS</v>
          </cell>
          <cell r="K356" t="str">
            <v>General Expeses</v>
          </cell>
          <cell r="L356" t="str">
            <v>Income</v>
          </cell>
          <cell r="M356" t="str">
            <v>Income</v>
          </cell>
          <cell r="N356" t="str">
            <v>CHC</v>
          </cell>
        </row>
        <row r="357">
          <cell r="E357">
            <v>-2061707</v>
          </cell>
          <cell r="F357"/>
          <cell r="G357">
            <v>46065</v>
          </cell>
          <cell r="H357" t="str">
            <v>ABL-CHC-19</v>
          </cell>
          <cell r="I357" t="str">
            <v>OTHER BUSINESS</v>
          </cell>
          <cell r="J357" t="str">
            <v>Payment</v>
          </cell>
          <cell r="K357" t="str">
            <v>General Expenses</v>
          </cell>
          <cell r="L357" t="str">
            <v>Utilities</v>
          </cell>
          <cell r="M357" t="str">
            <v>Internet Charges</v>
          </cell>
          <cell r="N357" t="str">
            <v>CHC</v>
          </cell>
        </row>
        <row r="358">
          <cell r="E358">
            <v>-420000</v>
          </cell>
          <cell r="F358"/>
          <cell r="G358">
            <v>46065</v>
          </cell>
          <cell r="H358" t="str">
            <v>ABL-CHC-19</v>
          </cell>
          <cell r="I358" t="str">
            <v>OTHER BUSINESS</v>
          </cell>
          <cell r="J358" t="str">
            <v>Payment</v>
          </cell>
          <cell r="K358" t="str">
            <v>General Expenses</v>
          </cell>
          <cell r="L358" t="str">
            <v>Utilities</v>
          </cell>
          <cell r="M358" t="str">
            <v>Internet Charges</v>
          </cell>
          <cell r="N358" t="str">
            <v>CHC</v>
          </cell>
        </row>
        <row r="359">
          <cell r="E359">
            <v>500000</v>
          </cell>
          <cell r="F359"/>
          <cell r="G359">
            <v>46065</v>
          </cell>
          <cell r="H359" t="str">
            <v>ABL-CHC-19</v>
          </cell>
          <cell r="I359" t="str">
            <v>OTHER BUSINESS</v>
          </cell>
          <cell r="J359" t="str">
            <v>RECEIPTS</v>
          </cell>
          <cell r="K359" t="str">
            <v>General Expeses</v>
          </cell>
          <cell r="L359" t="str">
            <v>Income</v>
          </cell>
          <cell r="M359" t="str">
            <v>Income</v>
          </cell>
          <cell r="N359" t="str">
            <v>CHC</v>
          </cell>
        </row>
        <row r="360">
          <cell r="E360">
            <v>-303316</v>
          </cell>
          <cell r="F360"/>
          <cell r="G360">
            <v>46066</v>
          </cell>
          <cell r="H360" t="str">
            <v>ABL-CHC-19</v>
          </cell>
          <cell r="I360" t="str">
            <v>OTHER BUSINESS</v>
          </cell>
          <cell r="J360" t="str">
            <v>Payment</v>
          </cell>
          <cell r="K360" t="str">
            <v>General Expenses</v>
          </cell>
          <cell r="L360" t="str">
            <v>General, Admin &amp; Marketing Expenses</v>
          </cell>
          <cell r="M360" t="str">
            <v>General Expenses</v>
          </cell>
          <cell r="N360" t="str">
            <v>CHC</v>
          </cell>
        </row>
        <row r="361">
          <cell r="E361">
            <v>200000</v>
          </cell>
          <cell r="F361"/>
          <cell r="G361">
            <v>46066</v>
          </cell>
          <cell r="H361" t="str">
            <v>ABL-CHC-19</v>
          </cell>
          <cell r="I361" t="str">
            <v>OTHER BUSINESS</v>
          </cell>
          <cell r="J361" t="str">
            <v>RECEIPTS</v>
          </cell>
          <cell r="K361" t="str">
            <v>General Expeses</v>
          </cell>
          <cell r="L361" t="str">
            <v>INCOME</v>
          </cell>
          <cell r="M361" t="str">
            <v>INCOME</v>
          </cell>
          <cell r="N361" t="str">
            <v>CHC</v>
          </cell>
        </row>
        <row r="362">
          <cell r="E362">
            <v>90000</v>
          </cell>
          <cell r="F362"/>
          <cell r="G362">
            <v>46067</v>
          </cell>
          <cell r="H362" t="str">
            <v>ABL-CHC-19</v>
          </cell>
          <cell r="I362" t="str">
            <v>OTHER BUSINESS</v>
          </cell>
          <cell r="J362" t="str">
            <v>RECEIPTS</v>
          </cell>
          <cell r="K362" t="str">
            <v>General Expeses</v>
          </cell>
          <cell r="L362" t="str">
            <v>INCOME</v>
          </cell>
          <cell r="M362" t="str">
            <v>INCOME</v>
          </cell>
          <cell r="N362" t="str">
            <v>CHC</v>
          </cell>
        </row>
        <row r="363">
          <cell r="E363">
            <v>25000</v>
          </cell>
          <cell r="F363" t="str">
            <v>DR.</v>
          </cell>
          <cell r="G363">
            <v>46070</v>
          </cell>
          <cell r="H363" t="str">
            <v>ABL-CHC-19</v>
          </cell>
          <cell r="I363" t="str">
            <v>OTHER BUSINESS</v>
          </cell>
          <cell r="J363" t="str">
            <v>RECEIPTS</v>
          </cell>
          <cell r="K363" t="str">
            <v>General Expeses</v>
          </cell>
          <cell r="L363" t="str">
            <v>INCOME</v>
          </cell>
          <cell r="M363" t="str">
            <v>INCOME</v>
          </cell>
          <cell r="N363" t="str">
            <v>CHC</v>
          </cell>
        </row>
        <row r="364">
          <cell r="E364">
            <v>480000</v>
          </cell>
          <cell r="F364"/>
          <cell r="G364">
            <v>46071</v>
          </cell>
          <cell r="H364" t="str">
            <v>ABL-CHC-19</v>
          </cell>
          <cell r="I364" t="str">
            <v>OTHER BUSINESS</v>
          </cell>
          <cell r="J364" t="str">
            <v>RECEIPTS</v>
          </cell>
          <cell r="K364" t="str">
            <v>General Expeses</v>
          </cell>
          <cell r="L364" t="str">
            <v>INCOME</v>
          </cell>
          <cell r="M364" t="str">
            <v>INCOME</v>
          </cell>
          <cell r="N364" t="str">
            <v>CHC</v>
          </cell>
        </row>
        <row r="365">
          <cell r="E365">
            <v>-900000</v>
          </cell>
          <cell r="F365"/>
          <cell r="G365">
            <v>46071</v>
          </cell>
          <cell r="H365" t="str">
            <v>ABL-CHC-19</v>
          </cell>
          <cell r="I365" t="str">
            <v>OTHER BUSINESS</v>
          </cell>
          <cell r="J365" t="str">
            <v>iNterbank</v>
          </cell>
          <cell r="K365" t="str">
            <v>General Expeses</v>
          </cell>
          <cell r="L365" t="str">
            <v>Intercompany Loan</v>
          </cell>
          <cell r="M365" t="str">
            <v>Intercompany Loan</v>
          </cell>
          <cell r="N365" t="str">
            <v>CHC</v>
          </cell>
        </row>
        <row r="366">
          <cell r="E366">
            <v>-15138</v>
          </cell>
          <cell r="F366"/>
          <cell r="G366">
            <v>46072</v>
          </cell>
          <cell r="H366" t="str">
            <v>ABL-CHC-19</v>
          </cell>
          <cell r="I366" t="str">
            <v>OTHER BUSINESS</v>
          </cell>
          <cell r="J366" t="str">
            <v>Payment</v>
          </cell>
          <cell r="K366" t="str">
            <v>General Expeses</v>
          </cell>
          <cell r="L366" t="str">
            <v>Utilities</v>
          </cell>
          <cell r="M366" t="str">
            <v>internet charges</v>
          </cell>
          <cell r="N366" t="str">
            <v>CHC</v>
          </cell>
        </row>
        <row r="367">
          <cell r="E367">
            <v>120000</v>
          </cell>
          <cell r="F367"/>
          <cell r="G367">
            <v>46072</v>
          </cell>
          <cell r="H367" t="str">
            <v>ABL-CHC-19</v>
          </cell>
          <cell r="I367" t="str">
            <v>OTHER BUSINESS</v>
          </cell>
          <cell r="J367" t="str">
            <v>RECEIPTS</v>
          </cell>
          <cell r="K367" t="str">
            <v>General Expeses</v>
          </cell>
          <cell r="L367" t="str">
            <v>INCOME</v>
          </cell>
          <cell r="M367" t="str">
            <v>INCOME</v>
          </cell>
          <cell r="N367" t="str">
            <v>CHC</v>
          </cell>
        </row>
        <row r="368">
          <cell r="E368">
            <v>205000</v>
          </cell>
          <cell r="F368"/>
          <cell r="G368">
            <v>46073</v>
          </cell>
          <cell r="H368" t="str">
            <v>ABL-CHC-19</v>
          </cell>
          <cell r="I368" t="str">
            <v>OTHER BUSINESS</v>
          </cell>
          <cell r="J368" t="str">
            <v>RECEIPTS</v>
          </cell>
          <cell r="K368" t="str">
            <v>General Expeses</v>
          </cell>
          <cell r="L368" t="str">
            <v>INCOME</v>
          </cell>
          <cell r="M368" t="str">
            <v>INCOME</v>
          </cell>
          <cell r="N368" t="str">
            <v>CHC</v>
          </cell>
        </row>
        <row r="369">
          <cell r="E369">
            <v>900000</v>
          </cell>
          <cell r="F369"/>
          <cell r="G369">
            <v>46073</v>
          </cell>
          <cell r="H369" t="str">
            <v>ABL-CHC-19</v>
          </cell>
          <cell r="I369" t="str">
            <v>OTHER BUSINESS</v>
          </cell>
          <cell r="J369" t="str">
            <v>iNterbank</v>
          </cell>
          <cell r="K369" t="str">
            <v>General Expeses</v>
          </cell>
          <cell r="L369" t="str">
            <v>Intercompany Loan</v>
          </cell>
          <cell r="M369" t="str">
            <v>Intercompany Loan</v>
          </cell>
          <cell r="N369" t="str">
            <v>CHC</v>
          </cell>
        </row>
        <row r="370">
          <cell r="E370">
            <v>460000</v>
          </cell>
          <cell r="F370"/>
          <cell r="G370">
            <v>46076</v>
          </cell>
          <cell r="H370" t="str">
            <v>ABL-CHC-19</v>
          </cell>
          <cell r="I370" t="str">
            <v>OTHER BUSINESS</v>
          </cell>
          <cell r="J370" t="str">
            <v>RECEIPTS</v>
          </cell>
          <cell r="K370" t="str">
            <v>General Expeses</v>
          </cell>
          <cell r="L370" t="str">
            <v>INCOME</v>
          </cell>
          <cell r="M370" t="str">
            <v>INCOME</v>
          </cell>
          <cell r="N370" t="str">
            <v>CHC</v>
          </cell>
        </row>
        <row r="371">
          <cell r="E371">
            <v>20000</v>
          </cell>
          <cell r="F371" t="str">
            <v>DR.</v>
          </cell>
          <cell r="G371">
            <v>46077</v>
          </cell>
          <cell r="H371" t="str">
            <v>ABL-CHC-19</v>
          </cell>
          <cell r="I371" t="str">
            <v>OTHER BUSINESS</v>
          </cell>
          <cell r="J371" t="str">
            <v>RECEIPTS</v>
          </cell>
          <cell r="K371" t="str">
            <v>General Expeses</v>
          </cell>
          <cell r="L371" t="str">
            <v>INCOME</v>
          </cell>
          <cell r="M371" t="str">
            <v>INCOME</v>
          </cell>
          <cell r="N371" t="str">
            <v>CHC</v>
          </cell>
        </row>
        <row r="372">
          <cell r="E372">
            <v>30000</v>
          </cell>
          <cell r="F372" t="str">
            <v>DR.</v>
          </cell>
          <cell r="G372">
            <v>46078</v>
          </cell>
          <cell r="H372" t="str">
            <v>ABL-CHC-19</v>
          </cell>
          <cell r="I372" t="str">
            <v>OTHER BUSINESS</v>
          </cell>
          <cell r="J372" t="str">
            <v>RECEIPTS</v>
          </cell>
          <cell r="K372" t="str">
            <v>General Expenses</v>
          </cell>
          <cell r="L372" t="str">
            <v>Income</v>
          </cell>
          <cell r="M372" t="str">
            <v>Income</v>
          </cell>
          <cell r="N372" t="str">
            <v>CHC</v>
          </cell>
        </row>
        <row r="373">
          <cell r="E373">
            <v>190000</v>
          </cell>
          <cell r="F373" t="str">
            <v>Dr.</v>
          </cell>
          <cell r="G373">
            <v>46079</v>
          </cell>
          <cell r="H373" t="str">
            <v>ABL-CHC-19</v>
          </cell>
          <cell r="I373" t="str">
            <v>OTHER BUSINESS</v>
          </cell>
          <cell r="J373" t="str">
            <v>RECEIPTS</v>
          </cell>
          <cell r="K373" t="str">
            <v>General Expeses</v>
          </cell>
          <cell r="L373" t="str">
            <v>Income</v>
          </cell>
          <cell r="M373" t="str">
            <v>Income</v>
          </cell>
          <cell r="N373" t="str">
            <v>CHC</v>
          </cell>
        </row>
        <row r="374">
          <cell r="E374">
            <v>346000</v>
          </cell>
          <cell r="F374" t="str">
            <v>DR.</v>
          </cell>
          <cell r="G374">
            <v>46080</v>
          </cell>
          <cell r="H374" t="str">
            <v>ABL-CHC-19</v>
          </cell>
          <cell r="I374" t="str">
            <v>OTHER BUSINESS</v>
          </cell>
          <cell r="J374" t="str">
            <v>RECEIPTS</v>
          </cell>
          <cell r="K374" t="str">
            <v>General Expeses</v>
          </cell>
          <cell r="L374" t="str">
            <v>INCOME</v>
          </cell>
          <cell r="M374" t="str">
            <v>INCOME</v>
          </cell>
          <cell r="N374" t="str">
            <v>CHC</v>
          </cell>
        </row>
        <row r="375">
          <cell r="E375">
            <v>45000</v>
          </cell>
          <cell r="F375" t="str">
            <v>DR.</v>
          </cell>
          <cell r="G375">
            <v>46081</v>
          </cell>
          <cell r="H375" t="str">
            <v>ABL-CHC-19</v>
          </cell>
          <cell r="I375" t="str">
            <v>OTHER BUSINESS</v>
          </cell>
          <cell r="J375" t="str">
            <v>RECEIPTS</v>
          </cell>
          <cell r="K375" t="str">
            <v>General Expeses</v>
          </cell>
          <cell r="L375" t="str">
            <v>INCOME</v>
          </cell>
          <cell r="M375" t="str">
            <v>INCOME</v>
          </cell>
          <cell r="N375" t="str">
            <v>CHC</v>
          </cell>
        </row>
        <row r="376">
          <cell r="E376">
            <v>175000</v>
          </cell>
          <cell r="F376"/>
          <cell r="G376">
            <v>46083</v>
          </cell>
          <cell r="H376" t="str">
            <v>ABL-CHC-19</v>
          </cell>
          <cell r="I376" t="str">
            <v>OTHER BUSINESS</v>
          </cell>
          <cell r="J376" t="str">
            <v>RECEIPTS</v>
          </cell>
          <cell r="K376" t="str">
            <v>General Expenses</v>
          </cell>
          <cell r="L376" t="str">
            <v>INCOME</v>
          </cell>
          <cell r="M376" t="str">
            <v>INCOME</v>
          </cell>
          <cell r="N376" t="str">
            <v>CHC</v>
          </cell>
        </row>
        <row r="377">
          <cell r="E377">
            <v>295000</v>
          </cell>
          <cell r="F377" t="str">
            <v>DR.</v>
          </cell>
          <cell r="G377">
            <v>46084</v>
          </cell>
          <cell r="H377" t="str">
            <v>ABL-CHC-19</v>
          </cell>
          <cell r="I377" t="str">
            <v>OTHER BUSINESS</v>
          </cell>
          <cell r="J377" t="str">
            <v>RECEIPTS</v>
          </cell>
          <cell r="K377" t="str">
            <v>General Expeses</v>
          </cell>
          <cell r="L377" t="str">
            <v>INCOME</v>
          </cell>
          <cell r="M377" t="str">
            <v>INCOME</v>
          </cell>
          <cell r="N377" t="str">
            <v>CHC</v>
          </cell>
        </row>
        <row r="378">
          <cell r="E378">
            <v>-2742990</v>
          </cell>
          <cell r="F378" t="str">
            <v>Cr.</v>
          </cell>
          <cell r="G378">
            <v>46084</v>
          </cell>
          <cell r="H378" t="str">
            <v>ABL-CHC-19</v>
          </cell>
          <cell r="I378" t="str">
            <v>OTHER BUSINESS</v>
          </cell>
          <cell r="J378" t="str">
            <v>Payment</v>
          </cell>
          <cell r="K378" t="str">
            <v>General Expenses</v>
          </cell>
          <cell r="L378" t="str">
            <v>Utilities</v>
          </cell>
          <cell r="M378" t="str">
            <v>Internet Charges</v>
          </cell>
          <cell r="N378" t="str">
            <v>CHC</v>
          </cell>
        </row>
        <row r="379">
          <cell r="E379">
            <v>-182723</v>
          </cell>
          <cell r="F379" t="str">
            <v>Cr.</v>
          </cell>
          <cell r="G379">
            <v>46084</v>
          </cell>
          <cell r="H379" t="str">
            <v>ABL-CHC-19</v>
          </cell>
          <cell r="I379" t="str">
            <v>OTHER BUSINESS</v>
          </cell>
          <cell r="J379" t="str">
            <v>Payment</v>
          </cell>
          <cell r="K379" t="str">
            <v>General Expenses</v>
          </cell>
          <cell r="L379" t="str">
            <v>Utilities</v>
          </cell>
          <cell r="M379" t="str">
            <v>Internet Charges</v>
          </cell>
          <cell r="N379" t="str">
            <v>CHC</v>
          </cell>
        </row>
        <row r="380">
          <cell r="E380">
            <v>175000</v>
          </cell>
          <cell r="F380"/>
          <cell r="G380">
            <v>46085</v>
          </cell>
          <cell r="H380" t="str">
            <v>ABL-CHC-19</v>
          </cell>
          <cell r="I380" t="str">
            <v>OTHER BUSINESS</v>
          </cell>
          <cell r="J380" t="str">
            <v>RECEIPTS</v>
          </cell>
          <cell r="K380" t="str">
            <v>General Expenses</v>
          </cell>
          <cell r="L380" t="str">
            <v>INCOME</v>
          </cell>
          <cell r="M380" t="str">
            <v>INCOME</v>
          </cell>
          <cell r="N380" t="str">
            <v>CHC</v>
          </cell>
        </row>
        <row r="381">
          <cell r="E381">
            <v>40000</v>
          </cell>
          <cell r="F381" t="str">
            <v>DR.</v>
          </cell>
          <cell r="G381">
            <v>46086</v>
          </cell>
          <cell r="H381" t="str">
            <v>ABL-CHC-19</v>
          </cell>
          <cell r="I381" t="str">
            <v>OTHER BUSINESS</v>
          </cell>
          <cell r="J381" t="str">
            <v>RECEIPTS</v>
          </cell>
          <cell r="K381" t="str">
            <v>General Expeses</v>
          </cell>
          <cell r="L381" t="str">
            <v>Income</v>
          </cell>
          <cell r="M381" t="str">
            <v>Income</v>
          </cell>
          <cell r="N381" t="str">
            <v>CHC</v>
          </cell>
        </row>
        <row r="382">
          <cell r="E382">
            <v>180000</v>
          </cell>
          <cell r="F382" t="str">
            <v>DR.</v>
          </cell>
          <cell r="G382">
            <v>46087</v>
          </cell>
          <cell r="H382" t="str">
            <v>ABL-CHC-19</v>
          </cell>
          <cell r="I382" t="str">
            <v>OTHER BUSINESS</v>
          </cell>
          <cell r="J382" t="str">
            <v>RECEIPTS</v>
          </cell>
          <cell r="K382" t="str">
            <v>General Expenses</v>
          </cell>
          <cell r="L382" t="str">
            <v>Income</v>
          </cell>
          <cell r="M382" t="str">
            <v>Income</v>
          </cell>
          <cell r="N382" t="str">
            <v>CHC</v>
          </cell>
        </row>
        <row r="383">
          <cell r="E383">
            <v>35000</v>
          </cell>
          <cell r="F383" t="str">
            <v>DR.</v>
          </cell>
          <cell r="G383">
            <v>46090</v>
          </cell>
          <cell r="H383" t="str">
            <v>ABL-CHC-19</v>
          </cell>
          <cell r="I383" t="str">
            <v>OTHER BUSINESS</v>
          </cell>
          <cell r="J383" t="str">
            <v>RECEIPTS</v>
          </cell>
          <cell r="K383" t="str">
            <v>General Expeses</v>
          </cell>
          <cell r="L383" t="str">
            <v>INCOME</v>
          </cell>
          <cell r="M383" t="str">
            <v>INCOME</v>
          </cell>
          <cell r="N383" t="str">
            <v>CHC</v>
          </cell>
        </row>
        <row r="384">
          <cell r="E384">
            <v>130000</v>
          </cell>
          <cell r="F384"/>
          <cell r="G384">
            <v>46091</v>
          </cell>
          <cell r="H384" t="str">
            <v>ABL-CHC-19</v>
          </cell>
          <cell r="I384" t="str">
            <v>OTHER BUSINESS</v>
          </cell>
          <cell r="J384" t="str">
            <v>RECEIPTS</v>
          </cell>
          <cell r="K384" t="str">
            <v>General Expeses</v>
          </cell>
          <cell r="L384" t="str">
            <v>INCOME</v>
          </cell>
          <cell r="M384" t="str">
            <v>INCOME</v>
          </cell>
          <cell r="N384" t="str">
            <v>CHC</v>
          </cell>
        </row>
        <row r="385">
          <cell r="E385">
            <v>-11783</v>
          </cell>
          <cell r="F385"/>
          <cell r="G385">
            <v>46092</v>
          </cell>
          <cell r="H385" t="str">
            <v>ABL-CHC-19</v>
          </cell>
          <cell r="I385" t="str">
            <v>OTHER BUSINESS</v>
          </cell>
          <cell r="J385" t="str">
            <v>Payment</v>
          </cell>
          <cell r="K385" t="str">
            <v>General Expeses</v>
          </cell>
          <cell r="L385" t="str">
            <v>Utilities</v>
          </cell>
          <cell r="M385" t="str">
            <v>internet charges</v>
          </cell>
          <cell r="N385" t="str">
            <v>CHC</v>
          </cell>
        </row>
        <row r="386">
          <cell r="E386">
            <v>-10575</v>
          </cell>
          <cell r="F386"/>
          <cell r="G386">
            <v>46092</v>
          </cell>
          <cell r="H386" t="str">
            <v>ABL-CHC-19</v>
          </cell>
          <cell r="I386" t="str">
            <v>OTHER BUSINESS</v>
          </cell>
          <cell r="J386" t="str">
            <v>Payment</v>
          </cell>
          <cell r="K386" t="str">
            <v>General Expeses</v>
          </cell>
          <cell r="L386" t="str">
            <v>Utilities</v>
          </cell>
          <cell r="M386" t="str">
            <v>Water Charges</v>
          </cell>
          <cell r="N386" t="str">
            <v>CHC</v>
          </cell>
        </row>
        <row r="387">
          <cell r="E387">
            <v>-504000</v>
          </cell>
          <cell r="F387"/>
          <cell r="G387">
            <v>46093</v>
          </cell>
          <cell r="H387" t="str">
            <v>ABL-CHC-19</v>
          </cell>
          <cell r="I387" t="str">
            <v>OTHER BUSINESS</v>
          </cell>
          <cell r="J387" t="str">
            <v>PAYMENT</v>
          </cell>
          <cell r="K387" t="str">
            <v>General Expenses</v>
          </cell>
          <cell r="L387" t="str">
            <v>Utilities</v>
          </cell>
          <cell r="M387" t="str">
            <v>Internet Charges</v>
          </cell>
          <cell r="N387" t="str">
            <v>CHC</v>
          </cell>
        </row>
        <row r="388">
          <cell r="E388">
            <v>150000</v>
          </cell>
          <cell r="F388"/>
          <cell r="G388">
            <v>46093</v>
          </cell>
          <cell r="H388" t="str">
            <v>ABL-CHC-19</v>
          </cell>
          <cell r="I388" t="str">
            <v>OTHER BUSINESS</v>
          </cell>
          <cell r="J388" t="str">
            <v>RECEIPTS</v>
          </cell>
          <cell r="K388" t="str">
            <v>General Expenses</v>
          </cell>
          <cell r="L388" t="str">
            <v>INCOME</v>
          </cell>
          <cell r="M388" t="str">
            <v>INCOME</v>
          </cell>
          <cell r="N388" t="str">
            <v>CHC</v>
          </cell>
        </row>
        <row r="389">
          <cell r="E389">
            <v>-48000</v>
          </cell>
          <cell r="F389"/>
          <cell r="G389">
            <v>46094</v>
          </cell>
          <cell r="H389" t="str">
            <v>ABL-CHC-19</v>
          </cell>
          <cell r="I389" t="str">
            <v>OTHER BUSINESS</v>
          </cell>
          <cell r="J389" t="str">
            <v>Payment</v>
          </cell>
          <cell r="K389" t="str">
            <v>General Expeses</v>
          </cell>
          <cell r="L389" t="str">
            <v>Utilities</v>
          </cell>
          <cell r="M389" t="str">
            <v>Water Charges</v>
          </cell>
          <cell r="N389" t="str">
            <v>CHC</v>
          </cell>
        </row>
        <row r="390">
          <cell r="E390">
            <v>110000</v>
          </cell>
          <cell r="F390"/>
          <cell r="G390">
            <v>46094</v>
          </cell>
          <cell r="H390" t="str">
            <v>ABL-CHC-19</v>
          </cell>
          <cell r="I390" t="str">
            <v>OTHER BUSINESS</v>
          </cell>
          <cell r="J390" t="str">
            <v>RECEIPTS</v>
          </cell>
          <cell r="K390" t="str">
            <v>General Expenses</v>
          </cell>
          <cell r="L390" t="str">
            <v>INCOME</v>
          </cell>
          <cell r="M390" t="str">
            <v>INCOME</v>
          </cell>
          <cell r="N390" t="str">
            <v>CHC</v>
          </cell>
        </row>
        <row r="391">
          <cell r="E391">
            <v>40000</v>
          </cell>
          <cell r="F391"/>
          <cell r="G391">
            <v>46095</v>
          </cell>
          <cell r="H391" t="str">
            <v>ABL-CHC-19</v>
          </cell>
          <cell r="I391" t="str">
            <v>OTHER BUSINESS</v>
          </cell>
          <cell r="J391" t="str">
            <v>RECEIPTS</v>
          </cell>
          <cell r="K391" t="str">
            <v>General Expenses</v>
          </cell>
          <cell r="L391" t="str">
            <v>INCOME</v>
          </cell>
          <cell r="M391" t="str">
            <v>INCOME</v>
          </cell>
          <cell r="N391" t="str">
            <v>CHC</v>
          </cell>
        </row>
        <row r="392">
          <cell r="E392">
            <v>-504000</v>
          </cell>
          <cell r="F392"/>
          <cell r="G392">
            <v>46095</v>
          </cell>
          <cell r="H392" t="str">
            <v>ABL-CHC-19</v>
          </cell>
          <cell r="I392" t="str">
            <v>OTHER BUSINESS</v>
          </cell>
          <cell r="J392" t="str">
            <v>Payment</v>
          </cell>
          <cell r="K392" t="str">
            <v>General Expeses</v>
          </cell>
          <cell r="L392" t="str">
            <v>Utilities</v>
          </cell>
          <cell r="M392" t="str">
            <v>Water Charges</v>
          </cell>
          <cell r="N392" t="str">
            <v>CHC</v>
          </cell>
        </row>
        <row r="393">
          <cell r="E393">
            <v>-84000</v>
          </cell>
          <cell r="F393" t="str">
            <v>Cr.</v>
          </cell>
          <cell r="G393">
            <v>46097</v>
          </cell>
          <cell r="H393" t="str">
            <v>ABL-CHC-19</v>
          </cell>
          <cell r="I393" t="str">
            <v>OTHER BUSINESS</v>
          </cell>
          <cell r="J393" t="str">
            <v>Payment</v>
          </cell>
          <cell r="K393" t="str">
            <v>General Expeses</v>
          </cell>
          <cell r="L393" t="str">
            <v>Utilities</v>
          </cell>
          <cell r="M393" t="str">
            <v>Water Charges</v>
          </cell>
          <cell r="N393" t="str">
            <v>CHC</v>
          </cell>
        </row>
        <row r="394">
          <cell r="E394">
            <v>70000</v>
          </cell>
          <cell r="F394" t="str">
            <v>DR.</v>
          </cell>
          <cell r="G394">
            <v>46097</v>
          </cell>
          <cell r="H394" t="str">
            <v>ABL-CHC-19</v>
          </cell>
          <cell r="I394" t="str">
            <v>OTHER BUSINESS</v>
          </cell>
          <cell r="J394" t="str">
            <v>RECEIPTS</v>
          </cell>
          <cell r="K394" t="str">
            <v>General Expeses</v>
          </cell>
          <cell r="L394" t="str">
            <v>Income</v>
          </cell>
          <cell r="M394" t="str">
            <v>Income</v>
          </cell>
          <cell r="N394" t="str">
            <v>CHC</v>
          </cell>
        </row>
        <row r="395">
          <cell r="E395">
            <v>-12268</v>
          </cell>
          <cell r="F395" t="str">
            <v>Cr.</v>
          </cell>
          <cell r="G395">
            <v>46098</v>
          </cell>
          <cell r="H395" t="str">
            <v>ABL-CHC-19</v>
          </cell>
          <cell r="I395" t="str">
            <v>OTHER BUSINESS</v>
          </cell>
          <cell r="J395" t="str">
            <v>Payment</v>
          </cell>
          <cell r="K395" t="str">
            <v>General Expeses</v>
          </cell>
          <cell r="L395" t="str">
            <v>Utilities</v>
          </cell>
          <cell r="M395" t="str">
            <v>Water Charges</v>
          </cell>
          <cell r="N395" t="str">
            <v>CHC</v>
          </cell>
        </row>
        <row r="396">
          <cell r="E396">
            <v>-84000</v>
          </cell>
          <cell r="F396" t="str">
            <v>Cr.</v>
          </cell>
          <cell r="G396">
            <v>46098</v>
          </cell>
          <cell r="H396" t="str">
            <v>ABL-CHC-19</v>
          </cell>
          <cell r="I396" t="str">
            <v>OTHER BUSINESS</v>
          </cell>
          <cell r="J396" t="str">
            <v>Payment</v>
          </cell>
          <cell r="K396" t="str">
            <v>General Expeses</v>
          </cell>
          <cell r="L396" t="str">
            <v>Utilities</v>
          </cell>
          <cell r="M396" t="str">
            <v>Water Charges</v>
          </cell>
          <cell r="N396" t="str">
            <v>CHC</v>
          </cell>
        </row>
        <row r="397">
          <cell r="E397">
            <v>-84000</v>
          </cell>
          <cell r="F397" t="str">
            <v>Cr.</v>
          </cell>
          <cell r="G397">
            <v>46098</v>
          </cell>
          <cell r="H397" t="str">
            <v>ABL-CHC-19</v>
          </cell>
          <cell r="I397" t="str">
            <v>OTHER BUSINESS</v>
          </cell>
          <cell r="J397" t="str">
            <v>Payment</v>
          </cell>
          <cell r="K397" t="str">
            <v>General Expeses</v>
          </cell>
          <cell r="L397" t="str">
            <v>Utilities</v>
          </cell>
          <cell r="M397" t="str">
            <v>Water Charges</v>
          </cell>
          <cell r="N397" t="str">
            <v>CHC</v>
          </cell>
        </row>
        <row r="398">
          <cell r="E398">
            <v>-30210</v>
          </cell>
          <cell r="F398" t="str">
            <v>Cr.</v>
          </cell>
          <cell r="G398">
            <v>46098</v>
          </cell>
          <cell r="H398" t="str">
            <v>ABL-CHC-19</v>
          </cell>
          <cell r="I398" t="str">
            <v>OTHER BUSINESS</v>
          </cell>
          <cell r="J398" t="str">
            <v>Payment</v>
          </cell>
          <cell r="K398" t="str">
            <v>General Expenses</v>
          </cell>
          <cell r="L398" t="str">
            <v>Utilities</v>
          </cell>
          <cell r="M398" t="str">
            <v>Water Charges</v>
          </cell>
          <cell r="N398" t="str">
            <v>CHC</v>
          </cell>
        </row>
        <row r="399">
          <cell r="E399">
            <v>100000</v>
          </cell>
          <cell r="F399" t="str">
            <v>DR.</v>
          </cell>
          <cell r="G399">
            <v>46098</v>
          </cell>
          <cell r="H399" t="str">
            <v>ABL-CHC-19</v>
          </cell>
          <cell r="I399" t="str">
            <v>OTHER BUSINESS</v>
          </cell>
          <cell r="J399" t="str">
            <v>RECEIPTS</v>
          </cell>
          <cell r="K399" t="str">
            <v>General Expeses</v>
          </cell>
          <cell r="L399" t="str">
            <v>INCOME</v>
          </cell>
          <cell r="M399" t="str">
            <v>INCOME</v>
          </cell>
          <cell r="N399" t="str">
            <v>CHC</v>
          </cell>
        </row>
        <row r="400">
          <cell r="E400">
            <v>3000000</v>
          </cell>
          <cell r="F400" t="str">
            <v>DR.</v>
          </cell>
          <cell r="G400">
            <v>46099</v>
          </cell>
          <cell r="H400" t="str">
            <v>ABL-CHC-19</v>
          </cell>
          <cell r="I400" t="str">
            <v>OTHER BUSINESS</v>
          </cell>
          <cell r="J400" t="str">
            <v>iNterbank</v>
          </cell>
          <cell r="K400" t="str">
            <v>General Expenses</v>
          </cell>
          <cell r="L400" t="str">
            <v>Intercompany Loan</v>
          </cell>
          <cell r="M400" t="str">
            <v>Intercompany Loan</v>
          </cell>
          <cell r="N400" t="str">
            <v>CHC</v>
          </cell>
        </row>
        <row r="401">
          <cell r="E401">
            <v>30000</v>
          </cell>
          <cell r="F401" t="str">
            <v>DR.</v>
          </cell>
          <cell r="G401">
            <v>46099</v>
          </cell>
          <cell r="H401" t="str">
            <v>ABL-CHC-19</v>
          </cell>
          <cell r="I401" t="str">
            <v>OTHER BUSINESS</v>
          </cell>
          <cell r="J401" t="str">
            <v>RECEIPTS</v>
          </cell>
          <cell r="K401" t="str">
            <v>General Expeses</v>
          </cell>
          <cell r="L401" t="str">
            <v>INCOME</v>
          </cell>
          <cell r="M401" t="str">
            <v>INCOME</v>
          </cell>
          <cell r="N401" t="str">
            <v>CHC</v>
          </cell>
        </row>
        <row r="402">
          <cell r="E402">
            <v>-2563607</v>
          </cell>
          <cell r="F402" t="str">
            <v>Cr.</v>
          </cell>
          <cell r="G402">
            <v>46099</v>
          </cell>
          <cell r="H402" t="str">
            <v>ABL-CHC-19</v>
          </cell>
          <cell r="I402" t="str">
            <v>OTHER BUSINESS</v>
          </cell>
          <cell r="J402" t="str">
            <v>Payment</v>
          </cell>
          <cell r="K402" t="str">
            <v>General Expenses</v>
          </cell>
          <cell r="L402" t="str">
            <v>Utilities</v>
          </cell>
          <cell r="M402" t="str">
            <v>Water Charges</v>
          </cell>
          <cell r="N402" t="str">
            <v>CHC</v>
          </cell>
        </row>
        <row r="403">
          <cell r="E403">
            <v>35000</v>
          </cell>
          <cell r="F403" t="str">
            <v>Cr.</v>
          </cell>
          <cell r="G403">
            <v>46107</v>
          </cell>
          <cell r="H403" t="str">
            <v>ABL-CHC-19</v>
          </cell>
          <cell r="I403" t="str">
            <v>OTHER BUSINESS</v>
          </cell>
          <cell r="J403" t="str">
            <v>RECEIPTS</v>
          </cell>
          <cell r="K403" t="str">
            <v>General Expenses</v>
          </cell>
          <cell r="L403" t="str">
            <v>INCOME</v>
          </cell>
          <cell r="M403" t="str">
            <v>INCOME</v>
          </cell>
          <cell r="N403" t="str">
            <v>CHC</v>
          </cell>
        </row>
        <row r="404">
          <cell r="E404">
            <v>-111631</v>
          </cell>
          <cell r="F404"/>
          <cell r="G404">
            <v>46108</v>
          </cell>
          <cell r="H404" t="str">
            <v>ABL-CHC-19</v>
          </cell>
          <cell r="I404" t="str">
            <v>OTHER BUSINESS</v>
          </cell>
          <cell r="J404" t="str">
            <v>Payment</v>
          </cell>
          <cell r="K404" t="str">
            <v>General Expenses</v>
          </cell>
          <cell r="L404" t="str">
            <v>Utilities</v>
          </cell>
          <cell r="M404" t="str">
            <v>Water Charges</v>
          </cell>
          <cell r="N404" t="str">
            <v>CHC</v>
          </cell>
        </row>
        <row r="405">
          <cell r="E405">
            <v>90000</v>
          </cell>
          <cell r="F405"/>
          <cell r="G405">
            <v>46108</v>
          </cell>
          <cell r="H405" t="str">
            <v>ABL-CHC-19</v>
          </cell>
          <cell r="I405" t="str">
            <v>OTHER BUSINESS</v>
          </cell>
          <cell r="J405" t="str">
            <v>RECEIPTS</v>
          </cell>
          <cell r="K405" t="str">
            <v>General Expeses</v>
          </cell>
          <cell r="L405" t="str">
            <v>Income</v>
          </cell>
          <cell r="M405" t="str">
            <v>Income</v>
          </cell>
          <cell r="N405" t="str">
            <v>CHC</v>
          </cell>
        </row>
        <row r="406">
          <cell r="E406">
            <v>25000</v>
          </cell>
          <cell r="F406"/>
          <cell r="G406">
            <v>46113</v>
          </cell>
          <cell r="H406" t="str">
            <v>ABL-CHC-19</v>
          </cell>
          <cell r="I406" t="str">
            <v>OTHER BUSINESS</v>
          </cell>
          <cell r="J406" t="str">
            <v>RECEIPTS</v>
          </cell>
          <cell r="K406" t="str">
            <v>General Expeses</v>
          </cell>
          <cell r="L406" t="str">
            <v>INCOME</v>
          </cell>
          <cell r="M406" t="str">
            <v>INCOME</v>
          </cell>
          <cell r="N406" t="str">
            <v>CHC</v>
          </cell>
        </row>
        <row r="407">
          <cell r="E407">
            <v>-504000</v>
          </cell>
          <cell r="F407"/>
          <cell r="G407">
            <v>46114</v>
          </cell>
          <cell r="H407" t="str">
            <v>ABL-CHC-19</v>
          </cell>
          <cell r="I407" t="str">
            <v>OTHER BUSINESS</v>
          </cell>
          <cell r="J407" t="str">
            <v>Payment</v>
          </cell>
          <cell r="K407" t="str">
            <v>General Expenses</v>
          </cell>
          <cell r="L407" t="str">
            <v>Utilities</v>
          </cell>
          <cell r="M407" t="str">
            <v>Water Charges</v>
          </cell>
          <cell r="N407" t="str">
            <v>CHC</v>
          </cell>
        </row>
        <row r="408">
          <cell r="E408">
            <v>160000</v>
          </cell>
          <cell r="F408"/>
          <cell r="G408">
            <v>46114</v>
          </cell>
          <cell r="H408" t="str">
            <v>ABL-CHC-19</v>
          </cell>
          <cell r="I408" t="str">
            <v>OTHER BUSINESS</v>
          </cell>
          <cell r="J408" t="str">
            <v>RECEIPTS</v>
          </cell>
          <cell r="K408" t="str">
            <v>General Expeses</v>
          </cell>
          <cell r="L408" t="str">
            <v>Income</v>
          </cell>
          <cell r="M408" t="str">
            <v>Income</v>
          </cell>
          <cell r="N408" t="str">
            <v>CHC</v>
          </cell>
        </row>
        <row r="409">
          <cell r="E409">
            <v>-84000</v>
          </cell>
          <cell r="F409"/>
          <cell r="G409">
            <v>46115</v>
          </cell>
          <cell r="H409" t="str">
            <v>ABL-CHC-19</v>
          </cell>
          <cell r="I409" t="str">
            <v>OTHER BUSINESS</v>
          </cell>
          <cell r="J409" t="str">
            <v>Payment</v>
          </cell>
          <cell r="K409" t="str">
            <v>General Expenses</v>
          </cell>
          <cell r="L409" t="str">
            <v>Utilities</v>
          </cell>
          <cell r="M409" t="str">
            <v>Water Charges</v>
          </cell>
          <cell r="N409" t="str">
            <v>CHC</v>
          </cell>
        </row>
        <row r="410">
          <cell r="E410">
            <v>-1100</v>
          </cell>
          <cell r="F410"/>
          <cell r="G410">
            <v>46115</v>
          </cell>
          <cell r="H410" t="str">
            <v>ABL-CHC-19</v>
          </cell>
          <cell r="I410" t="str">
            <v>OTHER BUSINESS</v>
          </cell>
          <cell r="J410" t="str">
            <v>Payment</v>
          </cell>
          <cell r="K410" t="str">
            <v>General Expeses</v>
          </cell>
          <cell r="L410" t="str">
            <v>Utilities</v>
          </cell>
          <cell r="M410" t="str">
            <v>Water Charges</v>
          </cell>
          <cell r="N410" t="str">
            <v>CHC</v>
          </cell>
        </row>
        <row r="411">
          <cell r="E411">
            <v>40000</v>
          </cell>
          <cell r="F411"/>
          <cell r="G411">
            <v>46116</v>
          </cell>
          <cell r="H411" t="str">
            <v>ABL-CHC-19</v>
          </cell>
          <cell r="I411" t="str">
            <v>OTHER BUSINESS</v>
          </cell>
          <cell r="J411" t="str">
            <v>RECEIPTS</v>
          </cell>
          <cell r="K411" t="str">
            <v>General Expeses</v>
          </cell>
          <cell r="L411" t="str">
            <v>INCOME</v>
          </cell>
          <cell r="M411" t="str">
            <v>INCOME</v>
          </cell>
          <cell r="N411" t="str">
            <v>CHC</v>
          </cell>
        </row>
        <row r="412">
          <cell r="E412">
            <v>-84000</v>
          </cell>
          <cell r="F412"/>
          <cell r="G412">
            <v>46118</v>
          </cell>
          <cell r="H412" t="str">
            <v>ABL-CHC-19</v>
          </cell>
          <cell r="I412" t="str">
            <v>OTHER BUSINESS</v>
          </cell>
          <cell r="J412" t="str">
            <v>Payment</v>
          </cell>
          <cell r="K412" t="str">
            <v>General Expeses</v>
          </cell>
          <cell r="L412" t="str">
            <v>Utilities</v>
          </cell>
          <cell r="M412" t="str">
            <v>Water Charges</v>
          </cell>
          <cell r="N412" t="str">
            <v>CHC</v>
          </cell>
        </row>
        <row r="413">
          <cell r="E413">
            <v>-84000</v>
          </cell>
          <cell r="F413"/>
          <cell r="G413">
            <v>46118</v>
          </cell>
          <cell r="H413" t="str">
            <v>ABL-CHC-19</v>
          </cell>
          <cell r="I413" t="str">
            <v>OTHER BUSINESS</v>
          </cell>
          <cell r="J413" t="str">
            <v>Payment</v>
          </cell>
          <cell r="K413" t="str">
            <v>General Expeses</v>
          </cell>
          <cell r="L413" t="str">
            <v>Utilities</v>
          </cell>
          <cell r="M413" t="str">
            <v>Water Charges</v>
          </cell>
          <cell r="N413" t="str">
            <v>CHC</v>
          </cell>
        </row>
        <row r="414">
          <cell r="E414">
            <v>65000</v>
          </cell>
          <cell r="F414"/>
          <cell r="G414">
            <v>46118</v>
          </cell>
          <cell r="H414" t="str">
            <v>ABL-CHC-19</v>
          </cell>
          <cell r="I414" t="str">
            <v>OTHER BUSINESS</v>
          </cell>
          <cell r="J414" t="str">
            <v>RECEIPTS</v>
          </cell>
          <cell r="K414" t="str">
            <v>General Expeses</v>
          </cell>
          <cell r="L414" t="str">
            <v>INCOME</v>
          </cell>
          <cell r="M414" t="str">
            <v>INCOME</v>
          </cell>
          <cell r="N414" t="str">
            <v>CHC</v>
          </cell>
        </row>
        <row r="415">
          <cell r="E415">
            <v>55000</v>
          </cell>
          <cell r="F415"/>
          <cell r="G415">
            <v>46119</v>
          </cell>
          <cell r="H415" t="str">
            <v>ABL-CHC-19</v>
          </cell>
          <cell r="I415" t="str">
            <v>OTHER BUSINESS</v>
          </cell>
          <cell r="J415" t="str">
            <v>RECEIPTS</v>
          </cell>
          <cell r="K415" t="str">
            <v>General Expeses</v>
          </cell>
          <cell r="L415" t="str">
            <v>Income</v>
          </cell>
          <cell r="M415" t="str">
            <v>Income</v>
          </cell>
          <cell r="N415" t="str">
            <v>CHC</v>
          </cell>
        </row>
        <row r="416">
          <cell r="E416">
            <v>40000</v>
          </cell>
          <cell r="F416"/>
          <cell r="G416">
            <v>46120</v>
          </cell>
          <cell r="H416" t="str">
            <v>ABL-CHC-19</v>
          </cell>
          <cell r="I416" t="str">
            <v>OTHER BUSINESS</v>
          </cell>
          <cell r="J416" t="str">
            <v>RECEIPTS</v>
          </cell>
          <cell r="K416" t="str">
            <v>General Expeses</v>
          </cell>
          <cell r="L416" t="str">
            <v>Income</v>
          </cell>
          <cell r="M416" t="str">
            <v>fee</v>
          </cell>
          <cell r="N416" t="str">
            <v>CHC</v>
          </cell>
        </row>
        <row r="417">
          <cell r="E417">
            <v>-48000</v>
          </cell>
          <cell r="F417"/>
          <cell r="G417">
            <v>46121</v>
          </cell>
          <cell r="H417" t="str">
            <v>ABL-CHC-19</v>
          </cell>
          <cell r="I417" t="str">
            <v>OTHER BUSINESS</v>
          </cell>
          <cell r="J417" t="str">
            <v>Payment</v>
          </cell>
          <cell r="K417" t="str">
            <v>General Expeses</v>
          </cell>
          <cell r="L417" t="str">
            <v>Utilities</v>
          </cell>
          <cell r="M417" t="str">
            <v>internet charges</v>
          </cell>
          <cell r="N417" t="str">
            <v>CHC</v>
          </cell>
        </row>
        <row r="418">
          <cell r="E418">
            <v>135000</v>
          </cell>
          <cell r="F418"/>
          <cell r="G418">
            <v>46122</v>
          </cell>
          <cell r="H418" t="str">
            <v>ABL-CHC-19</v>
          </cell>
          <cell r="I418" t="str">
            <v>OTHER BUSINESS</v>
          </cell>
          <cell r="J418" t="str">
            <v>RECEIPTS</v>
          </cell>
          <cell r="K418" t="str">
            <v>General Expeses</v>
          </cell>
          <cell r="L418" t="str">
            <v>INCOME</v>
          </cell>
          <cell r="M418" t="str">
            <v>INCOME</v>
          </cell>
          <cell r="N418" t="str">
            <v>CHC</v>
          </cell>
        </row>
        <row r="419">
          <cell r="E419">
            <v>380000</v>
          </cell>
          <cell r="F419"/>
          <cell r="G419">
            <v>46125</v>
          </cell>
          <cell r="H419" t="str">
            <v>ABL-CHC-19</v>
          </cell>
          <cell r="I419" t="str">
            <v>OTHER BUSINESS</v>
          </cell>
          <cell r="J419" t="str">
            <v>RECEIPTS</v>
          </cell>
          <cell r="K419" t="str">
            <v>General Expenses</v>
          </cell>
          <cell r="L419" t="str">
            <v>income</v>
          </cell>
          <cell r="M419" t="str">
            <v>income</v>
          </cell>
          <cell r="N419" t="str">
            <v>CHC</v>
          </cell>
        </row>
        <row r="420">
          <cell r="E420">
            <v>-504000</v>
          </cell>
          <cell r="F420"/>
          <cell r="G420">
            <v>46126</v>
          </cell>
          <cell r="H420" t="str">
            <v>ABL-CHC-19</v>
          </cell>
          <cell r="I420" t="str">
            <v>OTHER BUSINESS</v>
          </cell>
          <cell r="J420" t="str">
            <v>Payment</v>
          </cell>
          <cell r="K420" t="str">
            <v>General Expeses</v>
          </cell>
          <cell r="L420" t="str">
            <v>Utilities</v>
          </cell>
          <cell r="M420" t="str">
            <v>internet charges</v>
          </cell>
          <cell r="N420" t="str">
            <v>CHC</v>
          </cell>
        </row>
        <row r="421">
          <cell r="E421">
            <v>99500</v>
          </cell>
          <cell r="F421"/>
          <cell r="G421">
            <v>46126</v>
          </cell>
          <cell r="H421" t="str">
            <v>ABL-CHC-19</v>
          </cell>
          <cell r="I421" t="str">
            <v>OTHER BUSINESS</v>
          </cell>
          <cell r="J421" t="str">
            <v>RECEIPTS</v>
          </cell>
          <cell r="K421" t="str">
            <v>General Expeses</v>
          </cell>
          <cell r="L421" t="str">
            <v>Income</v>
          </cell>
          <cell r="M421" t="str">
            <v>Income</v>
          </cell>
          <cell r="N421" t="str">
            <v>CHC</v>
          </cell>
        </row>
        <row r="422">
          <cell r="E422">
            <v>420500</v>
          </cell>
          <cell r="F422"/>
          <cell r="G422">
            <v>46128</v>
          </cell>
          <cell r="H422" t="str">
            <v>ABL-CHC-19</v>
          </cell>
          <cell r="I422" t="str">
            <v>OTHER BUSINESS</v>
          </cell>
          <cell r="J422" t="str">
            <v>RECEIPTS</v>
          </cell>
          <cell r="K422" t="str">
            <v>General Expeses</v>
          </cell>
          <cell r="L422" t="str">
            <v>INCOME</v>
          </cell>
          <cell r="M422" t="str">
            <v>INCOME</v>
          </cell>
          <cell r="N422" t="str">
            <v>CHC</v>
          </cell>
        </row>
        <row r="423">
          <cell r="E423">
            <v>150000</v>
          </cell>
          <cell r="F423"/>
          <cell r="G423">
            <v>46129</v>
          </cell>
          <cell r="H423" t="str">
            <v>ABL-CHC-19</v>
          </cell>
          <cell r="I423" t="str">
            <v>OTHER BUSINESS</v>
          </cell>
          <cell r="J423" t="str">
            <v>RECEIPTS</v>
          </cell>
          <cell r="K423" t="str">
            <v>General Expeses</v>
          </cell>
          <cell r="L423" t="str">
            <v>INCOME</v>
          </cell>
          <cell r="M423" t="str">
            <v>INCOME</v>
          </cell>
          <cell r="N423" t="str">
            <v>CHC</v>
          </cell>
        </row>
        <row r="424">
          <cell r="E424">
            <v>-9450</v>
          </cell>
          <cell r="F424"/>
          <cell r="G424">
            <v>46129</v>
          </cell>
          <cell r="H424" t="str">
            <v>ABL-CHC-19</v>
          </cell>
          <cell r="I424" t="str">
            <v>OTHER BUSINESS</v>
          </cell>
          <cell r="J424" t="str">
            <v>Payment</v>
          </cell>
          <cell r="K424" t="str">
            <v>General Expeses</v>
          </cell>
          <cell r="L424" t="str">
            <v>Utilities</v>
          </cell>
          <cell r="M424" t="str">
            <v>Gas Charges</v>
          </cell>
          <cell r="N424" t="str">
            <v>CHC</v>
          </cell>
        </row>
        <row r="425">
          <cell r="E425">
            <v>240000</v>
          </cell>
          <cell r="F425"/>
          <cell r="G425">
            <v>46132</v>
          </cell>
          <cell r="H425" t="str">
            <v>ABL-CHC-19</v>
          </cell>
          <cell r="I425" t="str">
            <v>OTHER BUSINESS</v>
          </cell>
          <cell r="J425" t="str">
            <v>RECEIPTS</v>
          </cell>
          <cell r="K425" t="str">
            <v>General Expeses</v>
          </cell>
          <cell r="L425" t="str">
            <v>Income</v>
          </cell>
          <cell r="M425" t="str">
            <v>Income</v>
          </cell>
          <cell r="N425" t="str">
            <v>CHC</v>
          </cell>
        </row>
        <row r="426">
          <cell r="E426">
            <v>-12191</v>
          </cell>
          <cell r="F426"/>
          <cell r="G426">
            <v>46132</v>
          </cell>
          <cell r="H426" t="str">
            <v>ABL-CHC-19</v>
          </cell>
          <cell r="I426" t="str">
            <v>OTHER BUSINESS</v>
          </cell>
          <cell r="J426" t="str">
            <v>Payment</v>
          </cell>
          <cell r="K426" t="str">
            <v>General Expenses</v>
          </cell>
          <cell r="L426" t="str">
            <v>Utilities</v>
          </cell>
          <cell r="M426" t="str">
            <v>Gas Charges</v>
          </cell>
          <cell r="N426" t="str">
            <v>CHC</v>
          </cell>
        </row>
        <row r="427">
          <cell r="E427">
            <v>324500</v>
          </cell>
          <cell r="F427"/>
          <cell r="G427">
            <v>46135</v>
          </cell>
          <cell r="H427" t="str">
            <v>ABL-CHC-19</v>
          </cell>
          <cell r="I427" t="str">
            <v>OTHER BUSINESS</v>
          </cell>
          <cell r="J427" t="str">
            <v>RECEIPTS</v>
          </cell>
          <cell r="K427" t="str">
            <v>General Expeses</v>
          </cell>
          <cell r="L427" t="str">
            <v>INCOME</v>
          </cell>
          <cell r="M427" t="str">
            <v>INCOME</v>
          </cell>
          <cell r="N427" t="str">
            <v>CHC</v>
          </cell>
        </row>
        <row r="428">
          <cell r="E428">
            <v>1139500</v>
          </cell>
          <cell r="F428" t="str">
            <v>Dr.</v>
          </cell>
          <cell r="G428">
            <v>46136</v>
          </cell>
          <cell r="H428" t="str">
            <v>ABL-CHC-19</v>
          </cell>
          <cell r="I428" t="str">
            <v>OTHER BUSINESS</v>
          </cell>
          <cell r="J428" t="str">
            <v>RECEIPTS</v>
          </cell>
          <cell r="K428" t="str">
            <v>General Expeses</v>
          </cell>
          <cell r="L428" t="str">
            <v>INCOME</v>
          </cell>
          <cell r="M428" t="str">
            <v>INCOME</v>
          </cell>
          <cell r="N428" t="str">
            <v>CHC</v>
          </cell>
        </row>
        <row r="429">
          <cell r="E429">
            <v>1150000</v>
          </cell>
          <cell r="F429" t="str">
            <v>Dr.</v>
          </cell>
          <cell r="G429">
            <v>46137</v>
          </cell>
          <cell r="H429" t="str">
            <v>ABL-CHC-19</v>
          </cell>
          <cell r="I429" t="str">
            <v>OTHER BUSINESS</v>
          </cell>
          <cell r="J429" t="str">
            <v>RECEIPTS</v>
          </cell>
          <cell r="K429" t="str">
            <v>General Expeses</v>
          </cell>
          <cell r="L429" t="str">
            <v>Income</v>
          </cell>
          <cell r="M429" t="str">
            <v>Income</v>
          </cell>
          <cell r="N429" t="str">
            <v>CHC</v>
          </cell>
        </row>
        <row r="430">
          <cell r="E430">
            <v>-10575</v>
          </cell>
          <cell r="F430" t="str">
            <v>Cr.</v>
          </cell>
          <cell r="G430">
            <v>46139</v>
          </cell>
          <cell r="H430" t="str">
            <v>ABL-CHC-19</v>
          </cell>
          <cell r="I430" t="str">
            <v>OTHER BUSINESS</v>
          </cell>
          <cell r="J430" t="str">
            <v>Payment</v>
          </cell>
          <cell r="K430" t="str">
            <v>General Expeses</v>
          </cell>
          <cell r="L430" t="str">
            <v>Utilities</v>
          </cell>
          <cell r="M430" t="str">
            <v>internet charges</v>
          </cell>
          <cell r="N430" t="str">
            <v>CHC</v>
          </cell>
        </row>
        <row r="431">
          <cell r="E431">
            <v>-23</v>
          </cell>
          <cell r="F431" t="str">
            <v>Cr.</v>
          </cell>
          <cell r="G431">
            <v>46139</v>
          </cell>
          <cell r="H431" t="str">
            <v>ABL-CHC-19</v>
          </cell>
          <cell r="I431" t="str">
            <v>OTHER BUSINESS</v>
          </cell>
          <cell r="J431" t="str">
            <v>Payment</v>
          </cell>
          <cell r="K431" t="str">
            <v>General Expeses</v>
          </cell>
          <cell r="L431" t="str">
            <v>Utilities</v>
          </cell>
          <cell r="M431" t="str">
            <v>internet charges</v>
          </cell>
          <cell r="N431" t="str">
            <v>CHC</v>
          </cell>
        </row>
        <row r="432">
          <cell r="E432">
            <v>2020000</v>
          </cell>
          <cell r="F432" t="str">
            <v>Dr.</v>
          </cell>
          <cell r="G432">
            <v>46139</v>
          </cell>
          <cell r="H432" t="str">
            <v>ABL-CHC-19</v>
          </cell>
          <cell r="I432" t="str">
            <v>OTHER BUSINESS</v>
          </cell>
          <cell r="J432" t="str">
            <v>RECEIPTS</v>
          </cell>
          <cell r="K432" t="str">
            <v>General Expeses</v>
          </cell>
          <cell r="L432" t="str">
            <v>INCOME</v>
          </cell>
          <cell r="M432" t="str">
            <v>INCOME</v>
          </cell>
          <cell r="N432" t="str">
            <v>CHC</v>
          </cell>
        </row>
        <row r="433">
          <cell r="E433">
            <v>-39823</v>
          </cell>
          <cell r="F433" t="str">
            <v>Cr.</v>
          </cell>
          <cell r="G433">
            <v>46140</v>
          </cell>
          <cell r="H433" t="str">
            <v>ABL-CHC-19</v>
          </cell>
          <cell r="I433" t="str">
            <v>OTHER BUSINESS</v>
          </cell>
          <cell r="J433" t="str">
            <v>Payment</v>
          </cell>
          <cell r="K433" t="str">
            <v>General Expeses</v>
          </cell>
          <cell r="L433" t="str">
            <v>Utilities</v>
          </cell>
          <cell r="M433" t="str">
            <v>Gas Charges</v>
          </cell>
          <cell r="N433" t="str">
            <v>CHC</v>
          </cell>
        </row>
        <row r="434">
          <cell r="E434">
            <v>230000</v>
          </cell>
          <cell r="F434" t="str">
            <v>Dr.</v>
          </cell>
          <cell r="G434">
            <v>46140</v>
          </cell>
          <cell r="H434" t="str">
            <v>ABL-CHC-19</v>
          </cell>
          <cell r="I434" t="str">
            <v>OTHER BUSINESS</v>
          </cell>
          <cell r="J434" t="str">
            <v>RECEIPTS</v>
          </cell>
          <cell r="K434" t="str">
            <v>General Expeses</v>
          </cell>
          <cell r="L434" t="str">
            <v>INCOME</v>
          </cell>
          <cell r="M434" t="str">
            <v>INCOME</v>
          </cell>
          <cell r="N434" t="str">
            <v>CHC</v>
          </cell>
        </row>
        <row r="435">
          <cell r="E435">
            <v>210000</v>
          </cell>
          <cell r="F435" t="str">
            <v>Dr.</v>
          </cell>
          <cell r="G435">
            <v>46141</v>
          </cell>
          <cell r="H435" t="str">
            <v>ABL-CHC-19</v>
          </cell>
          <cell r="I435" t="str">
            <v>OTHER BUSINESS</v>
          </cell>
          <cell r="J435" t="str">
            <v>RECEIPTS</v>
          </cell>
          <cell r="K435" t="str">
            <v>General Expeses</v>
          </cell>
          <cell r="L435" t="str">
            <v>INCOME</v>
          </cell>
          <cell r="M435" t="str">
            <v>INCOME</v>
          </cell>
          <cell r="N435" t="str">
            <v>CHC</v>
          </cell>
        </row>
        <row r="436">
          <cell r="E436">
            <v>-2968688</v>
          </cell>
          <cell r="F436"/>
          <cell r="G436">
            <v>46142</v>
          </cell>
          <cell r="H436" t="str">
            <v>ABL-CHC-19</v>
          </cell>
          <cell r="I436" t="str">
            <v>OTHER BUSINESS</v>
          </cell>
          <cell r="J436" t="str">
            <v>Payment</v>
          </cell>
          <cell r="K436" t="str">
            <v>General Expeses</v>
          </cell>
          <cell r="L436" t="str">
            <v>Bank Charges</v>
          </cell>
          <cell r="M436" t="str">
            <v>Bank Charges</v>
          </cell>
          <cell r="N436" t="str">
            <v>CHC</v>
          </cell>
        </row>
        <row r="437">
          <cell r="E437">
            <v>-504000</v>
          </cell>
          <cell r="F437"/>
          <cell r="G437">
            <v>46142</v>
          </cell>
          <cell r="H437" t="str">
            <v>ABL-CHC-19</v>
          </cell>
          <cell r="I437" t="str">
            <v>OTHER BUSINESS</v>
          </cell>
          <cell r="J437" t="str">
            <v>Payment</v>
          </cell>
          <cell r="K437" t="str">
            <v>General Expeses</v>
          </cell>
          <cell r="L437" t="str">
            <v>Bank Charges</v>
          </cell>
          <cell r="M437" t="str">
            <v>Bank Charges</v>
          </cell>
          <cell r="N437" t="str">
            <v>CHC</v>
          </cell>
        </row>
        <row r="438">
          <cell r="E438">
            <v>164500</v>
          </cell>
          <cell r="F438"/>
          <cell r="G438">
            <v>46144</v>
          </cell>
          <cell r="H438" t="str">
            <v>ABL-CHC-19</v>
          </cell>
          <cell r="I438" t="str">
            <v>OTHER BUSINESS</v>
          </cell>
          <cell r="J438" t="str">
            <v>RECEIPTS</v>
          </cell>
          <cell r="K438" t="str">
            <v>General Expenses</v>
          </cell>
          <cell r="L438" t="str">
            <v>INCOME</v>
          </cell>
          <cell r="M438" t="str">
            <v>INCOME</v>
          </cell>
          <cell r="N438" t="str">
            <v>CHC</v>
          </cell>
        </row>
        <row r="439">
          <cell r="E439">
            <v>-84000</v>
          </cell>
          <cell r="F439"/>
          <cell r="G439">
            <v>46146</v>
          </cell>
          <cell r="H439" t="str">
            <v>ABL-CHC-19</v>
          </cell>
          <cell r="I439" t="str">
            <v>OTHER BUSINESS</v>
          </cell>
          <cell r="J439" t="str">
            <v>Payment</v>
          </cell>
          <cell r="K439" t="str">
            <v>General Expenses</v>
          </cell>
          <cell r="L439" t="str">
            <v>Utilities</v>
          </cell>
          <cell r="M439" t="str">
            <v>Gas Charges</v>
          </cell>
          <cell r="N439" t="str">
            <v>CHC</v>
          </cell>
        </row>
        <row r="440">
          <cell r="E440">
            <v>20000</v>
          </cell>
          <cell r="F440"/>
          <cell r="G440">
            <v>46146</v>
          </cell>
          <cell r="H440" t="str">
            <v>ABL-CHC-19</v>
          </cell>
          <cell r="I440" t="str">
            <v>OTHER BUSINESS</v>
          </cell>
          <cell r="J440" t="str">
            <v>RECEIPTS</v>
          </cell>
          <cell r="K440" t="str">
            <v>General Expeses</v>
          </cell>
          <cell r="L440" t="str">
            <v>INCOME</v>
          </cell>
          <cell r="M440" t="str">
            <v>INCOME</v>
          </cell>
          <cell r="N440" t="str">
            <v>CHC</v>
          </cell>
        </row>
        <row r="441">
          <cell r="E441">
            <v>170000</v>
          </cell>
          <cell r="F441" t="str">
            <v>Dr.</v>
          </cell>
          <cell r="G441">
            <v>46147</v>
          </cell>
          <cell r="H441" t="str">
            <v>ABL-CHC-19</v>
          </cell>
          <cell r="I441" t="str">
            <v>OTHER BUSINESS</v>
          </cell>
          <cell r="J441" t="str">
            <v>RECEIPTS</v>
          </cell>
          <cell r="K441" t="str">
            <v>General Expeses</v>
          </cell>
          <cell r="L441" t="str">
            <v>INCOME</v>
          </cell>
          <cell r="M441" t="str">
            <v>INCOME</v>
          </cell>
          <cell r="N441" t="str">
            <v>CHC</v>
          </cell>
        </row>
        <row r="442">
          <cell r="E442">
            <v>-504000</v>
          </cell>
          <cell r="F442" t="str">
            <v>Cr.</v>
          </cell>
          <cell r="G442">
            <v>46147</v>
          </cell>
          <cell r="H442" t="str">
            <v>ABL-CHC-19</v>
          </cell>
          <cell r="I442" t="str">
            <v>OTHER BUSINESS</v>
          </cell>
          <cell r="J442" t="str">
            <v>Payment</v>
          </cell>
          <cell r="K442" t="str">
            <v>General Expenses</v>
          </cell>
          <cell r="L442" t="str">
            <v>Utilities</v>
          </cell>
          <cell r="M442" t="str">
            <v>Gas Charges</v>
          </cell>
          <cell r="N442" t="str">
            <v>CHC</v>
          </cell>
        </row>
        <row r="443">
          <cell r="E443">
            <v>-84000</v>
          </cell>
          <cell r="F443" t="str">
            <v>Cr.</v>
          </cell>
          <cell r="G443">
            <v>46147</v>
          </cell>
          <cell r="H443" t="str">
            <v>ABL-CHC-19</v>
          </cell>
          <cell r="I443" t="str">
            <v>OTHER BUSINESS</v>
          </cell>
          <cell r="J443" t="str">
            <v>Payment</v>
          </cell>
          <cell r="K443" t="str">
            <v>General Expenses</v>
          </cell>
          <cell r="L443" t="str">
            <v>Utilities</v>
          </cell>
          <cell r="M443" t="str">
            <v>Gas Charges</v>
          </cell>
          <cell r="N443" t="str">
            <v>CHC</v>
          </cell>
        </row>
        <row r="444">
          <cell r="E444">
            <v>-84000</v>
          </cell>
          <cell r="F444" t="str">
            <v>Cr.</v>
          </cell>
          <cell r="G444">
            <v>46147</v>
          </cell>
          <cell r="H444" t="str">
            <v>ABL-CHC-19</v>
          </cell>
          <cell r="I444" t="str">
            <v>OTHER BUSINESS</v>
          </cell>
          <cell r="J444" t="str">
            <v>Payment</v>
          </cell>
          <cell r="K444" t="str">
            <v>General Expeses</v>
          </cell>
          <cell r="L444" t="str">
            <v>Utilities</v>
          </cell>
          <cell r="M444" t="str">
            <v>Gas Charges</v>
          </cell>
          <cell r="N444" t="str">
            <v>CHC</v>
          </cell>
        </row>
        <row r="445">
          <cell r="E445">
            <v>-1281000</v>
          </cell>
          <cell r="F445"/>
          <cell r="G445">
            <v>46148</v>
          </cell>
          <cell r="H445" t="str">
            <v>ABL-CHC-19</v>
          </cell>
          <cell r="I445" t="str">
            <v>OTHER BUSINESS</v>
          </cell>
          <cell r="J445" t="str">
            <v>Payment</v>
          </cell>
          <cell r="K445" t="str">
            <v>General Expeses</v>
          </cell>
          <cell r="L445" t="str">
            <v>Bank Charges</v>
          </cell>
          <cell r="M445" t="str">
            <v>Bank Charges</v>
          </cell>
          <cell r="N445" t="str">
            <v>CHC</v>
          </cell>
        </row>
        <row r="446">
          <cell r="E446">
            <v>60000</v>
          </cell>
          <cell r="F446"/>
          <cell r="G446">
            <v>46148</v>
          </cell>
          <cell r="H446" t="str">
            <v>ABL-CHC-19</v>
          </cell>
          <cell r="I446" t="str">
            <v>OTHER BUSINESS</v>
          </cell>
          <cell r="J446" t="str">
            <v>RECEIPTS</v>
          </cell>
          <cell r="K446" t="str">
            <v>General Expeses</v>
          </cell>
          <cell r="L446" t="str">
            <v>INCOME</v>
          </cell>
          <cell r="M446" t="str">
            <v>INCOME</v>
          </cell>
          <cell r="N446" t="str">
            <v>CHC</v>
          </cell>
        </row>
        <row r="447">
          <cell r="E447">
            <v>25</v>
          </cell>
          <cell r="F447"/>
          <cell r="G447">
            <v>46149</v>
          </cell>
          <cell r="H447" t="str">
            <v>ABL-CHC-19</v>
          </cell>
          <cell r="I447" t="str">
            <v>OTHER BUSINESS</v>
          </cell>
          <cell r="J447" t="str">
            <v>RECEIPTS</v>
          </cell>
          <cell r="K447" t="str">
            <v>General Expenses</v>
          </cell>
          <cell r="L447" t="str">
            <v>INCOME</v>
          </cell>
          <cell r="M447" t="str">
            <v>INCOME</v>
          </cell>
          <cell r="N447" t="str">
            <v>CHC</v>
          </cell>
        </row>
        <row r="448">
          <cell r="E448">
            <v>50000</v>
          </cell>
          <cell r="F448"/>
          <cell r="G448">
            <v>46151</v>
          </cell>
          <cell r="H448" t="str">
            <v>ABL-CHC-19</v>
          </cell>
          <cell r="I448" t="str">
            <v>OTHER BUSINESS</v>
          </cell>
          <cell r="J448" t="str">
            <v>RECEIPTS</v>
          </cell>
          <cell r="K448" t="str">
            <v>General Expenses</v>
          </cell>
          <cell r="L448" t="str">
            <v>INCOME</v>
          </cell>
          <cell r="M448" t="str">
            <v>INCOME</v>
          </cell>
          <cell r="N448" t="str">
            <v>CHC</v>
          </cell>
        </row>
        <row r="449">
          <cell r="E449">
            <v>28000</v>
          </cell>
          <cell r="F449"/>
          <cell r="G449">
            <v>46153</v>
          </cell>
          <cell r="H449" t="str">
            <v>ABL-CHC-19</v>
          </cell>
          <cell r="I449" t="str">
            <v>OTHER BUSINESS</v>
          </cell>
          <cell r="J449" t="str">
            <v>RECEIPTS</v>
          </cell>
          <cell r="K449" t="str">
            <v>General Expeses</v>
          </cell>
          <cell r="L449" t="str">
            <v>INCOME</v>
          </cell>
          <cell r="M449" t="str">
            <v>INCOME</v>
          </cell>
          <cell r="N449" t="str">
            <v>CHC</v>
          </cell>
        </row>
        <row r="450">
          <cell r="E450">
            <v>30000</v>
          </cell>
          <cell r="F450"/>
          <cell r="G450">
            <v>46154</v>
          </cell>
          <cell r="H450" t="str">
            <v>ABL-CHC-19</v>
          </cell>
          <cell r="I450" t="str">
            <v>OTHER BUSINESS</v>
          </cell>
          <cell r="J450" t="str">
            <v>RECEIPTS</v>
          </cell>
          <cell r="K450" t="str">
            <v>General Expeses</v>
          </cell>
          <cell r="L450" t="str">
            <v>INCOME</v>
          </cell>
          <cell r="M450" t="str">
            <v>INCOME</v>
          </cell>
          <cell r="N450" t="str">
            <v>CHC</v>
          </cell>
        </row>
        <row r="451">
          <cell r="E451">
            <v>117000</v>
          </cell>
          <cell r="F451"/>
          <cell r="G451">
            <v>46155</v>
          </cell>
          <cell r="H451" t="str">
            <v>ABL-CHC-19</v>
          </cell>
          <cell r="I451" t="str">
            <v>OTHER BUSINESS</v>
          </cell>
          <cell r="J451" t="str">
            <v>RECEIPTS</v>
          </cell>
          <cell r="K451" t="str">
            <v>General Expeses</v>
          </cell>
          <cell r="L451" t="str">
            <v>INCOME</v>
          </cell>
          <cell r="M451" t="str">
            <v>INCOME</v>
          </cell>
          <cell r="N451" t="str">
            <v>CHC</v>
          </cell>
        </row>
        <row r="452">
          <cell r="E452">
            <v>255000</v>
          </cell>
          <cell r="F452"/>
          <cell r="G452">
            <v>46156</v>
          </cell>
          <cell r="H452" t="str">
            <v>ABL-CHC-19</v>
          </cell>
          <cell r="I452" t="str">
            <v>OTHER BUSINESS</v>
          </cell>
          <cell r="J452" t="str">
            <v>RECEIPTS</v>
          </cell>
          <cell r="K452" t="str">
            <v>General Expeses</v>
          </cell>
          <cell r="L452" t="str">
            <v>INCOME</v>
          </cell>
          <cell r="M452" t="str">
            <v>INCOME</v>
          </cell>
          <cell r="N452" t="str">
            <v>CHC</v>
          </cell>
        </row>
        <row r="453">
          <cell r="E453">
            <v>-48000</v>
          </cell>
          <cell r="F453"/>
          <cell r="G453">
            <v>46157</v>
          </cell>
          <cell r="H453" t="str">
            <v>ABL-CHC-19</v>
          </cell>
          <cell r="I453" t="str">
            <v>OTHER BUSINESS</v>
          </cell>
          <cell r="J453" t="str">
            <v>Payment</v>
          </cell>
          <cell r="K453" t="str">
            <v>General Expeses</v>
          </cell>
          <cell r="L453" t="str">
            <v>Utilities</v>
          </cell>
          <cell r="M453" t="str">
            <v>Gas Charges</v>
          </cell>
          <cell r="N453" t="str">
            <v>CHC</v>
          </cell>
        </row>
        <row r="454">
          <cell r="E454">
            <v>-10575</v>
          </cell>
          <cell r="F454"/>
          <cell r="G454">
            <v>46160</v>
          </cell>
          <cell r="H454" t="str">
            <v>ABL-CHC-19</v>
          </cell>
          <cell r="I454" t="str">
            <v>OTHER BUSINESS</v>
          </cell>
          <cell r="J454" t="str">
            <v>Payment</v>
          </cell>
          <cell r="K454" t="str">
            <v>General Expeses</v>
          </cell>
          <cell r="L454" t="str">
            <v>WHT ON Cash Withdrawal</v>
          </cell>
          <cell r="M454" t="str">
            <v>WHT ON Cash Withdrawal</v>
          </cell>
          <cell r="N454" t="str">
            <v>CHC</v>
          </cell>
        </row>
        <row r="455">
          <cell r="E455">
            <v>-6530</v>
          </cell>
          <cell r="F455"/>
          <cell r="G455">
            <v>46160</v>
          </cell>
          <cell r="H455" t="str">
            <v>ABL-CHC-19</v>
          </cell>
          <cell r="I455" t="str">
            <v>OTHER BUSINESS</v>
          </cell>
          <cell r="J455" t="str">
            <v>Payment</v>
          </cell>
          <cell r="K455" t="str">
            <v>General Expeses</v>
          </cell>
          <cell r="L455" t="str">
            <v>Utilities</v>
          </cell>
          <cell r="M455" t="str">
            <v>Gas Charges</v>
          </cell>
          <cell r="N455" t="str">
            <v>CHC</v>
          </cell>
        </row>
        <row r="456">
          <cell r="E456">
            <v>-11860</v>
          </cell>
          <cell r="F456"/>
          <cell r="G456">
            <v>46161</v>
          </cell>
          <cell r="H456" t="str">
            <v>ABL-CHC-19</v>
          </cell>
          <cell r="I456" t="str">
            <v>OTHER BUSINESS</v>
          </cell>
          <cell r="J456" t="str">
            <v>Payment</v>
          </cell>
          <cell r="K456" t="str">
            <v>General Expeses</v>
          </cell>
          <cell r="L456" t="str">
            <v>Utilities</v>
          </cell>
          <cell r="M456" t="str">
            <v>Gas Charges</v>
          </cell>
          <cell r="N456" t="str">
            <v>CHC</v>
          </cell>
        </row>
        <row r="457">
          <cell r="E457">
            <v>-32000</v>
          </cell>
          <cell r="F457"/>
          <cell r="G457">
            <v>46161</v>
          </cell>
          <cell r="H457" t="str">
            <v>ABL-CHC-19</v>
          </cell>
          <cell r="I457" t="str">
            <v>OTHER BUSINESS</v>
          </cell>
          <cell r="J457" t="str">
            <v>Payment</v>
          </cell>
          <cell r="K457" t="str">
            <v>General Expeses</v>
          </cell>
          <cell r="L457" t="str">
            <v>Utilities</v>
          </cell>
          <cell r="M457" t="str">
            <v>Gas Charges</v>
          </cell>
          <cell r="N457" t="str">
            <v>CHC</v>
          </cell>
        </row>
        <row r="458">
          <cell r="E458">
            <v>-23</v>
          </cell>
          <cell r="F458"/>
          <cell r="G458">
            <v>46161</v>
          </cell>
          <cell r="H458" t="str">
            <v>ABL-CHC-19</v>
          </cell>
          <cell r="I458" t="str">
            <v>OTHER BUSINESS</v>
          </cell>
          <cell r="J458" t="str">
            <v>Payment</v>
          </cell>
          <cell r="K458" t="str">
            <v>General Expeses</v>
          </cell>
          <cell r="L458" t="str">
            <v>Bank Charges</v>
          </cell>
          <cell r="M458" t="str">
            <v>Bank Charges</v>
          </cell>
          <cell r="N458" t="str">
            <v>CHC</v>
          </cell>
        </row>
        <row r="459">
          <cell r="E459">
            <v>2800000</v>
          </cell>
          <cell r="F459" t="str">
            <v>Dr.</v>
          </cell>
          <cell r="G459">
            <v>46164</v>
          </cell>
          <cell r="H459" t="str">
            <v>ABL-CHC-19</v>
          </cell>
          <cell r="I459" t="str">
            <v>OTHER BUSINESS</v>
          </cell>
          <cell r="J459" t="str">
            <v>iNterbank</v>
          </cell>
          <cell r="K459" t="str">
            <v>General Expenses</v>
          </cell>
          <cell r="L459" t="str">
            <v>Intercompany Loan</v>
          </cell>
          <cell r="M459" t="str">
            <v>Intercompany Loan</v>
          </cell>
          <cell r="N459" t="str">
            <v>CHC</v>
          </cell>
        </row>
        <row r="460">
          <cell r="E460">
            <v>130000</v>
          </cell>
          <cell r="F460" t="str">
            <v>Dr.</v>
          </cell>
          <cell r="G460">
            <v>46164</v>
          </cell>
          <cell r="H460" t="str">
            <v>ABL-CHC-19</v>
          </cell>
          <cell r="I460" t="str">
            <v>OTHER BUSINESS</v>
          </cell>
          <cell r="J460" t="str">
            <v>RECEIPTS</v>
          </cell>
          <cell r="K460" t="str">
            <v>General Expenses</v>
          </cell>
          <cell r="L460" t="str">
            <v>INCOME</v>
          </cell>
          <cell r="M460" t="str">
            <v>INCOME</v>
          </cell>
          <cell r="N460" t="str">
            <v>CHC</v>
          </cell>
        </row>
        <row r="461">
          <cell r="E461">
            <v>20000</v>
          </cell>
          <cell r="F461" t="str">
            <v>Dr.</v>
          </cell>
          <cell r="G461">
            <v>46166</v>
          </cell>
          <cell r="H461" t="str">
            <v>ABL-CHC-19</v>
          </cell>
          <cell r="I461" t="str">
            <v>OTHER BUSINESS</v>
          </cell>
          <cell r="J461" t="str">
            <v>RECEIPTS</v>
          </cell>
          <cell r="K461" t="str">
            <v>General Expeses</v>
          </cell>
          <cell r="L461" t="str">
            <v>INCOME</v>
          </cell>
          <cell r="M461" t="str">
            <v>INCOME</v>
          </cell>
          <cell r="N461" t="str">
            <v>CHC</v>
          </cell>
        </row>
        <row r="462">
          <cell r="E462">
            <v>-121388</v>
          </cell>
          <cell r="F462" t="str">
            <v>Cr.</v>
          </cell>
          <cell r="G462">
            <v>46164</v>
          </cell>
          <cell r="H462" t="str">
            <v>ABL-CHC-19</v>
          </cell>
          <cell r="I462" t="str">
            <v>OTHER BUSINESS</v>
          </cell>
          <cell r="J462" t="str">
            <v>Payment</v>
          </cell>
          <cell r="K462" t="str">
            <v>General Expeses</v>
          </cell>
          <cell r="L462" t="str">
            <v>Bank Charges</v>
          </cell>
          <cell r="M462" t="str">
            <v>Bank Charges</v>
          </cell>
          <cell r="N462" t="str">
            <v>CHC</v>
          </cell>
        </row>
        <row r="463">
          <cell r="E463">
            <v>-2787598</v>
          </cell>
          <cell r="F463" t="str">
            <v>Cr.</v>
          </cell>
          <cell r="G463">
            <v>46164</v>
          </cell>
          <cell r="H463" t="str">
            <v>ABL-CHC-19</v>
          </cell>
          <cell r="I463" t="str">
            <v>OTHER BUSINESS</v>
          </cell>
          <cell r="J463" t="str">
            <v>Payment</v>
          </cell>
          <cell r="K463" t="str">
            <v>General Expeses</v>
          </cell>
          <cell r="L463" t="str">
            <v>Bank Charges</v>
          </cell>
          <cell r="M463" t="str">
            <v>Bank Charges</v>
          </cell>
          <cell r="N463" t="str">
            <v>CHC</v>
          </cell>
        </row>
        <row r="464">
          <cell r="E464">
            <v>-85000</v>
          </cell>
          <cell r="F464"/>
          <cell r="G464">
            <v>46167</v>
          </cell>
          <cell r="H464" t="str">
            <v>ABL-CHC-19</v>
          </cell>
          <cell r="I464" t="str">
            <v>OTHER BUSINESS</v>
          </cell>
          <cell r="J464" t="str">
            <v>Payment</v>
          </cell>
          <cell r="K464" t="str">
            <v>General Expeses</v>
          </cell>
          <cell r="L464" t="str">
            <v>Utilities</v>
          </cell>
          <cell r="M464" t="str">
            <v>Electricity</v>
          </cell>
          <cell r="N464" t="str">
            <v>CHC</v>
          </cell>
        </row>
        <row r="465">
          <cell r="E465">
            <v>-500000</v>
          </cell>
          <cell r="F465"/>
          <cell r="G465">
            <v>46167</v>
          </cell>
          <cell r="H465" t="str">
            <v>ABL-CHC-19</v>
          </cell>
          <cell r="I465" t="str">
            <v>OTHER BUSINESS</v>
          </cell>
          <cell r="J465" t="str">
            <v>Payment</v>
          </cell>
          <cell r="K465" t="str">
            <v>Bank Charges</v>
          </cell>
          <cell r="L465" t="str">
            <v>Bank Charges</v>
          </cell>
          <cell r="M465" t="str">
            <v>Bank Charges</v>
          </cell>
          <cell r="N465" t="str">
            <v>CHC</v>
          </cell>
        </row>
        <row r="466">
          <cell r="E466">
            <v>60000</v>
          </cell>
          <cell r="F466"/>
          <cell r="G466">
            <v>46171</v>
          </cell>
          <cell r="H466" t="str">
            <v>ABL-CHC-19</v>
          </cell>
          <cell r="I466" t="str">
            <v>OTHER BUSINESS</v>
          </cell>
          <cell r="J466" t="str">
            <v>RECEIPTS</v>
          </cell>
          <cell r="K466" t="str">
            <v>General Expeses</v>
          </cell>
          <cell r="L466" t="str">
            <v>INCOME</v>
          </cell>
          <cell r="M466" t="str">
            <v>INCOME</v>
          </cell>
          <cell r="N466" t="str">
            <v>CHC</v>
          </cell>
        </row>
        <row r="467">
          <cell r="E467">
            <v>0</v>
          </cell>
          <cell r="F467"/>
          <cell r="G467">
            <v>46143</v>
          </cell>
          <cell r="H467" t="str">
            <v>ABL-CHC-19</v>
          </cell>
          <cell r="I467" t="str">
            <v>OTHER BUSINESS</v>
          </cell>
          <cell r="J467" t="str">
            <v>Payment</v>
          </cell>
          <cell r="K467" t="str">
            <v>General Expeses</v>
          </cell>
          <cell r="L467" t="str">
            <v>WHT ON Cash Withdrawal</v>
          </cell>
          <cell r="M467" t="str">
            <v>WHT ON Cash Withdrawal</v>
          </cell>
          <cell r="N467" t="str">
            <v>CHC</v>
          </cell>
        </row>
        <row r="468">
          <cell r="E468">
            <v>0</v>
          </cell>
          <cell r="F468"/>
          <cell r="G468">
            <v>46174</v>
          </cell>
          <cell r="H468" t="str">
            <v>ABL-CHC-19</v>
          </cell>
          <cell r="I468" t="str">
            <v>OTHER BUSINESS</v>
          </cell>
          <cell r="J468" t="str">
            <v>Payment</v>
          </cell>
          <cell r="K468" t="str">
            <v>General Expeses</v>
          </cell>
          <cell r="L468" t="str">
            <v>WHT ON Cash Withdrawal</v>
          </cell>
          <cell r="M468" t="str">
            <v>WHT ON Cash Withdrawal</v>
          </cell>
          <cell r="N468" t="str">
            <v>CHC</v>
          </cell>
        </row>
        <row r="469">
          <cell r="E469">
            <v>270000</v>
          </cell>
          <cell r="F469"/>
          <cell r="G469">
            <v>46174</v>
          </cell>
          <cell r="H469" t="str">
            <v>ABL-CHC-19</v>
          </cell>
          <cell r="I469" t="str">
            <v>OTHER BUSINESS</v>
          </cell>
          <cell r="J469" t="str">
            <v>RECEIPTS</v>
          </cell>
          <cell r="K469" t="str">
            <v>General Expenses</v>
          </cell>
          <cell r="L469" t="str">
            <v>INCOME</v>
          </cell>
          <cell r="M469" t="str">
            <v>INCOME</v>
          </cell>
          <cell r="N469" t="str">
            <v>CHC</v>
          </cell>
        </row>
        <row r="470">
          <cell r="E470">
            <v>1225000</v>
          </cell>
          <cell r="F470"/>
          <cell r="G470">
            <v>46175</v>
          </cell>
          <cell r="H470" t="str">
            <v>ABL-CHC-19</v>
          </cell>
          <cell r="I470" t="str">
            <v>OTHER BUSINESS</v>
          </cell>
          <cell r="J470" t="str">
            <v>RECEIPTS</v>
          </cell>
          <cell r="K470" t="str">
            <v>General Expeses</v>
          </cell>
          <cell r="L470" t="str">
            <v>Income</v>
          </cell>
          <cell r="M470" t="str">
            <v>fee</v>
          </cell>
          <cell r="N470" t="str">
            <v>CHC</v>
          </cell>
        </row>
        <row r="471">
          <cell r="E471">
            <v>694500</v>
          </cell>
          <cell r="F471"/>
          <cell r="G471">
            <v>46176</v>
          </cell>
          <cell r="H471" t="str">
            <v>ABL-CHC-19</v>
          </cell>
          <cell r="I471" t="str">
            <v>OTHER BUSINESS</v>
          </cell>
          <cell r="J471" t="str">
            <v>RECEIPTS</v>
          </cell>
          <cell r="K471" t="str">
            <v>General Expeses</v>
          </cell>
          <cell r="L471" t="str">
            <v>INCOME</v>
          </cell>
          <cell r="M471" t="str">
            <v>INCOME</v>
          </cell>
          <cell r="N471" t="str">
            <v>CHC</v>
          </cell>
        </row>
        <row r="472">
          <cell r="E472">
            <v>-504000</v>
          </cell>
          <cell r="F472" t="str">
            <v>Cr.</v>
          </cell>
          <cell r="G472">
            <v>46177</v>
          </cell>
          <cell r="H472" t="str">
            <v>ABL-CHC-19</v>
          </cell>
          <cell r="I472" t="str">
            <v>OTHER BUSINESS</v>
          </cell>
          <cell r="J472" t="str">
            <v>Payment</v>
          </cell>
          <cell r="K472" t="str">
            <v>General Expeses</v>
          </cell>
          <cell r="L472" t="str">
            <v>Bank Charges</v>
          </cell>
          <cell r="M472" t="str">
            <v>Bank Charges</v>
          </cell>
          <cell r="N472" t="str">
            <v>CHC</v>
          </cell>
        </row>
        <row r="473">
          <cell r="E473">
            <v>-84000</v>
          </cell>
          <cell r="F473" t="str">
            <v>Cr.</v>
          </cell>
          <cell r="G473">
            <v>46177</v>
          </cell>
          <cell r="H473" t="str">
            <v>ABL-CHC-19</v>
          </cell>
          <cell r="I473" t="str">
            <v>OTHER BUSINESS</v>
          </cell>
          <cell r="J473" t="str">
            <v>Payment</v>
          </cell>
          <cell r="K473" t="str">
            <v>General Expeses</v>
          </cell>
          <cell r="L473" t="str">
            <v>WHT ON Cash Withdrawal</v>
          </cell>
          <cell r="M473" t="str">
            <v>WHT ON Cash Withdrawal</v>
          </cell>
          <cell r="N473" t="str">
            <v>CHC</v>
          </cell>
        </row>
        <row r="474">
          <cell r="E474">
            <v>650000</v>
          </cell>
          <cell r="F474" t="str">
            <v>Dr.</v>
          </cell>
          <cell r="G474">
            <v>46177</v>
          </cell>
          <cell r="H474" t="str">
            <v>ABL-CHC-19</v>
          </cell>
          <cell r="I474" t="str">
            <v>OTHER BUSINESS</v>
          </cell>
          <cell r="J474" t="str">
            <v>RECEIPTS</v>
          </cell>
          <cell r="K474" t="str">
            <v>General Expeses</v>
          </cell>
          <cell r="L474" t="str">
            <v>INCOME</v>
          </cell>
          <cell r="M474" t="str">
            <v>INCOME</v>
          </cell>
          <cell r="N474" t="str">
            <v>CHC</v>
          </cell>
        </row>
        <row r="475">
          <cell r="E475">
            <v>-504000</v>
          </cell>
          <cell r="F475" t="str">
            <v>Cr.</v>
          </cell>
          <cell r="G475">
            <v>46178</v>
          </cell>
          <cell r="H475" t="str">
            <v>ABL-CHC-19</v>
          </cell>
          <cell r="I475" t="str">
            <v>OTHER BUSINESS</v>
          </cell>
          <cell r="J475" t="str">
            <v>Payment</v>
          </cell>
          <cell r="K475" t="str">
            <v>General Expenses</v>
          </cell>
          <cell r="L475" t="str">
            <v>Bank Charges</v>
          </cell>
          <cell r="M475" t="str">
            <v>Bank Charges</v>
          </cell>
          <cell r="N475" t="str">
            <v>CHC</v>
          </cell>
        </row>
        <row r="476">
          <cell r="E476">
            <v>-125993</v>
          </cell>
          <cell r="F476" t="str">
            <v>Cr.</v>
          </cell>
          <cell r="G476">
            <v>46178</v>
          </cell>
          <cell r="H476" t="str">
            <v>ABL-CHC-19</v>
          </cell>
          <cell r="I476" t="str">
            <v>OTHER BUSINESS</v>
          </cell>
          <cell r="J476" t="str">
            <v>Payment</v>
          </cell>
          <cell r="K476" t="str">
            <v>General Expeses</v>
          </cell>
          <cell r="L476" t="str">
            <v>Bank Charges</v>
          </cell>
          <cell r="M476" t="str">
            <v>Bank Charges</v>
          </cell>
          <cell r="N476" t="str">
            <v>CHC</v>
          </cell>
        </row>
        <row r="477">
          <cell r="E477">
            <v>200000</v>
          </cell>
          <cell r="F477" t="str">
            <v>Dr.</v>
          </cell>
          <cell r="G477">
            <v>46178</v>
          </cell>
          <cell r="H477" t="str">
            <v>ABL-CHC-19</v>
          </cell>
          <cell r="I477" t="str">
            <v>OTHER BUSINESS</v>
          </cell>
          <cell r="J477" t="str">
            <v>RECEIPTS</v>
          </cell>
          <cell r="K477" t="str">
            <v>General Expeses</v>
          </cell>
          <cell r="L477" t="str">
            <v>INCOME</v>
          </cell>
          <cell r="M477" t="str">
            <v>INCOME</v>
          </cell>
          <cell r="N477" t="str">
            <v>CHC</v>
          </cell>
        </row>
        <row r="478">
          <cell r="E478">
            <v>-84000</v>
          </cell>
          <cell r="F478"/>
          <cell r="G478">
            <v>46181</v>
          </cell>
          <cell r="H478" t="str">
            <v>ABL-CHC-19</v>
          </cell>
          <cell r="I478" t="str">
            <v>OTHER BUSINESS</v>
          </cell>
          <cell r="J478" t="str">
            <v>Payment</v>
          </cell>
          <cell r="K478" t="str">
            <v>General Expeses</v>
          </cell>
          <cell r="L478" t="str">
            <v>Bank Charges</v>
          </cell>
          <cell r="M478" t="str">
            <v>Bank Charges</v>
          </cell>
          <cell r="N478" t="str">
            <v>CHC</v>
          </cell>
        </row>
        <row r="479">
          <cell r="E479">
            <v>-84000</v>
          </cell>
          <cell r="F479"/>
          <cell r="G479">
            <v>46181</v>
          </cell>
          <cell r="H479" t="str">
            <v>ABL-CHC-19</v>
          </cell>
          <cell r="I479" t="str">
            <v>OTHER BUSINESS</v>
          </cell>
          <cell r="J479" t="str">
            <v>Payment</v>
          </cell>
          <cell r="K479" t="str">
            <v>General Expeses</v>
          </cell>
          <cell r="L479" t="str">
            <v>Bank Charges</v>
          </cell>
          <cell r="M479" t="str">
            <v>Bank Charges</v>
          </cell>
          <cell r="N479" t="str">
            <v>CHC</v>
          </cell>
        </row>
        <row r="480">
          <cell r="E480">
            <v>50000</v>
          </cell>
          <cell r="F480"/>
          <cell r="G480">
            <v>46181</v>
          </cell>
          <cell r="H480" t="str">
            <v>ABL-CHC-19</v>
          </cell>
          <cell r="I480" t="str">
            <v>OTHER BUSINESS</v>
          </cell>
          <cell r="J480" t="str">
            <v>RECEIPTS</v>
          </cell>
          <cell r="K480" t="str">
            <v>General Expeses</v>
          </cell>
          <cell r="L480" t="str">
            <v>Income</v>
          </cell>
          <cell r="M480" t="str">
            <v>Income</v>
          </cell>
          <cell r="N480" t="str">
            <v>CHC</v>
          </cell>
        </row>
        <row r="481">
          <cell r="E481">
            <v>-155993</v>
          </cell>
          <cell r="F481"/>
          <cell r="G481">
            <v>46182</v>
          </cell>
          <cell r="H481" t="str">
            <v>ABL-CHC-19</v>
          </cell>
          <cell r="I481" t="str">
            <v>OTHER BUSINESS</v>
          </cell>
          <cell r="J481" t="str">
            <v>Payment</v>
          </cell>
          <cell r="K481" t="str">
            <v>General Expeses</v>
          </cell>
          <cell r="L481" t="str">
            <v>WHT ON Cash Withdrawal</v>
          </cell>
          <cell r="M481" t="str">
            <v>WHT ON Cash Withdrawal</v>
          </cell>
          <cell r="N481" t="str">
            <v>CHC</v>
          </cell>
        </row>
        <row r="482">
          <cell r="E482">
            <v>120000</v>
          </cell>
          <cell r="F482"/>
          <cell r="G482">
            <v>46182</v>
          </cell>
          <cell r="H482" t="str">
            <v>ABL-CHC-19</v>
          </cell>
          <cell r="I482" t="str">
            <v>OTHER BUSINESS</v>
          </cell>
          <cell r="J482" t="str">
            <v>RECEIPTS</v>
          </cell>
          <cell r="K482" t="str">
            <v>General Expeses</v>
          </cell>
          <cell r="L482" t="str">
            <v>INCOME</v>
          </cell>
          <cell r="M482" t="str">
            <v>INCOME</v>
          </cell>
          <cell r="N482" t="str">
            <v>CHC</v>
          </cell>
        </row>
        <row r="483">
          <cell r="E483">
            <v>-157910</v>
          </cell>
          <cell r="F483"/>
          <cell r="G483">
            <v>46183</v>
          </cell>
          <cell r="H483" t="str">
            <v>ABL-CHC-19</v>
          </cell>
          <cell r="I483" t="str">
            <v>OTHER BUSINESS</v>
          </cell>
          <cell r="J483" t="str">
            <v>Payment</v>
          </cell>
          <cell r="K483" t="str">
            <v>General Expeses</v>
          </cell>
          <cell r="L483" t="str">
            <v>Bank Charges</v>
          </cell>
          <cell r="M483" t="str">
            <v>Bank Charges</v>
          </cell>
          <cell r="N483" t="str">
            <v>CHC</v>
          </cell>
        </row>
        <row r="484">
          <cell r="E484">
            <v>-126153</v>
          </cell>
          <cell r="F484"/>
          <cell r="G484">
            <v>46183</v>
          </cell>
          <cell r="H484" t="str">
            <v>ABL-CHC-19</v>
          </cell>
          <cell r="I484" t="str">
            <v>OTHER BUSINESS</v>
          </cell>
          <cell r="J484" t="str">
            <v>Payment</v>
          </cell>
          <cell r="K484" t="str">
            <v>General Expeses</v>
          </cell>
          <cell r="L484" t="str">
            <v>Bank Charges</v>
          </cell>
          <cell r="M484" t="str">
            <v>Bank Charges</v>
          </cell>
          <cell r="N484" t="str">
            <v>CHC</v>
          </cell>
        </row>
        <row r="485">
          <cell r="E485">
            <v>-155991</v>
          </cell>
          <cell r="F485"/>
          <cell r="G485">
            <v>46183</v>
          </cell>
          <cell r="H485" t="str">
            <v>ABL-CHC-19</v>
          </cell>
          <cell r="I485" t="str">
            <v>OTHER BUSINESS</v>
          </cell>
          <cell r="J485" t="str">
            <v>Payment</v>
          </cell>
          <cell r="K485" t="str">
            <v>General Expeses</v>
          </cell>
          <cell r="L485" t="str">
            <v>Bank Charges</v>
          </cell>
          <cell r="M485" t="str">
            <v>Bank Charges</v>
          </cell>
          <cell r="N485" t="str">
            <v>CHC</v>
          </cell>
        </row>
        <row r="486">
          <cell r="E486">
            <v>30000</v>
          </cell>
          <cell r="F486"/>
          <cell r="G486">
            <v>46183</v>
          </cell>
          <cell r="H486" t="str">
            <v>ABL-CHC-19</v>
          </cell>
          <cell r="I486" t="str">
            <v>OTHER BUSINESS</v>
          </cell>
          <cell r="J486" t="str">
            <v>RECEIPTS</v>
          </cell>
          <cell r="K486" t="str">
            <v>General Expeses</v>
          </cell>
          <cell r="L486" t="str">
            <v>Income</v>
          </cell>
          <cell r="M486" t="str">
            <v>fee</v>
          </cell>
          <cell r="N486" t="str">
            <v>CHC</v>
          </cell>
        </row>
        <row r="487">
          <cell r="E487">
            <v>-157730</v>
          </cell>
          <cell r="F487"/>
          <cell r="G487">
            <v>46184</v>
          </cell>
          <cell r="H487" t="str">
            <v>ABL-CHC-19</v>
          </cell>
          <cell r="I487" t="str">
            <v>OTHER BUSINESS</v>
          </cell>
          <cell r="J487" t="str">
            <v>Payment</v>
          </cell>
          <cell r="K487" t="str">
            <v>General Expeses</v>
          </cell>
          <cell r="L487" t="str">
            <v>Bank Charges</v>
          </cell>
          <cell r="M487" t="str">
            <v>Bank Charges</v>
          </cell>
          <cell r="N487" t="str">
            <v>CHC</v>
          </cell>
        </row>
        <row r="488">
          <cell r="E488">
            <v>-20400</v>
          </cell>
          <cell r="F488"/>
          <cell r="G488">
            <v>46184</v>
          </cell>
          <cell r="H488" t="str">
            <v>ABL-CHC-19</v>
          </cell>
          <cell r="I488" t="str">
            <v>OTHER BUSINESS</v>
          </cell>
          <cell r="J488" t="str">
            <v>Payment</v>
          </cell>
          <cell r="K488" t="str">
            <v>General Expeses</v>
          </cell>
          <cell r="L488" t="str">
            <v>Bank Charges</v>
          </cell>
          <cell r="M488" t="str">
            <v>Bank Charges</v>
          </cell>
          <cell r="N488" t="str">
            <v>CHC</v>
          </cell>
        </row>
        <row r="489">
          <cell r="E489">
            <v>150000</v>
          </cell>
          <cell r="F489"/>
          <cell r="G489">
            <v>46185</v>
          </cell>
          <cell r="H489" t="str">
            <v>ABL-CHC-19</v>
          </cell>
          <cell r="I489" t="str">
            <v>OTHER BUSINESS</v>
          </cell>
          <cell r="J489" t="str">
            <v>RECEIPTS</v>
          </cell>
          <cell r="K489" t="str">
            <v>General Expeses</v>
          </cell>
          <cell r="L489" t="str">
            <v>INCOME</v>
          </cell>
          <cell r="M489" t="str">
            <v>INCOME</v>
          </cell>
          <cell r="N489" t="str">
            <v>CHC</v>
          </cell>
        </row>
        <row r="490">
          <cell r="E490">
            <v>-12080</v>
          </cell>
          <cell r="F490"/>
          <cell r="G490">
            <v>46186</v>
          </cell>
          <cell r="H490" t="str">
            <v>ABL-CHC-19</v>
          </cell>
          <cell r="I490" t="str">
            <v>OTHER BUSINESS</v>
          </cell>
          <cell r="J490" t="str">
            <v>Payment</v>
          </cell>
          <cell r="K490" t="str">
            <v>General Expeses</v>
          </cell>
          <cell r="L490" t="str">
            <v>Bank Charges</v>
          </cell>
          <cell r="M490" t="str">
            <v>Bank Charges</v>
          </cell>
          <cell r="N490" t="str">
            <v>CHC</v>
          </cell>
        </row>
        <row r="491">
          <cell r="E491">
            <v>-5240</v>
          </cell>
          <cell r="F491"/>
          <cell r="G491">
            <v>46186</v>
          </cell>
          <cell r="H491" t="str">
            <v>ABL-CHC-19</v>
          </cell>
          <cell r="I491" t="str">
            <v>OTHER BUSINESS</v>
          </cell>
          <cell r="J491" t="str">
            <v>Payment</v>
          </cell>
          <cell r="K491" t="str">
            <v>General Expeses</v>
          </cell>
          <cell r="L491" t="str">
            <v>Bank Charges</v>
          </cell>
          <cell r="M491" t="str">
            <v>Bank Charges</v>
          </cell>
          <cell r="N491" t="str">
            <v>CHC</v>
          </cell>
        </row>
        <row r="492">
          <cell r="E492">
            <v>-10575</v>
          </cell>
          <cell r="F492"/>
          <cell r="G492">
            <v>46186</v>
          </cell>
          <cell r="H492" t="str">
            <v>ABL-CHC-19</v>
          </cell>
          <cell r="I492" t="str">
            <v>OTHER BUSINESS</v>
          </cell>
          <cell r="J492" t="str">
            <v>Payment</v>
          </cell>
          <cell r="K492" t="str">
            <v>General Expeses</v>
          </cell>
          <cell r="L492" t="str">
            <v>Bank Charges</v>
          </cell>
          <cell r="M492" t="str">
            <v>Bank Charges</v>
          </cell>
          <cell r="N492" t="str">
            <v>CHC</v>
          </cell>
        </row>
        <row r="493">
          <cell r="E493">
            <v>-23</v>
          </cell>
          <cell r="F493"/>
          <cell r="G493">
            <v>46186</v>
          </cell>
          <cell r="H493" t="str">
            <v>ABL-CHC-19</v>
          </cell>
          <cell r="I493" t="str">
            <v>OTHER BUSINESS</v>
          </cell>
          <cell r="J493" t="str">
            <v>Payment</v>
          </cell>
          <cell r="K493" t="str">
            <v>General Expeses</v>
          </cell>
          <cell r="L493" t="str">
            <v>Bank Charges</v>
          </cell>
          <cell r="M493" t="str">
            <v>Bank Charges</v>
          </cell>
          <cell r="N493" t="str">
            <v>CHC</v>
          </cell>
        </row>
        <row r="494">
          <cell r="E494">
            <v>120000</v>
          </cell>
          <cell r="F494"/>
          <cell r="G494">
            <v>46189</v>
          </cell>
          <cell r="H494" t="str">
            <v>ABL-CHC-19</v>
          </cell>
          <cell r="I494" t="str">
            <v>OTHER BUSINESS</v>
          </cell>
          <cell r="J494" t="str">
            <v>RECEIPTS</v>
          </cell>
          <cell r="K494" t="str">
            <v>General Expeses</v>
          </cell>
          <cell r="L494" t="str">
            <v>Income</v>
          </cell>
          <cell r="M494" t="str">
            <v>fee</v>
          </cell>
          <cell r="N494" t="str">
            <v>CHC</v>
          </cell>
        </row>
        <row r="495">
          <cell r="E495">
            <v>-45600</v>
          </cell>
          <cell r="F495" t="str">
            <v>Cr.</v>
          </cell>
          <cell r="G495">
            <v>46192</v>
          </cell>
          <cell r="H495" t="str">
            <v>ABL-CHC-19</v>
          </cell>
          <cell r="I495" t="str">
            <v>OTHER BUSINESS</v>
          </cell>
          <cell r="J495" t="str">
            <v>Payment</v>
          </cell>
          <cell r="K495" t="str">
            <v>General Expeses</v>
          </cell>
          <cell r="L495" t="str">
            <v>Bank Charges</v>
          </cell>
          <cell r="M495" t="str">
            <v>Bank Charges</v>
          </cell>
          <cell r="N495" t="str">
            <v>CHC</v>
          </cell>
        </row>
        <row r="496">
          <cell r="E496">
            <v>-12154</v>
          </cell>
          <cell r="F496" t="str">
            <v>Cr.</v>
          </cell>
          <cell r="G496">
            <v>46195</v>
          </cell>
          <cell r="H496" t="str">
            <v>ABL-CHC-19</v>
          </cell>
          <cell r="I496" t="str">
            <v>OTHER BUSINESS</v>
          </cell>
          <cell r="J496" t="str">
            <v>Payment</v>
          </cell>
          <cell r="K496" t="str">
            <v>General Expenses</v>
          </cell>
          <cell r="L496" t="str">
            <v>BANK Charges</v>
          </cell>
          <cell r="M496" t="str">
            <v>BANK Charges</v>
          </cell>
          <cell r="N496" t="str">
            <v>CHC</v>
          </cell>
        </row>
        <row r="497">
          <cell r="E497">
            <v>180000</v>
          </cell>
          <cell r="F497" t="str">
            <v>Dr.</v>
          </cell>
          <cell r="G497">
            <v>46195</v>
          </cell>
          <cell r="H497" t="str">
            <v>ABL-CHC-19</v>
          </cell>
          <cell r="I497" t="str">
            <v>OTHER BUSINESS</v>
          </cell>
          <cell r="J497" t="str">
            <v>RECEIPTS</v>
          </cell>
          <cell r="K497" t="str">
            <v>General Expeses</v>
          </cell>
          <cell r="L497" t="str">
            <v>INCOME</v>
          </cell>
          <cell r="M497" t="str">
            <v>INCOME</v>
          </cell>
          <cell r="N497" t="str">
            <v>CHC</v>
          </cell>
        </row>
        <row r="498">
          <cell r="E498">
            <v>135000</v>
          </cell>
          <cell r="F498" t="str">
            <v>Dr.</v>
          </cell>
          <cell r="G498">
            <v>46197</v>
          </cell>
          <cell r="H498" t="str">
            <v>ABL-CHC-19</v>
          </cell>
          <cell r="I498" t="str">
            <v>OTHER BUSINESS</v>
          </cell>
          <cell r="J498" t="str">
            <v>RECEIPTS</v>
          </cell>
          <cell r="K498" t="str">
            <v>General Expeses</v>
          </cell>
          <cell r="L498" t="str">
            <v>INCOME</v>
          </cell>
          <cell r="M498" t="str">
            <v>INCOME</v>
          </cell>
          <cell r="N498" t="str">
            <v>CHC</v>
          </cell>
        </row>
        <row r="499">
          <cell r="E499">
            <v>430000</v>
          </cell>
          <cell r="F499" t="str">
            <v>Dr.</v>
          </cell>
          <cell r="G499">
            <v>46202</v>
          </cell>
          <cell r="H499" t="str">
            <v>ABL-CHC-19</v>
          </cell>
          <cell r="I499" t="str">
            <v>OTHER BUSINESS</v>
          </cell>
          <cell r="J499" t="str">
            <v>RECEIPTS</v>
          </cell>
          <cell r="K499" t="str">
            <v>General Expenses</v>
          </cell>
          <cell r="L499" t="str">
            <v>INCOME</v>
          </cell>
          <cell r="M499" t="str">
            <v>INCOME</v>
          </cell>
          <cell r="N499" t="str">
            <v>CHC</v>
          </cell>
        </row>
        <row r="500">
          <cell r="E500">
            <v>365000</v>
          </cell>
          <cell r="F500"/>
          <cell r="G500">
            <v>46203</v>
          </cell>
          <cell r="H500" t="str">
            <v>ABL-CHC-19</v>
          </cell>
          <cell r="I500" t="str">
            <v>OTHER BUSINESS</v>
          </cell>
          <cell r="J500" t="str">
            <v>RECEIPTS</v>
          </cell>
          <cell r="K500" t="str">
            <v>General Expenses</v>
          </cell>
          <cell r="L500" t="str">
            <v>INCOME</v>
          </cell>
          <cell r="M500" t="str">
            <v>INCOME</v>
          </cell>
          <cell r="N500" t="str">
            <v>CHC</v>
          </cell>
        </row>
        <row r="501">
          <cell r="E501">
            <v>69186</v>
          </cell>
          <cell r="F501"/>
          <cell r="G501">
            <v>46203</v>
          </cell>
          <cell r="H501" t="str">
            <v>ABL-CHC-19</v>
          </cell>
          <cell r="I501" t="str">
            <v>OTHER BUSINESS</v>
          </cell>
          <cell r="J501" t="str">
            <v>Misc.Receipts</v>
          </cell>
          <cell r="K501" t="str">
            <v>General Expenses</v>
          </cell>
          <cell r="L501" t="str">
            <v>INCOME</v>
          </cell>
          <cell r="M501" t="str">
            <v>INCOME</v>
          </cell>
          <cell r="N501" t="str">
            <v>CHC</v>
          </cell>
        </row>
        <row r="502">
          <cell r="E502">
            <v>-13837</v>
          </cell>
          <cell r="F502"/>
          <cell r="G502">
            <v>46203</v>
          </cell>
          <cell r="H502" t="str">
            <v>ABL-CHC-19</v>
          </cell>
          <cell r="I502" t="str">
            <v>OTHER BUSINESS</v>
          </cell>
          <cell r="J502" t="str">
            <v>Payment</v>
          </cell>
          <cell r="K502" t="str">
            <v>General Expenses</v>
          </cell>
          <cell r="L502" t="str">
            <v>BANK Charges</v>
          </cell>
          <cell r="M502" t="str">
            <v>BANK Charges</v>
          </cell>
          <cell r="N502" t="str">
            <v>CHC</v>
          </cell>
        </row>
        <row r="503">
          <cell r="E503">
            <v>0</v>
          </cell>
          <cell r="F503"/>
          <cell r="G503">
            <v>46204</v>
          </cell>
          <cell r="H503" t="str">
            <v>ABL-CHC-19</v>
          </cell>
          <cell r="I503" t="str">
            <v>OTHER BUSINESS</v>
          </cell>
          <cell r="J503" t="str">
            <v>Payment</v>
          </cell>
          <cell r="K503" t="str">
            <v>General Expenses</v>
          </cell>
          <cell r="L503" t="str">
            <v>BANK Charges</v>
          </cell>
          <cell r="M503" t="str">
            <v>BANK Charges</v>
          </cell>
          <cell r="N503" t="str">
            <v>CHC</v>
          </cell>
        </row>
        <row r="504">
          <cell r="E504">
            <v>390000</v>
          </cell>
          <cell r="F504" t="str">
            <v>Dr.</v>
          </cell>
          <cell r="G504">
            <v>46205</v>
          </cell>
          <cell r="H504" t="str">
            <v>ABL-CHC-19</v>
          </cell>
          <cell r="I504" t="str">
            <v>OTHER BUSINESS</v>
          </cell>
          <cell r="J504" t="str">
            <v>RECEIPTS</v>
          </cell>
          <cell r="K504" t="str">
            <v>General Expeses</v>
          </cell>
          <cell r="L504" t="str">
            <v>INCOME</v>
          </cell>
          <cell r="M504" t="str">
            <v>INCOME</v>
          </cell>
          <cell r="N504" t="str">
            <v>CHC</v>
          </cell>
        </row>
        <row r="505">
          <cell r="E505">
            <v>-3011334</v>
          </cell>
          <cell r="F505" t="str">
            <v>Cr.</v>
          </cell>
          <cell r="G505">
            <v>46206</v>
          </cell>
          <cell r="H505" t="str">
            <v>ABL-CHC-19</v>
          </cell>
          <cell r="I505" t="str">
            <v>OTHER BUSINESS</v>
          </cell>
          <cell r="J505" t="str">
            <v>Payment</v>
          </cell>
          <cell r="K505" t="str">
            <v>General Expenses</v>
          </cell>
          <cell r="L505" t="str">
            <v>BANK Charges</v>
          </cell>
          <cell r="M505" t="str">
            <v>BANK Charges</v>
          </cell>
          <cell r="N505" t="str">
            <v>CHC</v>
          </cell>
        </row>
        <row r="506">
          <cell r="E506">
            <v>500000</v>
          </cell>
          <cell r="F506" t="str">
            <v>Dr.</v>
          </cell>
          <cell r="G506">
            <v>46206</v>
          </cell>
          <cell r="H506" t="str">
            <v>ABL-CHC-19</v>
          </cell>
          <cell r="I506" t="str">
            <v>OTHER BUSINESS</v>
          </cell>
          <cell r="J506" t="str">
            <v>iNterbank</v>
          </cell>
          <cell r="K506" t="str">
            <v>General Expenses</v>
          </cell>
          <cell r="L506" t="str">
            <v>Intercompany Loan</v>
          </cell>
          <cell r="M506" t="str">
            <v>Intercompany Loan</v>
          </cell>
          <cell r="N506" t="str">
            <v>CHC</v>
          </cell>
        </row>
        <row r="507">
          <cell r="E507">
            <v>1260000</v>
          </cell>
          <cell r="F507" t="str">
            <v>Dr.</v>
          </cell>
          <cell r="G507">
            <v>46206</v>
          </cell>
          <cell r="H507" t="str">
            <v>ABL-CHC-19</v>
          </cell>
          <cell r="I507" t="str">
            <v>OTHER BUSINESS</v>
          </cell>
          <cell r="J507" t="str">
            <v>iNterbank</v>
          </cell>
          <cell r="K507" t="str">
            <v>General Expenses</v>
          </cell>
          <cell r="L507" t="str">
            <v>Intercompany Loan</v>
          </cell>
          <cell r="M507" t="str">
            <v>Intercompany Loan</v>
          </cell>
          <cell r="N507" t="str">
            <v>CHC</v>
          </cell>
        </row>
        <row r="508">
          <cell r="E508">
            <v>30000</v>
          </cell>
          <cell r="F508" t="str">
            <v>Dr.</v>
          </cell>
          <cell r="G508">
            <v>46209</v>
          </cell>
          <cell r="H508" t="str">
            <v>ABL-CHC-19</v>
          </cell>
          <cell r="I508" t="str">
            <v>OTHER BUSINESS</v>
          </cell>
          <cell r="J508" t="str">
            <v>RECEIPTS</v>
          </cell>
          <cell r="K508" t="str">
            <v>General Expeses</v>
          </cell>
          <cell r="L508" t="str">
            <v>INCOME</v>
          </cell>
          <cell r="M508" t="str">
            <v>INCOME</v>
          </cell>
          <cell r="N508" t="str">
            <v>CHC</v>
          </cell>
        </row>
        <row r="509">
          <cell r="E509">
            <v>-84000</v>
          </cell>
          <cell r="F509" t="str">
            <v>Cr.</v>
          </cell>
          <cell r="G509">
            <v>46210</v>
          </cell>
          <cell r="H509" t="str">
            <v>ABL-CHC-19</v>
          </cell>
          <cell r="I509" t="str">
            <v>OTHER BUSINESS</v>
          </cell>
          <cell r="J509" t="str">
            <v>Payment</v>
          </cell>
          <cell r="K509" t="str">
            <v>Development Charges</v>
          </cell>
          <cell r="L509" t="str">
            <v>Development Charges</v>
          </cell>
          <cell r="M509" t="str">
            <v>Development Charges</v>
          </cell>
          <cell r="N509" t="str">
            <v>TAJ</v>
          </cell>
        </row>
        <row r="510">
          <cell r="E510">
            <v>670000</v>
          </cell>
          <cell r="F510" t="str">
            <v>Dr.</v>
          </cell>
          <cell r="G510">
            <v>46210</v>
          </cell>
          <cell r="H510" t="str">
            <v>ABL-CHC-19</v>
          </cell>
          <cell r="I510" t="str">
            <v>OTHER BUSINESS</v>
          </cell>
          <cell r="J510" t="str">
            <v>RECEIPTS</v>
          </cell>
          <cell r="K510" t="str">
            <v>General Expeses</v>
          </cell>
          <cell r="L510" t="str">
            <v>INCOME</v>
          </cell>
          <cell r="M510" t="str">
            <v>INCOME</v>
          </cell>
          <cell r="N510" t="str">
            <v>CHC</v>
          </cell>
        </row>
        <row r="511">
          <cell r="E511">
            <v>270000</v>
          </cell>
          <cell r="F511"/>
          <cell r="G511">
            <v>46211</v>
          </cell>
          <cell r="H511" t="str">
            <v>ABL-CHC-19</v>
          </cell>
          <cell r="I511" t="str">
            <v>OTHER BUSINESS</v>
          </cell>
          <cell r="J511" t="str">
            <v>RECEIPTS</v>
          </cell>
          <cell r="K511" t="str">
            <v>General Expeses</v>
          </cell>
          <cell r="L511" t="str">
            <v>INCOME</v>
          </cell>
          <cell r="M511" t="str">
            <v>INCOME</v>
          </cell>
          <cell r="N511" t="str">
            <v>CHC</v>
          </cell>
        </row>
        <row r="512">
          <cell r="E512">
            <v>-84000</v>
          </cell>
          <cell r="F512"/>
          <cell r="G512">
            <v>46211</v>
          </cell>
          <cell r="H512" t="str">
            <v>ABL-CHC-19</v>
          </cell>
          <cell r="I512" t="str">
            <v>OTHER BUSINESS</v>
          </cell>
          <cell r="J512" t="str">
            <v>Payment</v>
          </cell>
          <cell r="K512" t="str">
            <v>Development Charges</v>
          </cell>
          <cell r="L512" t="str">
            <v>Development Charges</v>
          </cell>
          <cell r="M512" t="str">
            <v>Development Charges</v>
          </cell>
          <cell r="N512" t="str">
            <v>TAJ</v>
          </cell>
        </row>
        <row r="513">
          <cell r="E513">
            <v>-84000</v>
          </cell>
          <cell r="F513"/>
          <cell r="G513">
            <v>46211</v>
          </cell>
          <cell r="H513" t="str">
            <v>ABL-CHC-19</v>
          </cell>
          <cell r="I513" t="str">
            <v>OTHER BUSINESS</v>
          </cell>
          <cell r="J513" t="str">
            <v>Payment</v>
          </cell>
          <cell r="K513" t="str">
            <v>Development Charges</v>
          </cell>
          <cell r="L513" t="str">
            <v>Development Charges</v>
          </cell>
          <cell r="M513" t="str">
            <v>Development Charges</v>
          </cell>
          <cell r="N513" t="str">
            <v>TAJ</v>
          </cell>
        </row>
        <row r="514">
          <cell r="E514">
            <v>-504000</v>
          </cell>
          <cell r="F514"/>
          <cell r="G514">
            <v>46211</v>
          </cell>
          <cell r="H514" t="str">
            <v>ABL-CHC-19</v>
          </cell>
          <cell r="I514" t="str">
            <v>OTHER BUSINESS</v>
          </cell>
          <cell r="J514" t="str">
            <v>Payment</v>
          </cell>
          <cell r="K514" t="str">
            <v>Development Charges</v>
          </cell>
          <cell r="L514" t="str">
            <v>Development Charges</v>
          </cell>
          <cell r="M514" t="str">
            <v>Development Charges</v>
          </cell>
          <cell r="N514" t="str">
            <v>TAJ</v>
          </cell>
        </row>
        <row r="515">
          <cell r="E515">
            <v>-157727</v>
          </cell>
          <cell r="F515" t="str">
            <v>Cr.</v>
          </cell>
          <cell r="G515">
            <v>46211</v>
          </cell>
          <cell r="H515" t="str">
            <v>ABL-CHC-19</v>
          </cell>
          <cell r="I515" t="str">
            <v>OTHER BUSINESS</v>
          </cell>
          <cell r="J515" t="str">
            <v>Payment</v>
          </cell>
          <cell r="K515" t="str">
            <v>Development Charges</v>
          </cell>
          <cell r="L515" t="str">
            <v>Development Charges</v>
          </cell>
          <cell r="M515" t="str">
            <v>Development Charges</v>
          </cell>
          <cell r="N515" t="str">
            <v>TAJ</v>
          </cell>
        </row>
        <row r="516">
          <cell r="E516">
            <v>-504000</v>
          </cell>
          <cell r="F516" t="str">
            <v>Cr.</v>
          </cell>
          <cell r="G516">
            <v>46212</v>
          </cell>
          <cell r="H516" t="str">
            <v>ABL-CHC-19</v>
          </cell>
          <cell r="I516" t="str">
            <v>OTHER BUSINESS</v>
          </cell>
          <cell r="J516" t="str">
            <v>Payment</v>
          </cell>
          <cell r="K516" t="str">
            <v>Development Charges</v>
          </cell>
          <cell r="L516" t="str">
            <v>Development Charges</v>
          </cell>
          <cell r="M516" t="str">
            <v>Development Charges</v>
          </cell>
          <cell r="N516" t="str">
            <v>TAJ</v>
          </cell>
        </row>
        <row r="517">
          <cell r="E517">
            <v>250000</v>
          </cell>
          <cell r="F517" t="str">
            <v>Dr.</v>
          </cell>
          <cell r="G517">
            <v>46212</v>
          </cell>
          <cell r="H517" t="str">
            <v>ABL-CHC-19</v>
          </cell>
          <cell r="I517" t="str">
            <v>OTHER BUSINESS</v>
          </cell>
          <cell r="J517" t="str">
            <v>RECEIPTS</v>
          </cell>
          <cell r="K517" t="str">
            <v>General Expeses</v>
          </cell>
          <cell r="L517" t="str">
            <v>INCOME</v>
          </cell>
          <cell r="M517" t="str">
            <v>INCOME</v>
          </cell>
          <cell r="N517" t="str">
            <v>CHC</v>
          </cell>
        </row>
        <row r="518">
          <cell r="E518">
            <v>-50240</v>
          </cell>
          <cell r="F518" t="str">
            <v>Cr.</v>
          </cell>
          <cell r="G518">
            <v>46213</v>
          </cell>
          <cell r="H518" t="str">
            <v>ABL-CHC-19</v>
          </cell>
          <cell r="I518" t="str">
            <v>OTHER BUSINESS</v>
          </cell>
          <cell r="J518" t="str">
            <v>Payment</v>
          </cell>
          <cell r="K518" t="str">
            <v>General Expeses</v>
          </cell>
          <cell r="L518" t="str">
            <v>General, Admin &amp; Marketing Expenses</v>
          </cell>
          <cell r="M518" t="str">
            <v>General Expenses</v>
          </cell>
        </row>
        <row r="519">
          <cell r="E519">
            <v>5000</v>
          </cell>
          <cell r="F519" t="str">
            <v>Dr.</v>
          </cell>
          <cell r="G519">
            <v>46213</v>
          </cell>
          <cell r="H519" t="str">
            <v>ABL-CHC-19</v>
          </cell>
          <cell r="I519" t="str">
            <v>OTHER BUSINESS</v>
          </cell>
          <cell r="J519" t="str">
            <v>RECEIPTS</v>
          </cell>
          <cell r="K519" t="str">
            <v>General Expeses</v>
          </cell>
          <cell r="L519" t="str">
            <v>Income</v>
          </cell>
          <cell r="M519" t="str">
            <v>Income</v>
          </cell>
          <cell r="N519" t="str">
            <v>CHC</v>
          </cell>
        </row>
        <row r="520">
          <cell r="E520">
            <v>60000</v>
          </cell>
          <cell r="F520" t="str">
            <v>Dr.</v>
          </cell>
          <cell r="G520">
            <v>46216</v>
          </cell>
          <cell r="H520" t="str">
            <v>ABL-CHC-19</v>
          </cell>
          <cell r="I520" t="str">
            <v>OTHER BUSINESS</v>
          </cell>
          <cell r="J520" t="str">
            <v>RECEIPTS</v>
          </cell>
          <cell r="K520" t="str">
            <v>General Expeses</v>
          </cell>
          <cell r="L520" t="str">
            <v>INCOME</v>
          </cell>
          <cell r="M520" t="str">
            <v>INCOME</v>
          </cell>
          <cell r="N520" t="str">
            <v>CHC</v>
          </cell>
        </row>
        <row r="521">
          <cell r="E521">
            <v>210000</v>
          </cell>
          <cell r="F521" t="str">
            <v>Dr.</v>
          </cell>
          <cell r="G521">
            <v>46217</v>
          </cell>
          <cell r="H521" t="str">
            <v>ABL-CHC-19</v>
          </cell>
          <cell r="I521" t="str">
            <v>OTHER BUSINESS</v>
          </cell>
          <cell r="J521" t="str">
            <v>RECEIPTS</v>
          </cell>
          <cell r="K521" t="str">
            <v>General Expeses</v>
          </cell>
          <cell r="L521" t="str">
            <v>Intercompany Loan</v>
          </cell>
          <cell r="M521" t="str">
            <v>Intercompany Loan</v>
          </cell>
          <cell r="N521" t="str">
            <v>CHC</v>
          </cell>
        </row>
        <row r="522">
          <cell r="E522">
            <v>-5090</v>
          </cell>
          <cell r="F522" t="str">
            <v>Cr.</v>
          </cell>
          <cell r="G522">
            <v>46218</v>
          </cell>
          <cell r="H522" t="str">
            <v>ABL-CHC-19</v>
          </cell>
          <cell r="I522" t="str">
            <v>OTHER BUSINESS</v>
          </cell>
          <cell r="J522" t="str">
            <v>Payment</v>
          </cell>
          <cell r="K522" t="str">
            <v>General Expeses</v>
          </cell>
          <cell r="L522" t="str">
            <v>General, Admin &amp; Marketing Expenses</v>
          </cell>
          <cell r="M522" t="str">
            <v>General Expenses</v>
          </cell>
        </row>
        <row r="523">
          <cell r="E523">
            <v>100000</v>
          </cell>
          <cell r="F523" t="str">
            <v>Dr.</v>
          </cell>
          <cell r="G523">
            <v>46218</v>
          </cell>
          <cell r="H523" t="str">
            <v>ABL-CHC-19</v>
          </cell>
          <cell r="I523" t="str">
            <v>OTHER BUSINESS</v>
          </cell>
          <cell r="J523" t="str">
            <v>RECEIPTS</v>
          </cell>
          <cell r="K523" t="str">
            <v>General Expenses</v>
          </cell>
          <cell r="L523" t="str">
            <v>INCOME</v>
          </cell>
          <cell r="M523" t="str">
            <v>INCOME</v>
          </cell>
          <cell r="N523" t="str">
            <v>CHC</v>
          </cell>
        </row>
        <row r="524">
          <cell r="E524">
            <v>-11531</v>
          </cell>
          <cell r="F524" t="str">
            <v>Cr.</v>
          </cell>
          <cell r="G524">
            <v>46220</v>
          </cell>
          <cell r="H524" t="str">
            <v>ABL-CHC-19</v>
          </cell>
          <cell r="I524" t="str">
            <v>OTHER BUSINESS</v>
          </cell>
          <cell r="J524" t="str">
            <v>Payment</v>
          </cell>
          <cell r="K524" t="str">
            <v>General Expenses</v>
          </cell>
        </row>
        <row r="525">
          <cell r="E525">
            <v>20000</v>
          </cell>
          <cell r="F525"/>
          <cell r="G525">
            <v>46223</v>
          </cell>
          <cell r="H525" t="str">
            <v>ABL-CHC-19</v>
          </cell>
          <cell r="I525" t="str">
            <v>OTHER BUSINESS</v>
          </cell>
          <cell r="J525" t="str">
            <v>RECEIPTS</v>
          </cell>
          <cell r="K525" t="str">
            <v>General Expenses</v>
          </cell>
          <cell r="L525" t="str">
            <v>INCOME</v>
          </cell>
          <cell r="M525" t="str">
            <v>INCOME</v>
          </cell>
          <cell r="N525" t="str">
            <v>CHC</v>
          </cell>
        </row>
        <row r="526">
          <cell r="E526">
            <v>120000</v>
          </cell>
          <cell r="F526"/>
          <cell r="G526">
            <v>46224</v>
          </cell>
          <cell r="H526" t="str">
            <v>ABL-CHC-19</v>
          </cell>
          <cell r="I526" t="str">
            <v>OTHER BUSINESS</v>
          </cell>
          <cell r="J526" t="str">
            <v>RECEIPTS</v>
          </cell>
          <cell r="K526" t="str">
            <v>General Expeses</v>
          </cell>
          <cell r="L526" t="str">
            <v>INCOME</v>
          </cell>
          <cell r="M526" t="str">
            <v>INCOME</v>
          </cell>
          <cell r="N526" t="str">
            <v>CHC</v>
          </cell>
        </row>
        <row r="527">
          <cell r="E527">
            <v>120000</v>
          </cell>
          <cell r="F527" t="str">
            <v>Dr.</v>
          </cell>
          <cell r="G527">
            <v>46226</v>
          </cell>
          <cell r="H527" t="str">
            <v>ABL-CHC-19</v>
          </cell>
          <cell r="I527" t="str">
            <v>OTHER BUSINESS</v>
          </cell>
          <cell r="J527" t="str">
            <v>RECEIPTS</v>
          </cell>
          <cell r="K527" t="str">
            <v>General Expenses</v>
          </cell>
          <cell r="L527" t="str">
            <v>INCOME</v>
          </cell>
          <cell r="M527" t="str">
            <v>INCOME</v>
          </cell>
          <cell r="N527" t="str">
            <v>CHC</v>
          </cell>
        </row>
        <row r="528">
          <cell r="E528">
            <v>100000</v>
          </cell>
          <cell r="F528" t="str">
            <v>Dr.</v>
          </cell>
          <cell r="G528">
            <v>46227</v>
          </cell>
          <cell r="H528" t="str">
            <v>ABL-CHC-19</v>
          </cell>
          <cell r="I528" t="str">
            <v>OTHER BUSINESS</v>
          </cell>
          <cell r="J528" t="str">
            <v>RECEIPTS</v>
          </cell>
          <cell r="K528" t="str">
            <v>General Expeses</v>
          </cell>
          <cell r="L528" t="str">
            <v>Income</v>
          </cell>
          <cell r="M528" t="str">
            <v>fee</v>
          </cell>
          <cell r="N528" t="str">
            <v>CHC</v>
          </cell>
        </row>
        <row r="529">
          <cell r="E529">
            <v>-10575</v>
          </cell>
          <cell r="F529" t="str">
            <v>Cr.</v>
          </cell>
          <cell r="G529">
            <v>46227</v>
          </cell>
          <cell r="H529" t="str">
            <v>ABL-CHC-19</v>
          </cell>
          <cell r="I529" t="str">
            <v>OTHER BUSINESS</v>
          </cell>
          <cell r="J529" t="str">
            <v>Payment</v>
          </cell>
          <cell r="K529" t="str">
            <v>General Expenses</v>
          </cell>
        </row>
        <row r="530">
          <cell r="E530">
            <v>-23</v>
          </cell>
          <cell r="F530"/>
          <cell r="G530">
            <v>46227</v>
          </cell>
          <cell r="H530" t="str">
            <v>ABL-CHC-19</v>
          </cell>
          <cell r="I530" t="str">
            <v>OTHER BUSINESS</v>
          </cell>
          <cell r="J530" t="str">
            <v>Payment</v>
          </cell>
          <cell r="K530" t="str">
            <v>General Expenses</v>
          </cell>
        </row>
        <row r="531">
          <cell r="E531">
            <v>52000</v>
          </cell>
          <cell r="G531">
            <v>46230</v>
          </cell>
          <cell r="H531" t="str">
            <v>ABL-CHC-19</v>
          </cell>
          <cell r="I531" t="str">
            <v>OTHER BUSINESS</v>
          </cell>
          <cell r="J531" t="str">
            <v>RECEIPTS</v>
          </cell>
          <cell r="K531" t="str">
            <v>General Expeses</v>
          </cell>
          <cell r="L531" t="str">
            <v>INCOME</v>
          </cell>
          <cell r="M531" t="str">
            <v>INCOME</v>
          </cell>
          <cell r="N531" t="str">
            <v>CHC</v>
          </cell>
        </row>
        <row r="532">
          <cell r="E532">
            <v>270000</v>
          </cell>
          <cell r="F532" t="str">
            <v>Dr.</v>
          </cell>
          <cell r="G532">
            <v>46231</v>
          </cell>
          <cell r="H532" t="str">
            <v>ABL-CHC-19</v>
          </cell>
          <cell r="I532" t="str">
            <v>OTHER BUSINESS</v>
          </cell>
          <cell r="J532" t="str">
            <v>RECEIPTS</v>
          </cell>
          <cell r="K532" t="str">
            <v>General Expeses</v>
          </cell>
          <cell r="L532" t="str">
            <v>Intercompany Loan</v>
          </cell>
          <cell r="M532" t="str">
            <v>Intercompany Loan</v>
          </cell>
          <cell r="N532" t="str">
            <v>CHC</v>
          </cell>
        </row>
        <row r="533">
          <cell r="E533">
            <v>19800</v>
          </cell>
          <cell r="F533" t="str">
            <v>Dr.</v>
          </cell>
          <cell r="G533">
            <v>46232</v>
          </cell>
          <cell r="H533" t="str">
            <v>ABL-CHC-19</v>
          </cell>
          <cell r="I533" t="str">
            <v>OTHER BUSINESS</v>
          </cell>
          <cell r="J533" t="str">
            <v>RECEIPTS</v>
          </cell>
          <cell r="K533" t="str">
            <v>General Expeses</v>
          </cell>
          <cell r="L533" t="str">
            <v>Income</v>
          </cell>
          <cell r="M533" t="str">
            <v>Income</v>
          </cell>
          <cell r="N533" t="str">
            <v>CHC</v>
          </cell>
        </row>
        <row r="534">
          <cell r="E534">
            <v>160000</v>
          </cell>
          <cell r="F534" t="str">
            <v>Dr.</v>
          </cell>
          <cell r="G534">
            <v>46233</v>
          </cell>
          <cell r="H534" t="str">
            <v>ABL-CHC-19</v>
          </cell>
          <cell r="I534" t="str">
            <v>OTHER BUSINESS</v>
          </cell>
          <cell r="J534" t="str">
            <v>RECEIPTS</v>
          </cell>
          <cell r="K534" t="str">
            <v>General Expenses</v>
          </cell>
          <cell r="L534" t="str">
            <v>INCOME</v>
          </cell>
          <cell r="M534" t="str">
            <v>INCOME</v>
          </cell>
          <cell r="N534" t="str">
            <v>CHC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tabSelected="1" topLeftCell="B1" workbookViewId="0">
      <pane ySplit="4" topLeftCell="A5" activePane="bottomLeft" state="frozen"/>
      <selection pane="bottomLeft" activeCell="E11" sqref="E11"/>
    </sheetView>
  </sheetViews>
  <sheetFormatPr defaultRowHeight="14.5" x14ac:dyDescent="0.35"/>
  <cols>
    <col min="1" max="2" width="14" customWidth="1"/>
    <col min="3" max="3" width="50" customWidth="1"/>
    <col min="4" max="5" width="17" customWidth="1"/>
    <col min="6" max="6" width="14" customWidth="1"/>
    <col min="7" max="7" width="12" bestFit="1" customWidth="1"/>
    <col min="8" max="8" width="13.7265625" bestFit="1" customWidth="1"/>
    <col min="9" max="9" width="20.54296875" bestFit="1" customWidth="1"/>
    <col min="10" max="10" width="18.1796875" bestFit="1" customWidth="1"/>
    <col min="11" max="11" width="11" bestFit="1" customWidth="1"/>
    <col min="12" max="12" width="6.81640625" customWidth="1"/>
  </cols>
  <sheetData>
    <row r="1" spans="1:12" ht="21" x14ac:dyDescent="0.5">
      <c r="A1" s="1" t="s">
        <v>0</v>
      </c>
    </row>
    <row r="2" spans="1:12" x14ac:dyDescent="0.35">
      <c r="A2" s="2" t="s">
        <v>1</v>
      </c>
    </row>
    <row r="4" spans="1:12" x14ac:dyDescent="0.35">
      <c r="A4" s="3" t="s">
        <v>2</v>
      </c>
      <c r="B4" s="3" t="s">
        <v>3</v>
      </c>
      <c r="C4" s="4" t="s">
        <v>4</v>
      </c>
      <c r="D4" s="3" t="s">
        <v>5</v>
      </c>
      <c r="E4" s="5" t="s">
        <v>6</v>
      </c>
      <c r="F4" s="3" t="s">
        <v>7</v>
      </c>
      <c r="G4" s="3" t="s">
        <v>167</v>
      </c>
      <c r="H4" s="3" t="s">
        <v>157</v>
      </c>
      <c r="I4" s="3" t="s">
        <v>158</v>
      </c>
      <c r="J4" s="3" t="s">
        <v>159</v>
      </c>
      <c r="K4" s="3" t="s">
        <v>160</v>
      </c>
      <c r="L4" s="3" t="s">
        <v>161</v>
      </c>
    </row>
    <row r="5" spans="1:12" x14ac:dyDescent="0.35">
      <c r="A5" s="10">
        <v>45565</v>
      </c>
      <c r="B5" s="11" t="s">
        <v>154</v>
      </c>
      <c r="C5" s="12" t="s">
        <v>155</v>
      </c>
      <c r="D5" s="11" t="s">
        <v>156</v>
      </c>
      <c r="E5" s="13">
        <v>-4581</v>
      </c>
      <c r="F5" s="7" t="s">
        <v>168</v>
      </c>
      <c r="G5" s="22">
        <f>VLOOKUP(E5,[1]Sheet1!$E:$G,3,FALSE)</f>
        <v>45657</v>
      </c>
      <c r="H5" t="str">
        <f>VLOOKUP(E5,[1]Sheet1!$E:$J,6,FALSE)</f>
        <v>PAYMENT</v>
      </c>
      <c r="I5" t="str">
        <f>VLOOKUP(E5,[1]Sheet1!$E:$M,8,FALSE)</f>
        <v>Salaries &amp; Wages</v>
      </c>
      <c r="J5" t="str">
        <f>VLOOKUP(E5,[1]Sheet1!$E:$M,9,FALSE)</f>
        <v>Salaries &amp; Wages</v>
      </c>
      <c r="K5" t="str">
        <f>VLOOKUP(E5,[1]Sheet1!$E:$N,10,FALSE)</f>
        <v>CHC</v>
      </c>
    </row>
    <row r="6" spans="1:12" x14ac:dyDescent="0.35">
      <c r="A6" s="10">
        <v>45607</v>
      </c>
      <c r="B6" s="11" t="s">
        <v>8</v>
      </c>
      <c r="C6" s="12" t="s">
        <v>9</v>
      </c>
      <c r="D6" s="11" t="s">
        <v>10</v>
      </c>
      <c r="E6" s="13">
        <v>-1500000</v>
      </c>
      <c r="F6" s="7" t="s">
        <v>168</v>
      </c>
      <c r="G6" s="22">
        <f>VLOOKUP(E6,[1]Sheet1!$E:$G,3,FALSE)</f>
        <v>45663</v>
      </c>
      <c r="H6" t="str">
        <f>VLOOKUP(E6,[1]Sheet1!$E:$J,6,FALSE)</f>
        <v>INTERBANK</v>
      </c>
      <c r="I6" t="str">
        <f>VLOOKUP(E6,[1]Sheet1!$E:$M,8,FALSE)</f>
        <v>Salaries &amp; Wages</v>
      </c>
      <c r="J6" t="str">
        <f>VLOOKUP(E6,[1]Sheet1!$E:$M,9,FALSE)</f>
        <v>Salaries &amp; Wages</v>
      </c>
      <c r="K6" t="str">
        <f>VLOOKUP(E6,[1]Sheet1!$E:$N,10,FALSE)</f>
        <v>CHC</v>
      </c>
    </row>
    <row r="7" spans="1:12" x14ac:dyDescent="0.35">
      <c r="A7" s="6">
        <v>45607</v>
      </c>
      <c r="B7" s="7" t="s">
        <v>8</v>
      </c>
      <c r="C7" s="8" t="s">
        <v>9</v>
      </c>
      <c r="D7" s="7" t="s">
        <v>10</v>
      </c>
      <c r="E7" s="9">
        <v>1500000</v>
      </c>
      <c r="F7" s="7" t="s">
        <v>168</v>
      </c>
      <c r="G7" s="22">
        <f>VLOOKUP(E7,[1]Sheet1!$E:$G,3,FALSE)</f>
        <v>45607</v>
      </c>
      <c r="H7" t="str">
        <f>VLOOKUP(E7,[1]Sheet1!$E:$J,6,FALSE)</f>
        <v>INTERBANK</v>
      </c>
      <c r="I7" t="str">
        <f>VLOOKUP(E7,[1]Sheet1!$E:$M,8,FALSE)</f>
        <v>Income</v>
      </c>
      <c r="J7" t="str">
        <f>VLOOKUP(E7,[1]Sheet1!$E:$M,9,FALSE)</f>
        <v>Income</v>
      </c>
      <c r="K7" t="str">
        <f>VLOOKUP(E7,[1]Sheet1!$E:$N,10,FALSE)</f>
        <v>CHC</v>
      </c>
    </row>
    <row r="8" spans="1:12" x14ac:dyDescent="0.35">
      <c r="A8" s="6">
        <v>45743</v>
      </c>
      <c r="B8" s="7" t="s">
        <v>19</v>
      </c>
      <c r="C8" s="8" t="s">
        <v>20</v>
      </c>
      <c r="D8" s="7" t="s">
        <v>21</v>
      </c>
      <c r="E8" s="9">
        <v>1000000</v>
      </c>
      <c r="F8" s="7" t="s">
        <v>168</v>
      </c>
      <c r="G8" s="22">
        <v>45743</v>
      </c>
      <c r="H8" t="str">
        <f>VLOOKUP(E8,[1]Sheet1!$E:$J,6,FALSE)</f>
        <v xml:space="preserve">Interbank </v>
      </c>
      <c r="I8" t="str">
        <f>VLOOKUP(E8,[1]Sheet1!$E:$M,8,FALSE)</f>
        <v>Income</v>
      </c>
      <c r="J8" t="str">
        <f>VLOOKUP(E8,[1]Sheet1!$E:$M,9,FALSE)</f>
        <v>Income</v>
      </c>
      <c r="K8" t="str">
        <f>VLOOKUP(E8,[1]Sheet1!$E:$N,10,FALSE)</f>
        <v>CHC</v>
      </c>
    </row>
    <row r="9" spans="1:12" x14ac:dyDescent="0.35">
      <c r="A9" s="10">
        <v>45743</v>
      </c>
      <c r="B9" s="11" t="s">
        <v>19</v>
      </c>
      <c r="C9" s="12" t="s">
        <v>20</v>
      </c>
      <c r="D9" s="11" t="s">
        <v>21</v>
      </c>
      <c r="E9" s="13">
        <v>3100000</v>
      </c>
      <c r="F9" s="7" t="s">
        <v>168</v>
      </c>
      <c r="G9" s="22">
        <v>45746</v>
      </c>
      <c r="H9" t="s">
        <v>163</v>
      </c>
      <c r="I9" t="s">
        <v>164</v>
      </c>
      <c r="J9" t="s">
        <v>162</v>
      </c>
      <c r="K9" t="s">
        <v>165</v>
      </c>
    </row>
    <row r="10" spans="1:12" x14ac:dyDescent="0.35">
      <c r="A10" s="10">
        <v>45776</v>
      </c>
      <c r="B10" s="11" t="s">
        <v>22</v>
      </c>
      <c r="C10" s="12" t="s">
        <v>23</v>
      </c>
      <c r="D10" s="11" t="s">
        <v>24</v>
      </c>
      <c r="E10" s="13">
        <v>2253000</v>
      </c>
      <c r="F10" s="7" t="s">
        <v>168</v>
      </c>
      <c r="G10" s="22">
        <v>45777</v>
      </c>
      <c r="H10" t="s">
        <v>163</v>
      </c>
      <c r="I10" t="s">
        <v>164</v>
      </c>
      <c r="J10" t="s">
        <v>162</v>
      </c>
      <c r="K10" t="s">
        <v>165</v>
      </c>
    </row>
    <row r="11" spans="1:12" x14ac:dyDescent="0.35">
      <c r="A11" s="10">
        <v>45792</v>
      </c>
      <c r="B11" s="11" t="s">
        <v>46</v>
      </c>
      <c r="C11" s="12" t="s">
        <v>47</v>
      </c>
      <c r="D11" s="11" t="s">
        <v>48</v>
      </c>
      <c r="E11" s="13">
        <v>100000</v>
      </c>
      <c r="F11" s="7" t="s">
        <v>168</v>
      </c>
      <c r="G11" s="22">
        <f>VLOOKUP(E11,[1]Sheet1!$E:$G,3,FALSE)</f>
        <v>45736</v>
      </c>
      <c r="H11" t="s">
        <v>162</v>
      </c>
      <c r="I11" t="s">
        <v>162</v>
      </c>
      <c r="J11" t="s">
        <v>162</v>
      </c>
      <c r="K11" t="str">
        <f>VLOOKUP(E11,[1]Sheet1!$E:$N,10,FALSE)</f>
        <v>CHC</v>
      </c>
    </row>
    <row r="12" spans="1:12" x14ac:dyDescent="0.35">
      <c r="A12" s="6">
        <v>45792</v>
      </c>
      <c r="B12" s="7" t="s">
        <v>46</v>
      </c>
      <c r="C12" s="8" t="s">
        <v>47</v>
      </c>
      <c r="D12" s="7" t="s">
        <v>48</v>
      </c>
      <c r="E12" s="9">
        <v>129200</v>
      </c>
      <c r="F12" s="7" t="s">
        <v>168</v>
      </c>
      <c r="G12" s="22">
        <f>VLOOKUP(E12,[1]Sheet1!$E:$G,3,FALSE)</f>
        <v>45792</v>
      </c>
      <c r="H12" t="str">
        <f>VLOOKUP(E12,[1]Sheet1!$E:$J,6,FALSE)</f>
        <v>RECEIPTS</v>
      </c>
      <c r="I12" t="str">
        <f>VLOOKUP(E12,[1]Sheet1!$E:$M,8,FALSE)</f>
        <v>INCOME</v>
      </c>
      <c r="J12" t="s">
        <v>162</v>
      </c>
      <c r="K12" t="str">
        <f>VLOOKUP(E12,[1]Sheet1!$E:$N,10,FALSE)</f>
        <v>CHC</v>
      </c>
    </row>
    <row r="13" spans="1:12" x14ac:dyDescent="0.35">
      <c r="A13" s="10">
        <v>45792</v>
      </c>
      <c r="B13" s="11" t="s">
        <v>46</v>
      </c>
      <c r="C13" s="12" t="s">
        <v>47</v>
      </c>
      <c r="D13" s="11" t="s">
        <v>48</v>
      </c>
      <c r="E13" s="13">
        <v>220000</v>
      </c>
      <c r="F13" s="7" t="s">
        <v>168</v>
      </c>
      <c r="G13" s="22">
        <f>VLOOKUP(E13,[1]Sheet1!$E:$G,3,FALSE)</f>
        <v>45764</v>
      </c>
      <c r="H13" t="str">
        <f>VLOOKUP(E13,[1]Sheet1!$E:$J,6,FALSE)</f>
        <v>RECEIPTS</v>
      </c>
      <c r="I13" t="str">
        <f>VLOOKUP(E13,[1]Sheet1!$E:$M,8,FALSE)</f>
        <v>INCOME</v>
      </c>
      <c r="J13" t="s">
        <v>162</v>
      </c>
      <c r="K13" t="str">
        <f>VLOOKUP(E13,[1]Sheet1!$E:$N,10,FALSE)</f>
        <v>CHC</v>
      </c>
    </row>
    <row r="14" spans="1:12" x14ac:dyDescent="0.35">
      <c r="A14" s="6">
        <v>45792</v>
      </c>
      <c r="B14" s="7" t="s">
        <v>46</v>
      </c>
      <c r="C14" s="8" t="s">
        <v>47</v>
      </c>
      <c r="D14" s="7" t="s">
        <v>48</v>
      </c>
      <c r="E14" s="9">
        <v>240000</v>
      </c>
      <c r="F14" s="7" t="s">
        <v>168</v>
      </c>
      <c r="G14" s="22">
        <f>VLOOKUP(E14,[1]Sheet1!$E:$G,3,FALSE)</f>
        <v>45908</v>
      </c>
      <c r="H14" t="str">
        <f>VLOOKUP(E14,[1]Sheet1!$E:$J,6,FALSE)</f>
        <v>RECEIPTS</v>
      </c>
      <c r="I14" t="str">
        <f>VLOOKUP(E14,[1]Sheet1!$E:$M,8,FALSE)</f>
        <v>Income</v>
      </c>
      <c r="J14" t="s">
        <v>162</v>
      </c>
      <c r="K14" t="str">
        <f>VLOOKUP(E14,[1]Sheet1!$E:$N,10,FALSE)</f>
        <v>CHC</v>
      </c>
    </row>
    <row r="15" spans="1:12" x14ac:dyDescent="0.35">
      <c r="A15" s="6">
        <v>45796</v>
      </c>
      <c r="B15" s="7" t="s">
        <v>49</v>
      </c>
      <c r="C15" s="8" t="s">
        <v>50</v>
      </c>
      <c r="D15" s="7" t="s">
        <v>51</v>
      </c>
      <c r="E15" s="9">
        <v>75000</v>
      </c>
      <c r="F15" s="7" t="s">
        <v>168</v>
      </c>
      <c r="G15" s="22">
        <v>45796</v>
      </c>
      <c r="H15" t="s">
        <v>163</v>
      </c>
      <c r="I15" t="s">
        <v>166</v>
      </c>
      <c r="J15" t="s">
        <v>162</v>
      </c>
      <c r="K15" t="s">
        <v>165</v>
      </c>
    </row>
    <row r="16" spans="1:12" x14ac:dyDescent="0.35">
      <c r="A16" s="10">
        <v>45796</v>
      </c>
      <c r="B16" s="11" t="s">
        <v>49</v>
      </c>
      <c r="C16" s="12" t="s">
        <v>50</v>
      </c>
      <c r="D16" s="11" t="s">
        <v>51</v>
      </c>
      <c r="E16" s="13">
        <v>223000</v>
      </c>
      <c r="F16" s="7" t="s">
        <v>168</v>
      </c>
      <c r="G16" s="22">
        <v>45796</v>
      </c>
      <c r="H16" t="s">
        <v>163</v>
      </c>
      <c r="I16" t="s">
        <v>166</v>
      </c>
      <c r="J16" t="s">
        <v>162</v>
      </c>
      <c r="K16" t="s">
        <v>165</v>
      </c>
    </row>
    <row r="17" spans="1:11" x14ac:dyDescent="0.35">
      <c r="A17" s="6">
        <v>45797</v>
      </c>
      <c r="B17" s="7" t="s">
        <v>52</v>
      </c>
      <c r="C17" s="8" t="s">
        <v>53</v>
      </c>
      <c r="D17" s="7" t="s">
        <v>54</v>
      </c>
      <c r="E17" s="9">
        <v>50000</v>
      </c>
      <c r="F17" s="7" t="s">
        <v>168</v>
      </c>
      <c r="G17" s="22">
        <f>VLOOKUP(E17,[1]Sheet1!$E:$G,3,FALSE)</f>
        <v>45804</v>
      </c>
      <c r="H17" t="str">
        <f>VLOOKUP(E17,[1]Sheet1!$E:$J,6,FALSE)</f>
        <v>RECEIPTS</v>
      </c>
      <c r="I17" t="str">
        <f>VLOOKUP(E17,[1]Sheet1!$E:$M,8,FALSE)</f>
        <v>INCOME</v>
      </c>
      <c r="J17" t="s">
        <v>162</v>
      </c>
      <c r="K17" t="str">
        <f>VLOOKUP(E17,[1]Sheet1!$E:$N,10,FALSE)</f>
        <v>CHC</v>
      </c>
    </row>
    <row r="18" spans="1:11" x14ac:dyDescent="0.35">
      <c r="A18" s="10">
        <v>45797</v>
      </c>
      <c r="B18" s="11" t="s">
        <v>52</v>
      </c>
      <c r="C18" s="12" t="s">
        <v>53</v>
      </c>
      <c r="D18" s="11" t="s">
        <v>54</v>
      </c>
      <c r="E18" s="13">
        <v>90000</v>
      </c>
      <c r="F18" s="7" t="s">
        <v>168</v>
      </c>
      <c r="G18" s="22">
        <f>VLOOKUP(E18,[1]Sheet1!$E:$G,3,FALSE)</f>
        <v>45754</v>
      </c>
      <c r="H18" t="str">
        <f>VLOOKUP(E18,[1]Sheet1!$E:$J,6,FALSE)</f>
        <v>RECEIPTS</v>
      </c>
      <c r="I18" t="str">
        <f>VLOOKUP(E18,[1]Sheet1!$E:$M,8,FALSE)</f>
        <v>INCOME</v>
      </c>
      <c r="J18" t="s">
        <v>162</v>
      </c>
      <c r="K18" t="str">
        <f>VLOOKUP(E18,[1]Sheet1!$E:$N,10,FALSE)</f>
        <v>CHC</v>
      </c>
    </row>
    <row r="19" spans="1:11" x14ac:dyDescent="0.35">
      <c r="A19" s="10">
        <v>45798</v>
      </c>
      <c r="B19" s="11" t="s">
        <v>58</v>
      </c>
      <c r="C19" s="12" t="s">
        <v>59</v>
      </c>
      <c r="D19" s="11" t="s">
        <v>60</v>
      </c>
      <c r="E19" s="13">
        <v>50000</v>
      </c>
      <c r="F19" s="7" t="s">
        <v>168</v>
      </c>
      <c r="G19" s="22">
        <v>45798</v>
      </c>
      <c r="H19" t="s">
        <v>163</v>
      </c>
      <c r="I19" t="s">
        <v>166</v>
      </c>
      <c r="J19" t="s">
        <v>162</v>
      </c>
      <c r="K19" t="s">
        <v>165</v>
      </c>
    </row>
    <row r="20" spans="1:11" x14ac:dyDescent="0.35">
      <c r="A20" s="6">
        <v>45798</v>
      </c>
      <c r="B20" s="7" t="s">
        <v>58</v>
      </c>
      <c r="C20" s="8" t="s">
        <v>59</v>
      </c>
      <c r="D20" s="7" t="s">
        <v>60</v>
      </c>
      <c r="E20" s="9">
        <v>60000</v>
      </c>
      <c r="F20" s="7" t="s">
        <v>168</v>
      </c>
      <c r="G20" s="22">
        <v>45798</v>
      </c>
      <c r="H20" t="s">
        <v>163</v>
      </c>
      <c r="I20" t="s">
        <v>166</v>
      </c>
      <c r="J20" t="s">
        <v>162</v>
      </c>
      <c r="K20" t="s">
        <v>165</v>
      </c>
    </row>
    <row r="21" spans="1:11" x14ac:dyDescent="0.35">
      <c r="A21" s="6">
        <v>45798</v>
      </c>
      <c r="B21" s="7" t="s">
        <v>58</v>
      </c>
      <c r="C21" s="8" t="s">
        <v>59</v>
      </c>
      <c r="D21" s="7" t="s">
        <v>60</v>
      </c>
      <c r="E21" s="9">
        <v>738000</v>
      </c>
      <c r="F21" s="7" t="s">
        <v>168</v>
      </c>
      <c r="G21" s="22">
        <v>45798</v>
      </c>
      <c r="H21" t="s">
        <v>163</v>
      </c>
      <c r="I21" t="s">
        <v>166</v>
      </c>
      <c r="J21" t="s">
        <v>162</v>
      </c>
      <c r="K21" t="s">
        <v>165</v>
      </c>
    </row>
    <row r="22" spans="1:11" x14ac:dyDescent="0.35">
      <c r="A22" s="10">
        <v>45799</v>
      </c>
      <c r="B22" s="11" t="s">
        <v>64</v>
      </c>
      <c r="C22" s="12" t="s">
        <v>65</v>
      </c>
      <c r="D22" s="11" t="s">
        <v>66</v>
      </c>
      <c r="E22" s="13">
        <v>5000</v>
      </c>
      <c r="F22" s="7" t="s">
        <v>168</v>
      </c>
      <c r="G22" s="22">
        <f>VLOOKUP(E22,[1]Sheet1!$E:$G,3,FALSE)</f>
        <v>45566</v>
      </c>
      <c r="H22" t="str">
        <f>VLOOKUP(E22,[1]Sheet1!$E:$J,6,FALSE)</f>
        <v xml:space="preserve">Opening </v>
      </c>
      <c r="I22" t="str">
        <f>VLOOKUP(E22,[1]Sheet1!$E:$M,8,FALSE)</f>
        <v>General, Admin &amp; Marketing Expenses</v>
      </c>
      <c r="J22" t="str">
        <f>VLOOKUP(E22,[1]Sheet1!$E:$M,9,FALSE)</f>
        <v>General Expenses</v>
      </c>
      <c r="K22" t="str">
        <f>VLOOKUP(E22,[1]Sheet1!$E:$N,10,FALSE)</f>
        <v>CHC</v>
      </c>
    </row>
    <row r="23" spans="1:11" x14ac:dyDescent="0.35">
      <c r="A23" s="6">
        <v>45799</v>
      </c>
      <c r="B23" s="7" t="s">
        <v>64</v>
      </c>
      <c r="C23" s="8" t="s">
        <v>65</v>
      </c>
      <c r="D23" s="7" t="s">
        <v>66</v>
      </c>
      <c r="E23" s="9">
        <v>20000</v>
      </c>
      <c r="F23" s="7" t="s">
        <v>168</v>
      </c>
      <c r="G23" s="22">
        <f>VLOOKUP(E23,[1]Sheet1!$E:$G,3,FALSE)</f>
        <v>45832</v>
      </c>
      <c r="H23" t="str">
        <f>VLOOKUP(E23,[1]Sheet1!$E:$J,6,FALSE)</f>
        <v>RECEIPTS</v>
      </c>
      <c r="I23" t="str">
        <f>VLOOKUP(E23,[1]Sheet1!$E:$M,8,FALSE)</f>
        <v>Income</v>
      </c>
      <c r="J23" t="s">
        <v>162</v>
      </c>
      <c r="K23" t="str">
        <f>VLOOKUP(E23,[1]Sheet1!$E:$N,10,FALSE)</f>
        <v>CHC</v>
      </c>
    </row>
    <row r="24" spans="1:11" x14ac:dyDescent="0.35">
      <c r="A24" s="10">
        <v>45799</v>
      </c>
      <c r="B24" s="11" t="s">
        <v>64</v>
      </c>
      <c r="C24" s="12" t="s">
        <v>65</v>
      </c>
      <c r="D24" s="11" t="s">
        <v>66</v>
      </c>
      <c r="E24" s="13">
        <v>25000</v>
      </c>
      <c r="F24" s="7" t="s">
        <v>168</v>
      </c>
      <c r="G24" s="22">
        <f>VLOOKUP(E24,[1]Sheet1!$E:$G,3,FALSE)</f>
        <v>45978</v>
      </c>
      <c r="H24" t="str">
        <f>VLOOKUP(E24,[1]Sheet1!$E:$J,6,FALSE)</f>
        <v>RECEIPTS</v>
      </c>
      <c r="I24" t="str">
        <f>VLOOKUP(E24,[1]Sheet1!$E:$M,8,FALSE)</f>
        <v>bank profit</v>
      </c>
      <c r="J24" t="s">
        <v>162</v>
      </c>
      <c r="K24" t="str">
        <f>VLOOKUP(E24,[1]Sheet1!$E:$N,10,FALSE)</f>
        <v>CHC</v>
      </c>
    </row>
    <row r="25" spans="1:11" x14ac:dyDescent="0.35">
      <c r="A25" s="10">
        <v>45799</v>
      </c>
      <c r="B25" s="11" t="s">
        <v>64</v>
      </c>
      <c r="C25" s="12" t="s">
        <v>65</v>
      </c>
      <c r="D25" s="11" t="s">
        <v>66</v>
      </c>
      <c r="E25" s="13">
        <v>25000</v>
      </c>
      <c r="F25" s="7" t="s">
        <v>168</v>
      </c>
      <c r="G25" s="22">
        <f>VLOOKUP(E25,[1]Sheet1!$E:$G,3,FALSE)</f>
        <v>45978</v>
      </c>
      <c r="H25" t="str">
        <f>VLOOKUP(E25,[1]Sheet1!$E:$J,6,FALSE)</f>
        <v>RECEIPTS</v>
      </c>
      <c r="I25" t="str">
        <f>VLOOKUP(E25,[1]Sheet1!$E:$M,8,FALSE)</f>
        <v>bank profit</v>
      </c>
      <c r="J25" t="s">
        <v>162</v>
      </c>
      <c r="K25" t="str">
        <f>VLOOKUP(E25,[1]Sheet1!$E:$N,10,FALSE)</f>
        <v>CHC</v>
      </c>
    </row>
    <row r="26" spans="1:11" x14ac:dyDescent="0.35">
      <c r="A26" s="6">
        <v>45799</v>
      </c>
      <c r="B26" s="7" t="s">
        <v>64</v>
      </c>
      <c r="C26" s="8" t="s">
        <v>65</v>
      </c>
      <c r="D26" s="7" t="s">
        <v>66</v>
      </c>
      <c r="E26" s="9">
        <v>25000</v>
      </c>
      <c r="F26" s="7" t="s">
        <v>168</v>
      </c>
      <c r="G26" s="22">
        <f>VLOOKUP(E26,[1]Sheet1!$E:$G,3,FALSE)</f>
        <v>45978</v>
      </c>
      <c r="H26" t="str">
        <f>VLOOKUP(E26,[1]Sheet1!$E:$J,6,FALSE)</f>
        <v>RECEIPTS</v>
      </c>
      <c r="I26" t="str">
        <f>VLOOKUP(E26,[1]Sheet1!$E:$M,8,FALSE)</f>
        <v>bank profit</v>
      </c>
      <c r="J26" t="s">
        <v>162</v>
      </c>
      <c r="K26" t="str">
        <f>VLOOKUP(E26,[1]Sheet1!$E:$N,10,FALSE)</f>
        <v>CHC</v>
      </c>
    </row>
    <row r="27" spans="1:11" x14ac:dyDescent="0.35">
      <c r="A27" s="6">
        <v>45799</v>
      </c>
      <c r="B27" s="7" t="s">
        <v>64</v>
      </c>
      <c r="C27" s="8" t="s">
        <v>65</v>
      </c>
      <c r="D27" s="7" t="s">
        <v>66</v>
      </c>
      <c r="E27" s="9">
        <v>100000</v>
      </c>
      <c r="F27" s="7" t="s">
        <v>168</v>
      </c>
      <c r="G27" s="22">
        <f>VLOOKUP(E27,[1]Sheet1!$E:$G,3,FALSE)</f>
        <v>45736</v>
      </c>
      <c r="H27" t="str">
        <f>VLOOKUP(E27,[1]Sheet1!$E:$J,6,FALSE)</f>
        <v>RECEIPTS</v>
      </c>
      <c r="I27" t="str">
        <f>VLOOKUP(E27,[1]Sheet1!$E:$M,8,FALSE)</f>
        <v>INCOME</v>
      </c>
      <c r="J27" t="s">
        <v>162</v>
      </c>
      <c r="K27" t="str">
        <f>VLOOKUP(E27,[1]Sheet1!$E:$N,10,FALSE)</f>
        <v>CHC</v>
      </c>
    </row>
    <row r="28" spans="1:11" x14ac:dyDescent="0.35">
      <c r="A28" s="10">
        <v>45800</v>
      </c>
      <c r="B28" s="11" t="s">
        <v>67</v>
      </c>
      <c r="C28" s="12" t="s">
        <v>68</v>
      </c>
      <c r="D28" s="11" t="s">
        <v>69</v>
      </c>
      <c r="E28" s="13">
        <v>30000</v>
      </c>
      <c r="F28" s="7" t="s">
        <v>168</v>
      </c>
      <c r="G28" s="22">
        <v>45800</v>
      </c>
      <c r="H28" t="s">
        <v>163</v>
      </c>
      <c r="I28" t="s">
        <v>166</v>
      </c>
      <c r="J28" t="s">
        <v>162</v>
      </c>
      <c r="K28" t="s">
        <v>165</v>
      </c>
    </row>
    <row r="29" spans="1:11" x14ac:dyDescent="0.35">
      <c r="A29" s="6">
        <v>45800</v>
      </c>
      <c r="B29" s="7" t="s">
        <v>67</v>
      </c>
      <c r="C29" s="8" t="s">
        <v>68</v>
      </c>
      <c r="D29" s="7" t="s">
        <v>69</v>
      </c>
      <c r="E29" s="9">
        <v>323000</v>
      </c>
      <c r="F29" s="7" t="s">
        <v>168</v>
      </c>
      <c r="G29" s="22">
        <v>45800</v>
      </c>
      <c r="H29" t="s">
        <v>163</v>
      </c>
      <c r="I29" t="s">
        <v>166</v>
      </c>
      <c r="J29" t="s">
        <v>162</v>
      </c>
      <c r="K29" t="s">
        <v>165</v>
      </c>
    </row>
    <row r="30" spans="1:11" x14ac:dyDescent="0.35">
      <c r="A30" s="6">
        <v>45801</v>
      </c>
      <c r="B30" s="7" t="s">
        <v>70</v>
      </c>
      <c r="C30" s="8" t="s">
        <v>71</v>
      </c>
      <c r="D30" s="7" t="s">
        <v>72</v>
      </c>
      <c r="E30" s="9">
        <v>60000</v>
      </c>
      <c r="F30" s="7" t="s">
        <v>168</v>
      </c>
      <c r="G30" s="22">
        <f>VLOOKUP(E30,[1]Sheet1!$E:$G,3,FALSE)</f>
        <v>45757</v>
      </c>
      <c r="H30" t="str">
        <f>VLOOKUP(E30,[1]Sheet1!$E:$J,6,FALSE)</f>
        <v>RECEIPTS</v>
      </c>
      <c r="I30" t="str">
        <f>VLOOKUP(E30,[1]Sheet1!$E:$M,8,FALSE)</f>
        <v>INCOME</v>
      </c>
      <c r="J30" t="s">
        <v>162</v>
      </c>
      <c r="K30" t="str">
        <f>VLOOKUP(E30,[1]Sheet1!$E:$N,10,FALSE)</f>
        <v>CHC</v>
      </c>
    </row>
    <row r="31" spans="1:11" x14ac:dyDescent="0.35">
      <c r="A31" s="6">
        <v>45803</v>
      </c>
      <c r="B31" s="7" t="s">
        <v>90</v>
      </c>
      <c r="C31" s="8" t="s">
        <v>91</v>
      </c>
      <c r="D31" s="7" t="s">
        <v>92</v>
      </c>
      <c r="E31" s="9">
        <v>100000</v>
      </c>
      <c r="F31" s="7" t="s">
        <v>168</v>
      </c>
      <c r="G31" s="22">
        <f>VLOOKUP(E31,[1]Sheet1!$E:$G,3,FALSE)</f>
        <v>45736</v>
      </c>
      <c r="H31" t="str">
        <f>VLOOKUP(E31,[1]Sheet1!$E:$J,6,FALSE)</f>
        <v>RECEIPTS</v>
      </c>
      <c r="I31" t="str">
        <f>VLOOKUP(E31,[1]Sheet1!$E:$M,8,FALSE)</f>
        <v>INCOME</v>
      </c>
      <c r="J31" t="s">
        <v>162</v>
      </c>
      <c r="K31" t="str">
        <f>VLOOKUP(E31,[1]Sheet1!$E:$N,10,FALSE)</f>
        <v>CHC</v>
      </c>
    </row>
    <row r="32" spans="1:11" x14ac:dyDescent="0.35">
      <c r="A32" s="6">
        <v>45804</v>
      </c>
      <c r="B32" s="7" t="s">
        <v>95</v>
      </c>
      <c r="C32" s="8" t="s">
        <v>96</v>
      </c>
      <c r="D32" s="7" t="s">
        <v>97</v>
      </c>
      <c r="E32" s="9">
        <v>50000</v>
      </c>
      <c r="F32" s="7" t="s">
        <v>168</v>
      </c>
      <c r="G32" s="22">
        <f>VLOOKUP(E32,[1]Sheet1!$E:$G,3,FALSE)</f>
        <v>45804</v>
      </c>
      <c r="H32" t="str">
        <f>VLOOKUP(E32,[1]Sheet1!$E:$J,6,FALSE)</f>
        <v>RECEIPTS</v>
      </c>
      <c r="I32" t="str">
        <f>VLOOKUP(E32,[1]Sheet1!$E:$M,8,FALSE)</f>
        <v>INCOME</v>
      </c>
      <c r="J32" t="s">
        <v>162</v>
      </c>
      <c r="K32" t="str">
        <f>VLOOKUP(E32,[1]Sheet1!$E:$N,10,FALSE)</f>
        <v>CHC</v>
      </c>
    </row>
    <row r="33" spans="1:11" x14ac:dyDescent="0.35">
      <c r="A33" s="10">
        <v>45806</v>
      </c>
      <c r="B33" s="11" t="s">
        <v>98</v>
      </c>
      <c r="C33" s="12" t="s">
        <v>99</v>
      </c>
      <c r="D33" s="11" t="s">
        <v>100</v>
      </c>
      <c r="E33" s="13">
        <v>150000</v>
      </c>
      <c r="F33" s="7" t="s">
        <v>168</v>
      </c>
      <c r="G33" s="22">
        <f>VLOOKUP(E33,[1]Sheet1!$E:$G,3,FALSE)</f>
        <v>45756</v>
      </c>
      <c r="H33" t="str">
        <f>VLOOKUP(E33,[1]Sheet1!$E:$J,6,FALSE)</f>
        <v>RECEIPTS</v>
      </c>
      <c r="I33" t="str">
        <f>VLOOKUP(E33,[1]Sheet1!$E:$M,8,FALSE)</f>
        <v>INCOME</v>
      </c>
      <c r="J33" t="s">
        <v>162</v>
      </c>
      <c r="K33" t="str">
        <f>VLOOKUP(E33,[1]Sheet1!$E:$N,10,FALSE)</f>
        <v>CHC</v>
      </c>
    </row>
    <row r="34" spans="1:11" x14ac:dyDescent="0.35">
      <c r="A34" s="6">
        <v>45808</v>
      </c>
      <c r="B34" s="7" t="s">
        <v>101</v>
      </c>
      <c r="C34" s="8" t="s">
        <v>102</v>
      </c>
      <c r="D34" s="7" t="s">
        <v>103</v>
      </c>
      <c r="E34" s="9">
        <v>90000</v>
      </c>
      <c r="F34" s="7" t="s">
        <v>168</v>
      </c>
      <c r="G34" s="22">
        <f>VLOOKUP(E34,[1]Sheet1!$E:$G,3,FALSE)</f>
        <v>45754</v>
      </c>
      <c r="H34" t="str">
        <f>VLOOKUP(E34,[1]Sheet1!$E:$J,6,FALSE)</f>
        <v>RECEIPTS</v>
      </c>
      <c r="I34" t="str">
        <f>VLOOKUP(E34,[1]Sheet1!$E:$M,8,FALSE)</f>
        <v>INCOME</v>
      </c>
      <c r="J34" t="s">
        <v>162</v>
      </c>
      <c r="K34" t="str">
        <f>VLOOKUP(E34,[1]Sheet1!$E:$N,10,FALSE)</f>
        <v>CHC</v>
      </c>
    </row>
    <row r="35" spans="1:11" x14ac:dyDescent="0.35">
      <c r="A35" s="6">
        <v>45822</v>
      </c>
      <c r="B35" s="7" t="s">
        <v>133</v>
      </c>
      <c r="C35" s="8" t="s">
        <v>134</v>
      </c>
      <c r="D35" s="7" t="s">
        <v>135</v>
      </c>
      <c r="E35" s="9">
        <v>13000</v>
      </c>
      <c r="F35" s="7" t="s">
        <v>168</v>
      </c>
      <c r="G35" s="22">
        <v>45834</v>
      </c>
      <c r="H35" t="s">
        <v>163</v>
      </c>
      <c r="I35" t="s">
        <v>166</v>
      </c>
      <c r="J35" t="s">
        <v>162</v>
      </c>
      <c r="K35" t="s">
        <v>165</v>
      </c>
    </row>
    <row r="36" spans="1:11" x14ac:dyDescent="0.35">
      <c r="A36" s="10">
        <v>45822</v>
      </c>
      <c r="B36" s="11" t="s">
        <v>133</v>
      </c>
      <c r="C36" s="12" t="s">
        <v>134</v>
      </c>
      <c r="D36" s="11" t="s">
        <v>135</v>
      </c>
      <c r="E36" s="13">
        <v>30000</v>
      </c>
      <c r="F36" s="7" t="s">
        <v>168</v>
      </c>
      <c r="G36" s="22">
        <v>45834</v>
      </c>
      <c r="H36" t="s">
        <v>163</v>
      </c>
      <c r="I36" t="s">
        <v>166</v>
      </c>
      <c r="J36" t="s">
        <v>162</v>
      </c>
      <c r="K36" t="s">
        <v>165</v>
      </c>
    </row>
    <row r="37" spans="1:11" x14ac:dyDescent="0.35">
      <c r="A37" s="10">
        <v>45822</v>
      </c>
      <c r="B37" s="11" t="s">
        <v>133</v>
      </c>
      <c r="C37" s="12" t="s">
        <v>134</v>
      </c>
      <c r="D37" s="11" t="s">
        <v>135</v>
      </c>
      <c r="E37" s="13">
        <v>46000</v>
      </c>
      <c r="F37" s="7" t="s">
        <v>168</v>
      </c>
      <c r="G37" s="22">
        <v>45834</v>
      </c>
      <c r="H37" t="s">
        <v>163</v>
      </c>
      <c r="I37" t="s">
        <v>166</v>
      </c>
      <c r="J37" t="s">
        <v>162</v>
      </c>
      <c r="K37" t="s">
        <v>165</v>
      </c>
    </row>
    <row r="38" spans="1:11" x14ac:dyDescent="0.35">
      <c r="A38" s="10">
        <v>45822</v>
      </c>
      <c r="B38" s="11" t="s">
        <v>133</v>
      </c>
      <c r="C38" s="12" t="s">
        <v>134</v>
      </c>
      <c r="D38" s="11" t="s">
        <v>135</v>
      </c>
      <c r="E38" s="13">
        <v>50000</v>
      </c>
      <c r="F38" s="7" t="s">
        <v>168</v>
      </c>
      <c r="G38" s="22">
        <v>45834</v>
      </c>
      <c r="H38" t="s">
        <v>163</v>
      </c>
      <c r="I38" t="s">
        <v>166</v>
      </c>
      <c r="J38" t="s">
        <v>162</v>
      </c>
      <c r="K38" t="s">
        <v>165</v>
      </c>
    </row>
    <row r="39" spans="1:11" x14ac:dyDescent="0.35">
      <c r="A39" s="6">
        <v>45822</v>
      </c>
      <c r="B39" s="7" t="s">
        <v>133</v>
      </c>
      <c r="C39" s="8" t="s">
        <v>134</v>
      </c>
      <c r="D39" s="7" t="s">
        <v>135</v>
      </c>
      <c r="E39" s="9">
        <v>60000</v>
      </c>
      <c r="F39" s="7" t="s">
        <v>168</v>
      </c>
      <c r="G39" s="22">
        <v>45834</v>
      </c>
      <c r="H39" t="s">
        <v>163</v>
      </c>
      <c r="I39" t="s">
        <v>166</v>
      </c>
      <c r="J39" t="s">
        <v>162</v>
      </c>
      <c r="K39" t="s">
        <v>165</v>
      </c>
    </row>
    <row r="40" spans="1:11" x14ac:dyDescent="0.35">
      <c r="A40" s="10">
        <v>45822</v>
      </c>
      <c r="B40" s="11" t="s">
        <v>133</v>
      </c>
      <c r="C40" s="12" t="s">
        <v>134</v>
      </c>
      <c r="D40" s="11" t="s">
        <v>135</v>
      </c>
      <c r="E40" s="13">
        <v>64800</v>
      </c>
      <c r="F40" s="7" t="s">
        <v>168</v>
      </c>
      <c r="G40" s="22">
        <v>45834</v>
      </c>
      <c r="H40" t="s">
        <v>163</v>
      </c>
      <c r="I40" t="s">
        <v>166</v>
      </c>
      <c r="J40" t="s">
        <v>162</v>
      </c>
      <c r="K40" t="s">
        <v>165</v>
      </c>
    </row>
    <row r="41" spans="1:11" x14ac:dyDescent="0.35">
      <c r="A41" s="6">
        <v>45822</v>
      </c>
      <c r="B41" s="7" t="s">
        <v>133</v>
      </c>
      <c r="C41" s="8" t="s">
        <v>134</v>
      </c>
      <c r="D41" s="7" t="s">
        <v>135</v>
      </c>
      <c r="E41" s="9">
        <v>103000</v>
      </c>
      <c r="F41" s="7" t="s">
        <v>168</v>
      </c>
      <c r="G41" s="22">
        <v>45834</v>
      </c>
      <c r="H41" t="s">
        <v>163</v>
      </c>
      <c r="I41" t="s">
        <v>166</v>
      </c>
      <c r="J41" t="s">
        <v>162</v>
      </c>
      <c r="K41" t="s">
        <v>165</v>
      </c>
    </row>
    <row r="42" spans="1:11" x14ac:dyDescent="0.35">
      <c r="A42" s="10">
        <v>45822</v>
      </c>
      <c r="B42" s="11" t="s">
        <v>133</v>
      </c>
      <c r="C42" s="12" t="s">
        <v>134</v>
      </c>
      <c r="D42" s="11" t="s">
        <v>135</v>
      </c>
      <c r="E42" s="13">
        <v>120000</v>
      </c>
      <c r="F42" s="7" t="s">
        <v>168</v>
      </c>
      <c r="G42" s="22">
        <v>45834</v>
      </c>
      <c r="H42" t="s">
        <v>163</v>
      </c>
      <c r="I42" t="s">
        <v>166</v>
      </c>
      <c r="J42" t="s">
        <v>162</v>
      </c>
      <c r="K42" t="s">
        <v>165</v>
      </c>
    </row>
    <row r="43" spans="1:11" x14ac:dyDescent="0.35">
      <c r="A43" s="6">
        <v>45822</v>
      </c>
      <c r="B43" s="7" t="s">
        <v>133</v>
      </c>
      <c r="C43" s="8" t="s">
        <v>134</v>
      </c>
      <c r="D43" s="7" t="s">
        <v>135</v>
      </c>
      <c r="E43" s="9">
        <v>150000</v>
      </c>
      <c r="F43" s="7" t="s">
        <v>168</v>
      </c>
      <c r="G43" s="22">
        <v>45834</v>
      </c>
      <c r="H43" t="s">
        <v>163</v>
      </c>
      <c r="I43" t="s">
        <v>166</v>
      </c>
      <c r="J43" t="s">
        <v>162</v>
      </c>
      <c r="K43" t="s">
        <v>165</v>
      </c>
    </row>
    <row r="44" spans="1:11" x14ac:dyDescent="0.35">
      <c r="A44" s="10">
        <v>45822</v>
      </c>
      <c r="B44" s="11" t="s">
        <v>133</v>
      </c>
      <c r="C44" s="12" t="s">
        <v>134</v>
      </c>
      <c r="D44" s="11" t="s">
        <v>135</v>
      </c>
      <c r="E44" s="13">
        <v>150000</v>
      </c>
      <c r="F44" s="7" t="s">
        <v>168</v>
      </c>
      <c r="G44" s="22">
        <v>45834</v>
      </c>
      <c r="H44" t="s">
        <v>163</v>
      </c>
      <c r="I44" t="s">
        <v>166</v>
      </c>
      <c r="J44" t="s">
        <v>162</v>
      </c>
      <c r="K44" t="s">
        <v>165</v>
      </c>
    </row>
    <row r="45" spans="1:11" x14ac:dyDescent="0.35">
      <c r="A45" s="6">
        <v>45822</v>
      </c>
      <c r="B45" s="7" t="s">
        <v>133</v>
      </c>
      <c r="C45" s="8" t="s">
        <v>134</v>
      </c>
      <c r="D45" s="7" t="s">
        <v>135</v>
      </c>
      <c r="E45" s="9">
        <v>163000</v>
      </c>
      <c r="F45" s="7" t="s">
        <v>168</v>
      </c>
      <c r="G45" s="22">
        <v>45834</v>
      </c>
      <c r="H45" t="s">
        <v>163</v>
      </c>
      <c r="I45" t="s">
        <v>166</v>
      </c>
      <c r="J45" t="s">
        <v>162</v>
      </c>
      <c r="K45" t="s">
        <v>165</v>
      </c>
    </row>
    <row r="46" spans="1:11" x14ac:dyDescent="0.35">
      <c r="A46" s="6">
        <v>45822</v>
      </c>
      <c r="B46" s="7" t="s">
        <v>133</v>
      </c>
      <c r="C46" s="8" t="s">
        <v>134</v>
      </c>
      <c r="D46" s="7" t="s">
        <v>135</v>
      </c>
      <c r="E46" s="9">
        <v>304000</v>
      </c>
      <c r="F46" s="7" t="s">
        <v>168</v>
      </c>
      <c r="G46" s="22">
        <v>45834</v>
      </c>
      <c r="H46" t="s">
        <v>163</v>
      </c>
      <c r="I46" t="s">
        <v>166</v>
      </c>
      <c r="J46" t="s">
        <v>162</v>
      </c>
      <c r="K46" t="s">
        <v>165</v>
      </c>
    </row>
    <row r="47" spans="1:11" x14ac:dyDescent="0.35">
      <c r="A47" s="10">
        <v>45822</v>
      </c>
      <c r="B47" s="11" t="s">
        <v>133</v>
      </c>
      <c r="C47" s="12" t="s">
        <v>134</v>
      </c>
      <c r="D47" s="11" t="s">
        <v>135</v>
      </c>
      <c r="E47" s="13">
        <v>330000</v>
      </c>
      <c r="F47" s="7" t="s">
        <v>168</v>
      </c>
      <c r="G47" s="22">
        <v>45834</v>
      </c>
      <c r="H47" t="s">
        <v>163</v>
      </c>
      <c r="I47" t="s">
        <v>166</v>
      </c>
      <c r="J47" t="s">
        <v>162</v>
      </c>
      <c r="K47" t="s">
        <v>165</v>
      </c>
    </row>
    <row r="48" spans="1:11" x14ac:dyDescent="0.35">
      <c r="A48" s="6">
        <v>45820</v>
      </c>
      <c r="B48" s="7" t="s">
        <v>130</v>
      </c>
      <c r="C48" s="8" t="s">
        <v>131</v>
      </c>
      <c r="D48" s="7" t="s">
        <v>132</v>
      </c>
      <c r="E48" s="9">
        <v>-2482</v>
      </c>
      <c r="F48" s="7" t="s">
        <v>168</v>
      </c>
      <c r="G48" s="22">
        <f>VLOOKUP(E48,[1]Sheet1!$E:$G,3,FALSE)</f>
        <v>45820</v>
      </c>
      <c r="H48" t="str">
        <f>VLOOKUP(E48,[1]Sheet1!$E:$J,6,FALSE)</f>
        <v>Payment</v>
      </c>
      <c r="I48" t="str">
        <f>VLOOKUP(E48,[1]Sheet1!$E:$M,8,FALSE)</f>
        <v>Rent Expense</v>
      </c>
      <c r="J48" t="str">
        <f>VLOOKUP(E48,[1]Sheet1!$E:$M,9,FALSE)</f>
        <v>Rent Expense</v>
      </c>
      <c r="K48" t="str">
        <f>VLOOKUP(E48,[1]Sheet1!$E:$N,10,FALSE)</f>
        <v>CHC</v>
      </c>
    </row>
    <row r="49" spans="1:11" x14ac:dyDescent="0.35">
      <c r="A49" s="6">
        <v>45824</v>
      </c>
      <c r="B49" s="7" t="s">
        <v>136</v>
      </c>
      <c r="C49" s="8" t="s">
        <v>137</v>
      </c>
      <c r="D49" s="7" t="s">
        <v>138</v>
      </c>
      <c r="E49" s="9">
        <v>5000</v>
      </c>
      <c r="F49" s="7" t="s">
        <v>168</v>
      </c>
      <c r="G49" s="22">
        <v>45834</v>
      </c>
      <c r="H49" t="s">
        <v>163</v>
      </c>
      <c r="I49" t="s">
        <v>166</v>
      </c>
      <c r="J49" t="s">
        <v>162</v>
      </c>
      <c r="K49" t="s">
        <v>165</v>
      </c>
    </row>
    <row r="50" spans="1:11" x14ac:dyDescent="0.35">
      <c r="A50" s="10">
        <v>45824</v>
      </c>
      <c r="B50" s="11" t="s">
        <v>136</v>
      </c>
      <c r="C50" s="12" t="s">
        <v>137</v>
      </c>
      <c r="D50" s="11" t="s">
        <v>138</v>
      </c>
      <c r="E50" s="13">
        <v>20000</v>
      </c>
      <c r="F50" s="7" t="s">
        <v>168</v>
      </c>
      <c r="G50" s="22">
        <v>45834</v>
      </c>
      <c r="H50" t="s">
        <v>163</v>
      </c>
      <c r="I50" t="s">
        <v>166</v>
      </c>
      <c r="J50" t="s">
        <v>162</v>
      </c>
      <c r="K50" t="s">
        <v>165</v>
      </c>
    </row>
    <row r="51" spans="1:11" x14ac:dyDescent="0.35">
      <c r="A51" s="10">
        <v>45824</v>
      </c>
      <c r="B51" s="11" t="s">
        <v>136</v>
      </c>
      <c r="C51" s="12" t="s">
        <v>137</v>
      </c>
      <c r="D51" s="11" t="s">
        <v>138</v>
      </c>
      <c r="E51" s="13">
        <v>40000</v>
      </c>
      <c r="F51" s="7" t="s">
        <v>168</v>
      </c>
      <c r="G51" s="22">
        <v>45834</v>
      </c>
      <c r="H51" t="s">
        <v>163</v>
      </c>
      <c r="I51" t="s">
        <v>166</v>
      </c>
      <c r="J51" t="s">
        <v>162</v>
      </c>
      <c r="K51" t="s">
        <v>165</v>
      </c>
    </row>
    <row r="52" spans="1:11" x14ac:dyDescent="0.35">
      <c r="A52" s="10">
        <v>45824</v>
      </c>
      <c r="B52" s="11" t="s">
        <v>136</v>
      </c>
      <c r="C52" s="12" t="s">
        <v>137</v>
      </c>
      <c r="D52" s="11" t="s">
        <v>138</v>
      </c>
      <c r="E52" s="13">
        <v>60000</v>
      </c>
      <c r="F52" s="7" t="s">
        <v>168</v>
      </c>
      <c r="G52" s="22">
        <v>45834</v>
      </c>
      <c r="H52" t="s">
        <v>163</v>
      </c>
      <c r="I52" t="s">
        <v>166</v>
      </c>
      <c r="J52" t="s">
        <v>162</v>
      </c>
      <c r="K52" t="s">
        <v>165</v>
      </c>
    </row>
    <row r="53" spans="1:11" x14ac:dyDescent="0.35">
      <c r="A53" s="6">
        <v>45824</v>
      </c>
      <c r="B53" s="7" t="s">
        <v>136</v>
      </c>
      <c r="C53" s="8" t="s">
        <v>137</v>
      </c>
      <c r="D53" s="7" t="s">
        <v>138</v>
      </c>
      <c r="E53" s="9">
        <v>60000</v>
      </c>
      <c r="F53" s="7" t="s">
        <v>168</v>
      </c>
      <c r="G53" s="22">
        <v>45834</v>
      </c>
      <c r="H53" t="s">
        <v>163</v>
      </c>
      <c r="I53" t="s">
        <v>166</v>
      </c>
      <c r="J53" t="s">
        <v>162</v>
      </c>
      <c r="K53" t="s">
        <v>165</v>
      </c>
    </row>
    <row r="54" spans="1:11" x14ac:dyDescent="0.35">
      <c r="A54" s="6">
        <v>45824</v>
      </c>
      <c r="B54" s="7" t="s">
        <v>136</v>
      </c>
      <c r="C54" s="8" t="s">
        <v>137</v>
      </c>
      <c r="D54" s="7" t="s">
        <v>138</v>
      </c>
      <c r="E54" s="9">
        <v>90000</v>
      </c>
      <c r="F54" s="7" t="s">
        <v>168</v>
      </c>
      <c r="G54" s="22">
        <v>45834</v>
      </c>
      <c r="H54" t="s">
        <v>163</v>
      </c>
      <c r="I54" t="s">
        <v>166</v>
      </c>
      <c r="J54" t="s">
        <v>162</v>
      </c>
      <c r="K54" t="s">
        <v>165</v>
      </c>
    </row>
    <row r="55" spans="1:11" x14ac:dyDescent="0.35">
      <c r="A55" s="6">
        <v>45824</v>
      </c>
      <c r="B55" s="7" t="s">
        <v>136</v>
      </c>
      <c r="C55" s="8" t="s">
        <v>137</v>
      </c>
      <c r="D55" s="7" t="s">
        <v>138</v>
      </c>
      <c r="E55" s="9">
        <v>90000</v>
      </c>
      <c r="F55" s="7" t="s">
        <v>168</v>
      </c>
      <c r="G55" s="22">
        <v>45834</v>
      </c>
      <c r="H55" t="s">
        <v>163</v>
      </c>
      <c r="I55" t="s">
        <v>166</v>
      </c>
      <c r="J55" t="s">
        <v>162</v>
      </c>
      <c r="K55" t="s">
        <v>165</v>
      </c>
    </row>
    <row r="56" spans="1:11" x14ac:dyDescent="0.35">
      <c r="A56" s="6">
        <v>45824</v>
      </c>
      <c r="B56" s="7" t="s">
        <v>136</v>
      </c>
      <c r="C56" s="8" t="s">
        <v>137</v>
      </c>
      <c r="D56" s="7" t="s">
        <v>138</v>
      </c>
      <c r="E56" s="9">
        <v>275000</v>
      </c>
      <c r="F56" s="7" t="s">
        <v>168</v>
      </c>
      <c r="G56" s="22">
        <v>45834</v>
      </c>
      <c r="H56" t="s">
        <v>163</v>
      </c>
      <c r="I56" t="s">
        <v>166</v>
      </c>
      <c r="J56" t="s">
        <v>162</v>
      </c>
      <c r="K56" t="s">
        <v>165</v>
      </c>
    </row>
    <row r="57" spans="1:11" x14ac:dyDescent="0.35">
      <c r="A57" s="10">
        <v>45824</v>
      </c>
      <c r="B57" s="11" t="s">
        <v>136</v>
      </c>
      <c r="C57" s="12" t="s">
        <v>137</v>
      </c>
      <c r="D57" s="11" t="s">
        <v>138</v>
      </c>
      <c r="E57" s="13">
        <v>305000</v>
      </c>
      <c r="F57" s="7" t="s">
        <v>168</v>
      </c>
      <c r="G57" s="22">
        <v>45834</v>
      </c>
      <c r="H57" t="s">
        <v>163</v>
      </c>
      <c r="I57" t="s">
        <v>166</v>
      </c>
      <c r="J57" t="s">
        <v>162</v>
      </c>
      <c r="K57" t="s">
        <v>165</v>
      </c>
    </row>
    <row r="58" spans="1:11" x14ac:dyDescent="0.35">
      <c r="A58" s="6">
        <v>45777</v>
      </c>
      <c r="B58" s="7" t="s">
        <v>25</v>
      </c>
      <c r="C58" s="8" t="s">
        <v>26</v>
      </c>
      <c r="D58" s="7" t="s">
        <v>27</v>
      </c>
      <c r="E58" s="9">
        <v>30542</v>
      </c>
      <c r="F58" s="7" t="s">
        <v>168</v>
      </c>
      <c r="G58" s="22">
        <f>VLOOKUP(E58,[1]Sheet1!$E:$G,3,FALSE)</f>
        <v>45657</v>
      </c>
      <c r="H58" t="str">
        <f>VLOOKUP(E58,[1]Sheet1!$E:$J,6,FALSE)</f>
        <v>Misc.Receipts</v>
      </c>
      <c r="I58" t="str">
        <f>VLOOKUP(E58,[1]Sheet1!$E:$M,8,FALSE)</f>
        <v>INCOME</v>
      </c>
      <c r="J58" t="str">
        <f>VLOOKUP(E58,[1]Sheet1!$E:$M,9,FALSE)</f>
        <v>INCOME</v>
      </c>
      <c r="K58" t="str">
        <f>VLOOKUP(E58,[1]Sheet1!$E:$N,10,FALSE)</f>
        <v>CHC</v>
      </c>
    </row>
    <row r="59" spans="1:11" x14ac:dyDescent="0.35">
      <c r="A59" s="10">
        <v>45777</v>
      </c>
      <c r="B59" s="11" t="s">
        <v>25</v>
      </c>
      <c r="C59" s="12" t="s">
        <v>26</v>
      </c>
      <c r="D59" s="11" t="s">
        <v>27</v>
      </c>
      <c r="E59" s="13">
        <v>65510</v>
      </c>
      <c r="F59" s="7" t="s">
        <v>168</v>
      </c>
      <c r="G59" s="22">
        <f>VLOOKUP(E59,[1]Sheet1!$E:$G,3,FALSE)</f>
        <v>45838</v>
      </c>
      <c r="H59" t="str">
        <f>VLOOKUP(E59,[1]Sheet1!$E:$J,6,FALSE)</f>
        <v>Misc.Receipts</v>
      </c>
      <c r="I59" t="str">
        <f>VLOOKUP(E59,[1]Sheet1!$E:$M,8,FALSE)</f>
        <v>INCOME</v>
      </c>
      <c r="J59" t="str">
        <f>VLOOKUP(E59,[1]Sheet1!$E:$M,9,FALSE)</f>
        <v>INCOME</v>
      </c>
      <c r="K59" t="str">
        <f>VLOOKUP(E59,[1]Sheet1!$E:$N,10,FALSE)</f>
        <v>CHC</v>
      </c>
    </row>
    <row r="60" spans="1:11" x14ac:dyDescent="0.35">
      <c r="A60" s="10">
        <v>45838</v>
      </c>
      <c r="B60" s="11" t="s">
        <v>150</v>
      </c>
      <c r="C60" s="12" t="s">
        <v>151</v>
      </c>
      <c r="D60" s="11" t="s">
        <v>152</v>
      </c>
      <c r="E60" s="13">
        <v>-22928</v>
      </c>
      <c r="F60" s="7" t="s">
        <v>168</v>
      </c>
      <c r="G60" s="22">
        <f>VLOOKUP(E60,[1]Sheet1!$E:$G,3,FALSE)</f>
        <v>45838</v>
      </c>
      <c r="H60" t="str">
        <f>VLOOKUP(E60,[1]Sheet1!$E:$J,6,FALSE)</f>
        <v>Payment</v>
      </c>
      <c r="I60" t="str">
        <f>VLOOKUP(E60,[1]Sheet1!$E:$M,8,FALSE)</f>
        <v>Rent Expense</v>
      </c>
      <c r="J60" t="str">
        <f>VLOOKUP(E60,[1]Sheet1!$E:$M,9,FALSE)</f>
        <v>Rent Expense</v>
      </c>
      <c r="K60" t="str">
        <f>VLOOKUP(E60,[1]Sheet1!$E:$N,10,FALSE)</f>
        <v>CHC</v>
      </c>
    </row>
    <row r="61" spans="1:11" x14ac:dyDescent="0.35">
      <c r="A61" s="10">
        <v>45777</v>
      </c>
      <c r="B61" s="11" t="s">
        <v>28</v>
      </c>
      <c r="C61" s="12" t="s">
        <v>29</v>
      </c>
      <c r="D61" s="11" t="s">
        <v>30</v>
      </c>
      <c r="E61" s="13">
        <v>-8000</v>
      </c>
      <c r="F61" s="7" t="s">
        <v>168</v>
      </c>
      <c r="G61" s="22">
        <f>VLOOKUP(E61,[1]Sheet1!$E:$G,3,FALSE)</f>
        <v>45838</v>
      </c>
      <c r="H61" t="str">
        <f>VLOOKUP(E61,[1]Sheet1!$E:$J,6,FALSE)</f>
        <v>Payment</v>
      </c>
      <c r="I61" t="str">
        <f>VLOOKUP(E61,[1]Sheet1!$E:$M,8,FALSE)</f>
        <v>Rent Expense</v>
      </c>
      <c r="J61" t="str">
        <f>VLOOKUP(E61,[1]Sheet1!$E:$M,9,FALSE)</f>
        <v>Rent Expense</v>
      </c>
      <c r="K61" t="str">
        <f>VLOOKUP(E61,[1]Sheet1!$E:$N,10,FALSE)</f>
        <v>CHC</v>
      </c>
    </row>
    <row r="62" spans="1:11" x14ac:dyDescent="0.35">
      <c r="A62" s="6">
        <v>45777</v>
      </c>
      <c r="B62" s="7" t="s">
        <v>28</v>
      </c>
      <c r="C62" s="8" t="s">
        <v>29</v>
      </c>
      <c r="D62" s="7" t="s">
        <v>30</v>
      </c>
      <c r="E62" s="9">
        <v>-1550</v>
      </c>
      <c r="F62" s="7" t="s">
        <v>168</v>
      </c>
      <c r="G62" s="22">
        <f>VLOOKUP(E62,[1]Sheet1!$E:$G,3,FALSE)</f>
        <v>45596</v>
      </c>
      <c r="H62" t="str">
        <f>VLOOKUP(E62,[1]Sheet1!$E:$J,6,FALSE)</f>
        <v>PAYMENT</v>
      </c>
      <c r="I62" t="str">
        <f>VLOOKUP(E62,[1]Sheet1!$E:$M,8,FALSE)</f>
        <v>Salaries &amp; Wages</v>
      </c>
      <c r="J62" t="str">
        <f>VLOOKUP(E62,[1]Sheet1!$E:$M,9,FALSE)</f>
        <v>Salaries &amp; Wages</v>
      </c>
      <c r="K62" t="str">
        <f>VLOOKUP(E62,[1]Sheet1!$E:$N,10,FALSE)</f>
        <v>CHC</v>
      </c>
    </row>
    <row r="63" spans="1:11" x14ac:dyDescent="0.35">
      <c r="A63" s="6">
        <v>45777</v>
      </c>
      <c r="B63" s="7" t="s">
        <v>28</v>
      </c>
      <c r="C63" s="8" t="s">
        <v>29</v>
      </c>
      <c r="D63" s="7" t="s">
        <v>30</v>
      </c>
      <c r="E63" s="9">
        <v>-1000</v>
      </c>
      <c r="F63" s="7" t="s">
        <v>168</v>
      </c>
      <c r="G63" s="22">
        <f>VLOOKUP(E63,[1]Sheet1!$E:$G,3,FALSE)</f>
        <v>45826</v>
      </c>
      <c r="H63" t="str">
        <f>VLOOKUP(E63,[1]Sheet1!$E:$J,6,FALSE)</f>
        <v>Payment</v>
      </c>
      <c r="I63" t="str">
        <f>VLOOKUP(E63,[1]Sheet1!$E:$M,8,FALSE)</f>
        <v>Rent Expense</v>
      </c>
      <c r="J63" t="str">
        <f>VLOOKUP(E63,[1]Sheet1!$E:$M,9,FALSE)</f>
        <v>Rent Expense</v>
      </c>
      <c r="K63" t="str">
        <f>VLOOKUP(E63,[1]Sheet1!$E:$N,10,FALSE)</f>
        <v>CHC</v>
      </c>
    </row>
    <row r="64" spans="1:11" x14ac:dyDescent="0.35">
      <c r="A64" s="6">
        <v>45777</v>
      </c>
      <c r="B64" s="7" t="s">
        <v>28</v>
      </c>
      <c r="C64" s="8" t="s">
        <v>29</v>
      </c>
      <c r="D64" s="7" t="s">
        <v>30</v>
      </c>
      <c r="E64" s="9">
        <v>-798</v>
      </c>
      <c r="F64" s="7" t="s">
        <v>168</v>
      </c>
      <c r="G64" s="22">
        <f>VLOOKUP(E64,[1]Sheet1!$E:$G,3,FALSE)</f>
        <v>45803</v>
      </c>
      <c r="H64" t="str">
        <f>VLOOKUP(E64,[1]Sheet1!$E:$J,6,FALSE)</f>
        <v>Payment</v>
      </c>
      <c r="I64" t="str">
        <f>VLOOKUP(E64,[1]Sheet1!$E:$M,8,FALSE)</f>
        <v>General, Admin &amp; Marketing Expenses</v>
      </c>
      <c r="J64" t="str">
        <f>VLOOKUP(E64,[1]Sheet1!$E:$M,9,FALSE)</f>
        <v>Repair &amp; maintenance</v>
      </c>
      <c r="K64" t="str">
        <f>VLOOKUP(E64,[1]Sheet1!$E:$N,10,FALSE)</f>
        <v>CHC</v>
      </c>
    </row>
    <row r="65" spans="1:11" x14ac:dyDescent="0.35">
      <c r="A65" s="10">
        <v>45777</v>
      </c>
      <c r="B65" s="11" t="s">
        <v>28</v>
      </c>
      <c r="C65" s="12" t="s">
        <v>29</v>
      </c>
      <c r="D65" s="11" t="s">
        <v>30</v>
      </c>
      <c r="E65" s="13">
        <v>-140</v>
      </c>
      <c r="F65" s="7" t="s">
        <v>168</v>
      </c>
      <c r="G65" s="22">
        <f>VLOOKUP(E65,[1]Sheet1!$E:$G,3,FALSE)</f>
        <v>45779</v>
      </c>
      <c r="H65" t="str">
        <f>VLOOKUP(E65,[1]Sheet1!$E:$J,6,FALSE)</f>
        <v>Payment</v>
      </c>
      <c r="I65" t="str">
        <f>VLOOKUP(E65,[1]Sheet1!$E:$M,8,FALSE)</f>
        <v>Salaries &amp; Wages</v>
      </c>
      <c r="J65" t="str">
        <f>VLOOKUP(E65,[1]Sheet1!$E:$M,9,FALSE)</f>
        <v>Salaries &amp; Wages</v>
      </c>
      <c r="K65" t="str">
        <f>VLOOKUP(E65,[1]Sheet1!$E:$N,10,FALSE)</f>
        <v>CHC</v>
      </c>
    </row>
    <row r="66" spans="1:11" x14ac:dyDescent="0.35">
      <c r="A66" s="10">
        <v>45777</v>
      </c>
      <c r="B66" s="11" t="s">
        <v>28</v>
      </c>
      <c r="C66" s="12" t="s">
        <v>29</v>
      </c>
      <c r="D66" s="11" t="s">
        <v>30</v>
      </c>
      <c r="E66" s="13">
        <v>-70</v>
      </c>
      <c r="F66" s="7" t="s">
        <v>168</v>
      </c>
      <c r="G66" s="22">
        <f>VLOOKUP(E66,[1]Sheet1!$E:$G,3,FALSE)</f>
        <v>45825</v>
      </c>
      <c r="H66" t="str">
        <f>VLOOKUP(E66,[1]Sheet1!$E:$J,6,FALSE)</f>
        <v>Payment</v>
      </c>
      <c r="I66" t="str">
        <f>VLOOKUP(E66,[1]Sheet1!$E:$M,8,FALSE)</f>
        <v>Rent Expense</v>
      </c>
      <c r="J66" t="str">
        <f>VLOOKUP(E66,[1]Sheet1!$E:$M,9,FALSE)</f>
        <v>Rent Expense</v>
      </c>
      <c r="K66" t="str">
        <f>VLOOKUP(E66,[1]Sheet1!$E:$N,10,FALSE)</f>
        <v>CHC</v>
      </c>
    </row>
    <row r="67" spans="1:11" x14ac:dyDescent="0.35">
      <c r="A67" s="10">
        <v>45740</v>
      </c>
      <c r="B67" s="11" t="s">
        <v>14</v>
      </c>
      <c r="C67" s="12" t="s">
        <v>15</v>
      </c>
      <c r="D67" s="11" t="s">
        <v>16</v>
      </c>
      <c r="E67" s="13">
        <v>-2692311</v>
      </c>
      <c r="F67" s="11" t="s">
        <v>168</v>
      </c>
      <c r="G67" s="22">
        <f>VLOOKUP(E67,[1]Sheet1!$E:$G,3,FALSE)</f>
        <v>45743</v>
      </c>
      <c r="H67" t="str">
        <f>VLOOKUP(E67,[1]Sheet1!$E:$J,6,FALSE)</f>
        <v>Payment</v>
      </c>
      <c r="I67" t="str">
        <f>VLOOKUP(E67,[1]Sheet1!$E:$M,8,FALSE)</f>
        <v>Salaries &amp; Wages</v>
      </c>
      <c r="J67" t="str">
        <f>VLOOKUP(E67,[1]Sheet1!$E:$M,9,FALSE)</f>
        <v>Salaries &amp; Wages</v>
      </c>
      <c r="K67" t="str">
        <f>VLOOKUP(E67,[1]Sheet1!$E:$N,10,FALSE)</f>
        <v>CHC</v>
      </c>
    </row>
    <row r="68" spans="1:11" x14ac:dyDescent="0.35">
      <c r="A68" s="6">
        <v>45740</v>
      </c>
      <c r="B68" s="7" t="s">
        <v>17</v>
      </c>
      <c r="C68" s="8" t="s">
        <v>15</v>
      </c>
      <c r="D68" s="7" t="s">
        <v>18</v>
      </c>
      <c r="E68" s="9">
        <v>-151898</v>
      </c>
      <c r="F68" s="7" t="s">
        <v>168</v>
      </c>
      <c r="G68" s="22">
        <f>VLOOKUP(E68,[1]Sheet1!$E:$G,3,FALSE)</f>
        <v>45763</v>
      </c>
      <c r="H68" t="str">
        <f>VLOOKUP(E68,[1]Sheet1!$E:$J,6,FALSE)</f>
        <v>Payment</v>
      </c>
      <c r="I68" t="str">
        <f>VLOOKUP(E68,[1]Sheet1!$E:$M,8,FALSE)</f>
        <v>Salaries &amp; Wages</v>
      </c>
      <c r="J68" t="str">
        <f>VLOOKUP(E68,[1]Sheet1!$E:$M,9,FALSE)</f>
        <v>Salaries &amp; Wages</v>
      </c>
      <c r="K68" t="str">
        <f>VLOOKUP(E68,[1]Sheet1!$E:$N,10,FALSE)</f>
        <v>CHC</v>
      </c>
    </row>
    <row r="69" spans="1:11" x14ac:dyDescent="0.35">
      <c r="A69" s="6">
        <v>45716</v>
      </c>
      <c r="B69" s="7" t="s">
        <v>11</v>
      </c>
      <c r="C69" s="8" t="s">
        <v>12</v>
      </c>
      <c r="D69" s="7" t="s">
        <v>13</v>
      </c>
      <c r="E69" s="9">
        <v>-2514894</v>
      </c>
      <c r="F69" s="7" t="s">
        <v>168</v>
      </c>
      <c r="G69" s="22">
        <f>VLOOKUP(E69,[1]Sheet1!$E:$G,3,FALSE)</f>
        <v>45779</v>
      </c>
      <c r="H69" t="str">
        <f>VLOOKUP(E69,[1]Sheet1!$E:$J,6,FALSE)</f>
        <v>Payment</v>
      </c>
      <c r="I69" t="str">
        <f>VLOOKUP(E69,[1]Sheet1!$E:$M,8,FALSE)</f>
        <v>Salaries &amp; Wages</v>
      </c>
      <c r="J69" t="str">
        <f>VLOOKUP(E69,[1]Sheet1!$E:$M,9,FALSE)</f>
        <v>Salaries &amp; Wages</v>
      </c>
      <c r="K69" t="str">
        <f>VLOOKUP(E69,[1]Sheet1!$E:$N,10,FALSE)</f>
        <v>CHC</v>
      </c>
    </row>
    <row r="70" spans="1:11" x14ac:dyDescent="0.35">
      <c r="A70" s="6">
        <v>45782</v>
      </c>
      <c r="B70" s="7" t="s">
        <v>31</v>
      </c>
      <c r="C70" s="8" t="s">
        <v>32</v>
      </c>
      <c r="D70" s="7" t="s">
        <v>33</v>
      </c>
      <c r="E70" s="9">
        <v>-169263</v>
      </c>
      <c r="F70" s="7" t="s">
        <v>168</v>
      </c>
      <c r="G70" s="22">
        <f>VLOOKUP(E70,[1]Sheet1!$E:$G,3,FALSE)</f>
        <v>45800</v>
      </c>
      <c r="H70" t="str">
        <f>VLOOKUP(E70,[1]Sheet1!$E:$J,6,FALSE)</f>
        <v>Payment</v>
      </c>
      <c r="I70" t="str">
        <f>VLOOKUP(E70,[1]Sheet1!$E:$M,8,FALSE)</f>
        <v>Rent Expense</v>
      </c>
      <c r="J70" t="str">
        <f>VLOOKUP(E70,[1]Sheet1!$E:$M,9,FALSE)</f>
        <v>Rent Expense</v>
      </c>
      <c r="K70" t="str">
        <f>VLOOKUP(E70,[1]Sheet1!$E:$N,10,FALSE)</f>
        <v>CHC</v>
      </c>
    </row>
    <row r="71" spans="1:11" x14ac:dyDescent="0.35">
      <c r="A71" s="10">
        <v>45784</v>
      </c>
      <c r="B71" s="11" t="s">
        <v>34</v>
      </c>
      <c r="C71" s="12" t="s">
        <v>35</v>
      </c>
      <c r="D71" s="11" t="s">
        <v>36</v>
      </c>
      <c r="E71" s="13">
        <v>-25685</v>
      </c>
      <c r="F71" s="7" t="s">
        <v>168</v>
      </c>
      <c r="G71" s="22">
        <f>VLOOKUP(E71,[1]Sheet1!$E:$G,3,FALSE)</f>
        <v>45784</v>
      </c>
      <c r="H71" t="str">
        <f>VLOOKUP(E71,[1]Sheet1!$E:$J,6,FALSE)</f>
        <v>Payment</v>
      </c>
      <c r="I71" t="str">
        <f>VLOOKUP(E71,[1]Sheet1!$E:$M,8,FALSE)</f>
        <v>Salaries &amp; Wages</v>
      </c>
      <c r="J71" t="str">
        <f>VLOOKUP(E71,[1]Sheet1!$E:$M,9,FALSE)</f>
        <v>Salaries &amp; Wages</v>
      </c>
      <c r="K71" t="str">
        <f>VLOOKUP(E71,[1]Sheet1!$E:$N,10,FALSE)</f>
        <v>CHC</v>
      </c>
    </row>
    <row r="72" spans="1:11" x14ac:dyDescent="0.35">
      <c r="A72" s="10">
        <v>45789</v>
      </c>
      <c r="B72" s="11" t="s">
        <v>40</v>
      </c>
      <c r="C72" s="12" t="s">
        <v>41</v>
      </c>
      <c r="D72" s="11" t="s">
        <v>42</v>
      </c>
      <c r="E72" s="13">
        <v>-9000</v>
      </c>
      <c r="F72" s="7" t="s">
        <v>168</v>
      </c>
      <c r="G72" s="22">
        <f>VLOOKUP(E72,[1]Sheet1!$E:$G,3,FALSE)</f>
        <v>45789</v>
      </c>
      <c r="H72" t="str">
        <f>VLOOKUP(E72,[1]Sheet1!$E:$J,6,FALSE)</f>
        <v>Payment</v>
      </c>
      <c r="I72" t="str">
        <f>VLOOKUP(E72,[1]Sheet1!$E:$M,8,FALSE)</f>
        <v>General, Admin &amp; Marketing Expenses</v>
      </c>
      <c r="J72" t="str">
        <f>VLOOKUP(E72,[1]Sheet1!$E:$M,9,FALSE)</f>
        <v>Fee Share</v>
      </c>
      <c r="K72" t="str">
        <f>VLOOKUP(E72,[1]Sheet1!$E:$N,10,FALSE)</f>
        <v>CHC</v>
      </c>
    </row>
    <row r="73" spans="1:11" x14ac:dyDescent="0.35">
      <c r="A73" s="6">
        <v>45786</v>
      </c>
      <c r="B73" s="7" t="s">
        <v>37</v>
      </c>
      <c r="C73" s="8" t="s">
        <v>38</v>
      </c>
      <c r="D73" s="7" t="s">
        <v>39</v>
      </c>
      <c r="E73" s="9">
        <v>-3240</v>
      </c>
      <c r="F73" s="7" t="s">
        <v>168</v>
      </c>
      <c r="G73" s="22">
        <f>VLOOKUP(E73,[1]Sheet1!$E:$G,3,FALSE)</f>
        <v>45786</v>
      </c>
      <c r="H73" t="str">
        <f>VLOOKUP(E73,[1]Sheet1!$E:$J,6,FALSE)</f>
        <v>PAYMENT</v>
      </c>
      <c r="I73" t="str">
        <f>VLOOKUP(E73,[1]Sheet1!$E:$M,8,FALSE)</f>
        <v>Intercompany Loan</v>
      </c>
      <c r="J73" t="str">
        <f>VLOOKUP(E73,[1]Sheet1!$E:$M,9,FALSE)</f>
        <v>Intercompany Loan</v>
      </c>
      <c r="K73" t="str">
        <f>VLOOKUP(E73,[1]Sheet1!$E:$N,10,FALSE)</f>
        <v>CHC</v>
      </c>
    </row>
    <row r="74" spans="1:11" x14ac:dyDescent="0.35">
      <c r="A74" s="6">
        <v>45790</v>
      </c>
      <c r="B74" s="7" t="s">
        <v>43</v>
      </c>
      <c r="C74" s="8" t="s">
        <v>44</v>
      </c>
      <c r="D74" s="7" t="s">
        <v>45</v>
      </c>
      <c r="E74" s="9">
        <v>-10525</v>
      </c>
      <c r="F74" s="7" t="s">
        <v>168</v>
      </c>
      <c r="G74" s="22">
        <f>VLOOKUP(E74,[1]Sheet1!$E:$G,3,FALSE)</f>
        <v>45790</v>
      </c>
      <c r="H74" t="str">
        <f>VLOOKUP(E74,[1]Sheet1!$E:$J,6,FALSE)</f>
        <v>Payment</v>
      </c>
      <c r="I74" t="str">
        <f>VLOOKUP(E74,[1]Sheet1!$E:$M,8,FALSE)</f>
        <v>Rent Expense</v>
      </c>
      <c r="J74" t="str">
        <f>VLOOKUP(E74,[1]Sheet1!$E:$M,9,FALSE)</f>
        <v>Rent Expense</v>
      </c>
      <c r="K74" t="str">
        <f>VLOOKUP(E74,[1]Sheet1!$E:$N,10,FALSE)</f>
        <v>CHC</v>
      </c>
    </row>
    <row r="75" spans="1:11" x14ac:dyDescent="0.35">
      <c r="A75" s="10">
        <v>45797</v>
      </c>
      <c r="B75" s="11" t="s">
        <v>55</v>
      </c>
      <c r="C75" s="12" t="s">
        <v>56</v>
      </c>
      <c r="D75" s="11" t="s">
        <v>57</v>
      </c>
      <c r="E75" s="13">
        <v>-65000</v>
      </c>
      <c r="F75" s="7" t="s">
        <v>168</v>
      </c>
      <c r="G75" s="22">
        <f>VLOOKUP(E75,[1]Sheet1!$E:$G,3,FALSE)</f>
        <v>45810</v>
      </c>
      <c r="H75" t="str">
        <f>VLOOKUP(E75,[1]Sheet1!$E:$J,6,FALSE)</f>
        <v>Payment</v>
      </c>
      <c r="I75" t="str">
        <f>VLOOKUP(E75,[1]Sheet1!$E:$M,8,FALSE)</f>
        <v>Rent Expense</v>
      </c>
      <c r="J75" t="str">
        <f>VLOOKUP(E75,[1]Sheet1!$E:$M,9,FALSE)</f>
        <v>Rent Expense</v>
      </c>
      <c r="K75" t="str">
        <f>VLOOKUP(E75,[1]Sheet1!$E:$N,10,FALSE)</f>
        <v>CHC</v>
      </c>
    </row>
    <row r="76" spans="1:11" x14ac:dyDescent="0.35">
      <c r="A76" s="10">
        <v>45798</v>
      </c>
      <c r="B76" s="11" t="s">
        <v>61</v>
      </c>
      <c r="C76" s="12" t="s">
        <v>62</v>
      </c>
      <c r="D76" s="11" t="s">
        <v>63</v>
      </c>
      <c r="E76" s="13">
        <v>-484210</v>
      </c>
      <c r="F76" s="7" t="s">
        <v>168</v>
      </c>
      <c r="G76" s="22">
        <f>VLOOKUP(E76,[1]Sheet1!$E:$G,3,FALSE)</f>
        <v>45826</v>
      </c>
      <c r="H76" t="str">
        <f>VLOOKUP(E76,[1]Sheet1!$E:$J,6,FALSE)</f>
        <v>Payment</v>
      </c>
      <c r="I76" t="str">
        <f>VLOOKUP(E76,[1]Sheet1!$E:$M,8,FALSE)</f>
        <v>Rent Expense</v>
      </c>
      <c r="J76" t="str">
        <f>VLOOKUP(E76,[1]Sheet1!$E:$M,9,FALSE)</f>
        <v>Rent Expense</v>
      </c>
      <c r="K76" t="str">
        <f>VLOOKUP(E76,[1]Sheet1!$E:$N,10,FALSE)</f>
        <v>CHC</v>
      </c>
    </row>
    <row r="77" spans="1:11" x14ac:dyDescent="0.35">
      <c r="A77" s="10">
        <v>45801</v>
      </c>
      <c r="B77" s="11" t="s">
        <v>73</v>
      </c>
      <c r="C77" s="12" t="s">
        <v>74</v>
      </c>
      <c r="D77" s="11" t="s">
        <v>75</v>
      </c>
      <c r="E77" s="13">
        <v>-690000</v>
      </c>
      <c r="F77" s="7" t="s">
        <v>168</v>
      </c>
      <c r="G77" s="22">
        <f>VLOOKUP(E77,[1]Sheet1!$E:$G,3,FALSE)</f>
        <v>45828</v>
      </c>
      <c r="H77" t="str">
        <f>VLOOKUP(E77,[1]Sheet1!$E:$J,6,FALSE)</f>
        <v>Payment</v>
      </c>
      <c r="I77" t="str">
        <f>VLOOKUP(E77,[1]Sheet1!$E:$M,8,FALSE)</f>
        <v>Rent Expense</v>
      </c>
      <c r="J77" t="str">
        <f>VLOOKUP(E77,[1]Sheet1!$E:$M,9,FALSE)</f>
        <v>Rent Expense</v>
      </c>
      <c r="K77" t="str">
        <f>VLOOKUP(E77,[1]Sheet1!$E:$N,10,FALSE)</f>
        <v>CHC</v>
      </c>
    </row>
    <row r="78" spans="1:11" x14ac:dyDescent="0.35">
      <c r="A78" s="6">
        <v>45801</v>
      </c>
      <c r="B78" s="7" t="s">
        <v>76</v>
      </c>
      <c r="C78" s="8" t="s">
        <v>77</v>
      </c>
      <c r="D78" s="7" t="s">
        <v>78</v>
      </c>
      <c r="E78" s="9">
        <v>-132964</v>
      </c>
      <c r="F78" s="7" t="s">
        <v>168</v>
      </c>
      <c r="G78" s="22">
        <f>VLOOKUP(E78,[1]Sheet1!$E:$G,3,FALSE)</f>
        <v>45803</v>
      </c>
      <c r="H78" t="str">
        <f>VLOOKUP(E78,[1]Sheet1!$E:$J,6,FALSE)</f>
        <v>Payment</v>
      </c>
      <c r="I78" t="str">
        <f>VLOOKUP(E78,[1]Sheet1!$E:$M,8,FALSE)</f>
        <v>General, Admin &amp; Marketing Expenses</v>
      </c>
      <c r="J78" t="str">
        <f>VLOOKUP(E78,[1]Sheet1!$E:$M,9,FALSE)</f>
        <v>Lab Equipment</v>
      </c>
      <c r="K78" t="str">
        <f>VLOOKUP(E78,[1]Sheet1!$E:$N,10,FALSE)</f>
        <v>CHC</v>
      </c>
    </row>
    <row r="79" spans="1:11" x14ac:dyDescent="0.35">
      <c r="A79" s="10">
        <v>45801</v>
      </c>
      <c r="B79" s="11" t="s">
        <v>79</v>
      </c>
      <c r="C79" s="12" t="s">
        <v>80</v>
      </c>
      <c r="D79" s="11" t="s">
        <v>81</v>
      </c>
      <c r="E79" s="13">
        <v>-504000</v>
      </c>
      <c r="F79" s="7" t="s">
        <v>168</v>
      </c>
      <c r="G79" s="22">
        <f>VLOOKUP(E79,[1]Sheet1!$E:$G,3,FALSE)</f>
        <v>45826</v>
      </c>
      <c r="H79" t="str">
        <f>VLOOKUP(E79,[1]Sheet1!$E:$J,6,FALSE)</f>
        <v>Payment</v>
      </c>
      <c r="I79" t="str">
        <f>VLOOKUP(E79,[1]Sheet1!$E:$M,8,FALSE)</f>
        <v>Rent Expense</v>
      </c>
      <c r="J79" t="str">
        <f>VLOOKUP(E79,[1]Sheet1!$E:$M,9,FALSE)</f>
        <v>Rent Expense</v>
      </c>
      <c r="K79" t="str">
        <f>VLOOKUP(E79,[1]Sheet1!$E:$N,10,FALSE)</f>
        <v>CHC</v>
      </c>
    </row>
    <row r="80" spans="1:11" x14ac:dyDescent="0.35">
      <c r="A80" s="6">
        <v>45801</v>
      </c>
      <c r="B80" s="7" t="s">
        <v>82</v>
      </c>
      <c r="C80" s="8" t="s">
        <v>80</v>
      </c>
      <c r="D80" s="7" t="s">
        <v>83</v>
      </c>
      <c r="E80" s="9">
        <v>-504000</v>
      </c>
      <c r="F80" s="7" t="s">
        <v>168</v>
      </c>
      <c r="G80" s="22">
        <f>VLOOKUP(E80,[1]Sheet1!$E:$G,3,FALSE)</f>
        <v>45826</v>
      </c>
      <c r="H80" t="str">
        <f>VLOOKUP(E80,[1]Sheet1!$E:$J,6,FALSE)</f>
        <v>Payment</v>
      </c>
      <c r="I80" t="str">
        <f>VLOOKUP(E80,[1]Sheet1!$E:$M,8,FALSE)</f>
        <v>Rent Expense</v>
      </c>
      <c r="J80" t="str">
        <f>VLOOKUP(E80,[1]Sheet1!$E:$M,9,FALSE)</f>
        <v>Rent Expense</v>
      </c>
      <c r="K80" t="str">
        <f>VLOOKUP(E80,[1]Sheet1!$E:$N,10,FALSE)</f>
        <v>CHC</v>
      </c>
    </row>
    <row r="81" spans="1:11" x14ac:dyDescent="0.35">
      <c r="A81" s="10">
        <v>45801</v>
      </c>
      <c r="B81" s="11" t="s">
        <v>84</v>
      </c>
      <c r="C81" s="12" t="s">
        <v>80</v>
      </c>
      <c r="D81" s="11" t="s">
        <v>85</v>
      </c>
      <c r="E81" s="13">
        <v>-84000</v>
      </c>
      <c r="F81" s="7" t="s">
        <v>168</v>
      </c>
      <c r="G81" s="22">
        <f>VLOOKUP(E81,[1]Sheet1!$E:$G,3,FALSE)</f>
        <v>45827</v>
      </c>
      <c r="H81" t="str">
        <f>VLOOKUP(E81,[1]Sheet1!$E:$J,6,FALSE)</f>
        <v>Payment</v>
      </c>
      <c r="I81" t="str">
        <f>VLOOKUP(E81,[1]Sheet1!$E:$M,8,FALSE)</f>
        <v>Rent Expense</v>
      </c>
      <c r="J81" t="str">
        <f>VLOOKUP(E81,[1]Sheet1!$E:$M,9,FALSE)</f>
        <v>Rent Expense</v>
      </c>
      <c r="K81" t="str">
        <f>VLOOKUP(E81,[1]Sheet1!$E:$N,10,FALSE)</f>
        <v>CHC</v>
      </c>
    </row>
    <row r="82" spans="1:11" x14ac:dyDescent="0.35">
      <c r="A82" s="6">
        <v>45801</v>
      </c>
      <c r="B82" s="7" t="s">
        <v>86</v>
      </c>
      <c r="C82" s="8" t="s">
        <v>80</v>
      </c>
      <c r="D82" s="7" t="s">
        <v>87</v>
      </c>
      <c r="E82" s="9">
        <v>-84000</v>
      </c>
      <c r="F82" s="7" t="s">
        <v>168</v>
      </c>
      <c r="G82" s="22">
        <f>VLOOKUP(E82,[1]Sheet1!$E:$G,3,FALSE)</f>
        <v>45827</v>
      </c>
      <c r="H82" t="str">
        <f>VLOOKUP(E82,[1]Sheet1!$E:$J,6,FALSE)</f>
        <v>Payment</v>
      </c>
      <c r="I82" t="str">
        <f>VLOOKUP(E82,[1]Sheet1!$E:$M,8,FALSE)</f>
        <v>Rent Expense</v>
      </c>
      <c r="J82" t="str">
        <f>VLOOKUP(E82,[1]Sheet1!$E:$M,9,FALSE)</f>
        <v>Rent Expense</v>
      </c>
      <c r="K82" t="str">
        <f>VLOOKUP(E82,[1]Sheet1!$E:$N,10,FALSE)</f>
        <v>CHC</v>
      </c>
    </row>
    <row r="83" spans="1:11" x14ac:dyDescent="0.35">
      <c r="A83" s="10">
        <v>45801</v>
      </c>
      <c r="B83" s="11" t="s">
        <v>88</v>
      </c>
      <c r="C83" s="12" t="s">
        <v>80</v>
      </c>
      <c r="D83" s="11" t="s">
        <v>89</v>
      </c>
      <c r="E83" s="13">
        <v>-84000</v>
      </c>
      <c r="F83" s="7" t="s">
        <v>168</v>
      </c>
      <c r="G83" s="22">
        <f>VLOOKUP(E83,[1]Sheet1!$E:$G,3,FALSE)</f>
        <v>45827</v>
      </c>
      <c r="H83" t="str">
        <f>VLOOKUP(E83,[1]Sheet1!$E:$J,6,FALSE)</f>
        <v>Payment</v>
      </c>
      <c r="I83" t="str">
        <f>VLOOKUP(E83,[1]Sheet1!$E:$M,8,FALSE)</f>
        <v>Rent Expense</v>
      </c>
      <c r="J83" t="str">
        <f>VLOOKUP(E83,[1]Sheet1!$E:$M,9,FALSE)</f>
        <v>Rent Expense</v>
      </c>
      <c r="K83" t="str">
        <f>VLOOKUP(E83,[1]Sheet1!$E:$N,10,FALSE)</f>
        <v>CHC</v>
      </c>
    </row>
    <row r="84" spans="1:11" x14ac:dyDescent="0.35">
      <c r="A84" s="10">
        <v>45808</v>
      </c>
      <c r="B84" s="11" t="s">
        <v>104</v>
      </c>
      <c r="C84" s="12" t="s">
        <v>105</v>
      </c>
      <c r="D84" s="11" t="s">
        <v>106</v>
      </c>
      <c r="E84" s="13">
        <v>-166440</v>
      </c>
      <c r="F84" s="7" t="s">
        <v>168</v>
      </c>
      <c r="G84" s="22">
        <f>VLOOKUP(E84,[1]Sheet1!$E:$G,3,FALSE)</f>
        <v>45833</v>
      </c>
      <c r="H84" t="str">
        <f>VLOOKUP(E84,[1]Sheet1!$E:$J,6,FALSE)</f>
        <v>Payment</v>
      </c>
      <c r="I84" t="str">
        <f>VLOOKUP(E84,[1]Sheet1!$E:$M,8,FALSE)</f>
        <v>Rent Expense</v>
      </c>
      <c r="J84" t="str">
        <f>VLOOKUP(E84,[1]Sheet1!$E:$M,9,FALSE)</f>
        <v>Rent Expense</v>
      </c>
      <c r="K84" t="str">
        <f>VLOOKUP(E84,[1]Sheet1!$E:$N,10,FALSE)</f>
        <v>CHC</v>
      </c>
    </row>
    <row r="85" spans="1:11" x14ac:dyDescent="0.35">
      <c r="A85" s="10">
        <v>45803</v>
      </c>
      <c r="B85" s="11" t="s">
        <v>93</v>
      </c>
      <c r="C85" s="12" t="s">
        <v>80</v>
      </c>
      <c r="D85" s="11" t="s">
        <v>94</v>
      </c>
      <c r="E85" s="13">
        <v>-2055</v>
      </c>
      <c r="F85" s="7" t="s">
        <v>168</v>
      </c>
      <c r="G85" s="22">
        <f>VLOOKUP(E85,[1]Sheet1!$E:$G,3,FALSE)</f>
        <v>45804</v>
      </c>
      <c r="H85" t="str">
        <f>VLOOKUP(E85,[1]Sheet1!$E:$J,6,FALSE)</f>
        <v>Payment</v>
      </c>
      <c r="I85" t="str">
        <f>VLOOKUP(E85,[1]Sheet1!$E:$M,8,FALSE)</f>
        <v>Rent Expense</v>
      </c>
      <c r="J85" t="str">
        <f>VLOOKUP(E85,[1]Sheet1!$E:$M,9,FALSE)</f>
        <v>Rent Expense</v>
      </c>
      <c r="K85" t="str">
        <f>VLOOKUP(E85,[1]Sheet1!$E:$N,10,FALSE)</f>
        <v>CHC</v>
      </c>
    </row>
    <row r="86" spans="1:11" x14ac:dyDescent="0.35">
      <c r="A86" s="6">
        <v>45808</v>
      </c>
      <c r="B86" s="7" t="s">
        <v>107</v>
      </c>
      <c r="C86" s="8" t="s">
        <v>108</v>
      </c>
      <c r="D86" s="7" t="s">
        <v>109</v>
      </c>
      <c r="E86" s="9">
        <v>-2353627</v>
      </c>
      <c r="F86" s="7" t="s">
        <v>168</v>
      </c>
      <c r="G86" s="22">
        <f>VLOOKUP(E86,[1]Sheet1!$E:$G,3,FALSE)</f>
        <v>45811</v>
      </c>
      <c r="H86" t="str">
        <f>VLOOKUP(E86,[1]Sheet1!$E:$J,6,FALSE)</f>
        <v>Payment</v>
      </c>
      <c r="I86" t="str">
        <f>VLOOKUP(E86,[1]Sheet1!$E:$M,8,FALSE)</f>
        <v>Rent Expense</v>
      </c>
      <c r="J86" t="str">
        <f>VLOOKUP(E86,[1]Sheet1!$E:$M,9,FALSE)</f>
        <v>Rent Expense</v>
      </c>
      <c r="K86" t="str">
        <f>VLOOKUP(E86,[1]Sheet1!$E:$N,10,FALSE)</f>
        <v>CHC</v>
      </c>
    </row>
    <row r="87" spans="1:11" x14ac:dyDescent="0.35">
      <c r="A87" s="10">
        <v>45810</v>
      </c>
      <c r="B87" s="11" t="s">
        <v>110</v>
      </c>
      <c r="C87" s="12" t="s">
        <v>80</v>
      </c>
      <c r="D87" s="11" t="s">
        <v>111</v>
      </c>
      <c r="E87" s="13">
        <v>-26881</v>
      </c>
      <c r="F87" s="7" t="s">
        <v>168</v>
      </c>
      <c r="G87" s="22">
        <f>VLOOKUP(E87,[1]Sheet1!$E:$G,3,FALSE)</f>
        <v>45812</v>
      </c>
      <c r="H87" t="str">
        <f>VLOOKUP(E87,[1]Sheet1!$E:$J,6,FALSE)</f>
        <v>Payment</v>
      </c>
      <c r="I87" t="str">
        <f>VLOOKUP(E87,[1]Sheet1!$E:$M,8,FALSE)</f>
        <v>Rent Expense</v>
      </c>
      <c r="J87" t="str">
        <f>VLOOKUP(E87,[1]Sheet1!$E:$M,9,FALSE)</f>
        <v>Rent Expense</v>
      </c>
      <c r="K87" t="str">
        <f>VLOOKUP(E87,[1]Sheet1!$E:$N,10,FALSE)</f>
        <v>CHC</v>
      </c>
    </row>
    <row r="88" spans="1:11" x14ac:dyDescent="0.35">
      <c r="A88" s="6">
        <v>45812</v>
      </c>
      <c r="B88" s="7" t="s">
        <v>112</v>
      </c>
      <c r="C88" s="8" t="s">
        <v>80</v>
      </c>
      <c r="D88" s="7" t="s">
        <v>113</v>
      </c>
      <c r="E88" s="9">
        <v>-90000</v>
      </c>
      <c r="F88" s="7" t="s">
        <v>168</v>
      </c>
      <c r="G88" s="22">
        <f>VLOOKUP(E88,[1]Sheet1!$E:$G,3,FALSE)</f>
        <v>45824</v>
      </c>
      <c r="H88" t="str">
        <f>VLOOKUP(E88,[1]Sheet1!$E:$J,6,FALSE)</f>
        <v>Payment</v>
      </c>
      <c r="I88" t="str">
        <f>VLOOKUP(E88,[1]Sheet1!$E:$M,8,FALSE)</f>
        <v>Rent Expense</v>
      </c>
      <c r="J88" t="str">
        <f>VLOOKUP(E88,[1]Sheet1!$E:$M,9,FALSE)</f>
        <v>Rent Expense</v>
      </c>
      <c r="K88" t="str">
        <f>VLOOKUP(E88,[1]Sheet1!$E:$N,10,FALSE)</f>
        <v>CHC</v>
      </c>
    </row>
    <row r="89" spans="1:11" x14ac:dyDescent="0.35">
      <c r="A89" s="10">
        <v>45812</v>
      </c>
      <c r="B89" s="11" t="s">
        <v>114</v>
      </c>
      <c r="C89" s="12" t="s">
        <v>80</v>
      </c>
      <c r="D89" s="11" t="s">
        <v>115</v>
      </c>
      <c r="E89" s="13">
        <v>-120000</v>
      </c>
      <c r="F89" s="7" t="s">
        <v>168</v>
      </c>
      <c r="G89" s="22">
        <f>VLOOKUP(E89,[1]Sheet1!$E:$G,3,FALSE)</f>
        <v>45820</v>
      </c>
      <c r="H89" t="str">
        <f>VLOOKUP(E89,[1]Sheet1!$E:$J,6,FALSE)</f>
        <v>Payment</v>
      </c>
      <c r="I89" t="str">
        <f>VLOOKUP(E89,[1]Sheet1!$E:$M,8,FALSE)</f>
        <v>Rent Expense</v>
      </c>
      <c r="J89" t="str">
        <f>VLOOKUP(E89,[1]Sheet1!$E:$M,9,FALSE)</f>
        <v>Rent Expense</v>
      </c>
      <c r="K89" t="str">
        <f>VLOOKUP(E89,[1]Sheet1!$E:$N,10,FALSE)</f>
        <v>CHC</v>
      </c>
    </row>
    <row r="90" spans="1:11" x14ac:dyDescent="0.35">
      <c r="A90" s="6">
        <v>45812</v>
      </c>
      <c r="B90" s="7" t="s">
        <v>116</v>
      </c>
      <c r="C90" s="8" t="s">
        <v>80</v>
      </c>
      <c r="D90" s="7" t="s">
        <v>117</v>
      </c>
      <c r="E90" s="9">
        <v>-120000</v>
      </c>
      <c r="F90" s="7" t="s">
        <v>168</v>
      </c>
      <c r="G90" s="22">
        <f>VLOOKUP(E90,[1]Sheet1!$E:$G,3,FALSE)</f>
        <v>45820</v>
      </c>
      <c r="H90" t="str">
        <f>VLOOKUP(E90,[1]Sheet1!$E:$J,6,FALSE)</f>
        <v>Payment</v>
      </c>
      <c r="I90" t="str">
        <f>VLOOKUP(E90,[1]Sheet1!$E:$M,8,FALSE)</f>
        <v>Rent Expense</v>
      </c>
      <c r="J90" t="str">
        <f>VLOOKUP(E90,[1]Sheet1!$E:$M,9,FALSE)</f>
        <v>Rent Expense</v>
      </c>
      <c r="K90" t="str">
        <f>VLOOKUP(E90,[1]Sheet1!$E:$N,10,FALSE)</f>
        <v>CHC</v>
      </c>
    </row>
    <row r="91" spans="1:11" x14ac:dyDescent="0.35">
      <c r="A91" s="10">
        <v>45812</v>
      </c>
      <c r="B91" s="11" t="s">
        <v>118</v>
      </c>
      <c r="C91" s="12" t="s">
        <v>80</v>
      </c>
      <c r="D91" s="11" t="s">
        <v>119</v>
      </c>
      <c r="E91" s="13">
        <v>-120000</v>
      </c>
      <c r="F91" s="7" t="s">
        <v>168</v>
      </c>
      <c r="G91" s="21">
        <v>45840</v>
      </c>
      <c r="H91" t="str">
        <f>VLOOKUP(E91,[1]Sheet1!$E:$J,6,FALSE)</f>
        <v>Payment</v>
      </c>
      <c r="I91" t="str">
        <f>VLOOKUP(E91,[1]Sheet1!$E:$M,8,FALSE)</f>
        <v>Rent Expense</v>
      </c>
      <c r="J91" t="str">
        <f>VLOOKUP(E91,[1]Sheet1!$E:$M,9,FALSE)</f>
        <v>Rent Expense</v>
      </c>
      <c r="K91" t="str">
        <f>VLOOKUP(E91,[1]Sheet1!$E:$N,10,FALSE)</f>
        <v>CHC</v>
      </c>
    </row>
    <row r="92" spans="1:11" x14ac:dyDescent="0.35">
      <c r="A92" s="6">
        <v>45819</v>
      </c>
      <c r="B92" s="7" t="s">
        <v>120</v>
      </c>
      <c r="C92" s="8" t="s">
        <v>80</v>
      </c>
      <c r="D92" s="7" t="s">
        <v>121</v>
      </c>
      <c r="E92" s="9">
        <v>-3220</v>
      </c>
      <c r="F92" s="7" t="s">
        <v>168</v>
      </c>
      <c r="G92" s="22">
        <f>VLOOKUP(E92,[1]Sheet1!$E:$G,3,FALSE)</f>
        <v>45820</v>
      </c>
      <c r="H92" t="str">
        <f>VLOOKUP(E92,[1]Sheet1!$E:$J,6,FALSE)</f>
        <v>Payment</v>
      </c>
      <c r="I92" t="str">
        <f>VLOOKUP(E92,[1]Sheet1!$E:$M,8,FALSE)</f>
        <v>Rent Expense</v>
      </c>
      <c r="J92" t="str">
        <f>VLOOKUP(E92,[1]Sheet1!$E:$M,9,FALSE)</f>
        <v>Rent Expense</v>
      </c>
      <c r="K92" t="str">
        <f>VLOOKUP(E92,[1]Sheet1!$E:$N,10,FALSE)</f>
        <v>CHC</v>
      </c>
    </row>
    <row r="93" spans="1:11" x14ac:dyDescent="0.35">
      <c r="A93" s="10">
        <v>45819</v>
      </c>
      <c r="B93" s="11" t="s">
        <v>122</v>
      </c>
      <c r="C93" s="12" t="s">
        <v>123</v>
      </c>
      <c r="D93" s="11" t="s">
        <v>124</v>
      </c>
      <c r="E93" s="13">
        <v>-10525</v>
      </c>
      <c r="F93" s="7" t="s">
        <v>168</v>
      </c>
      <c r="G93" s="22">
        <f>VLOOKUP(E93,[1]Sheet1!$E:$G,3,FALSE)</f>
        <v>45790</v>
      </c>
      <c r="H93" t="str">
        <f>VLOOKUP(E93,[1]Sheet1!$E:$J,6,FALSE)</f>
        <v>Payment</v>
      </c>
      <c r="I93" t="str">
        <f>VLOOKUP(E93,[1]Sheet1!$E:$M,8,FALSE)</f>
        <v>Rent Expense</v>
      </c>
      <c r="J93" t="str">
        <f>VLOOKUP(E93,[1]Sheet1!$E:$M,9,FALSE)</f>
        <v>Rent Expense</v>
      </c>
      <c r="K93" t="str">
        <f>VLOOKUP(E93,[1]Sheet1!$E:$N,10,FALSE)</f>
        <v>CHC</v>
      </c>
    </row>
    <row r="94" spans="1:11" x14ac:dyDescent="0.35">
      <c r="A94" s="6">
        <v>45819</v>
      </c>
      <c r="B94" s="7" t="s">
        <v>125</v>
      </c>
      <c r="C94" s="8" t="s">
        <v>80</v>
      </c>
      <c r="D94" s="7" t="s">
        <v>126</v>
      </c>
      <c r="E94" s="9">
        <v>-12052</v>
      </c>
      <c r="F94" s="7" t="s">
        <v>168</v>
      </c>
      <c r="G94" s="22">
        <f>VLOOKUP(E94,[1]Sheet1!$E:$G,3,FALSE)</f>
        <v>45825</v>
      </c>
      <c r="H94" t="str">
        <f>VLOOKUP(E94,[1]Sheet1!$E:$J,6,FALSE)</f>
        <v>Payment</v>
      </c>
      <c r="I94" t="str">
        <f>VLOOKUP(E94,[1]Sheet1!$E:$M,8,FALSE)</f>
        <v>Rent Expense</v>
      </c>
      <c r="J94" t="str">
        <f>VLOOKUP(E94,[1]Sheet1!$E:$M,9,FALSE)</f>
        <v>Rent Expense</v>
      </c>
      <c r="K94" t="str">
        <f>VLOOKUP(E94,[1]Sheet1!$E:$N,10,FALSE)</f>
        <v>CHC</v>
      </c>
    </row>
    <row r="95" spans="1:11" x14ac:dyDescent="0.35">
      <c r="A95" s="10">
        <v>45819</v>
      </c>
      <c r="B95" s="11" t="s">
        <v>127</v>
      </c>
      <c r="C95" s="12" t="s">
        <v>128</v>
      </c>
      <c r="D95" s="11" t="s">
        <v>129</v>
      </c>
      <c r="E95" s="13">
        <v>-400000</v>
      </c>
      <c r="F95" s="7" t="s">
        <v>168</v>
      </c>
      <c r="G95" s="22">
        <f>VLOOKUP(E95,[1]Sheet1!$E:$G,3,FALSE)</f>
        <v>45820</v>
      </c>
      <c r="H95" t="str">
        <f>VLOOKUP(E95,[1]Sheet1!$E:$J,6,FALSE)</f>
        <v>Payment</v>
      </c>
      <c r="I95" t="str">
        <f>VLOOKUP(E95,[1]Sheet1!$E:$M,8,FALSE)</f>
        <v>Rent Expense</v>
      </c>
      <c r="J95" t="str">
        <f>VLOOKUP(E95,[1]Sheet1!$E:$M,9,FALSE)</f>
        <v>Rent Expense</v>
      </c>
      <c r="K95" t="str">
        <f>VLOOKUP(E95,[1]Sheet1!$E:$N,10,FALSE)</f>
        <v>CHC</v>
      </c>
    </row>
    <row r="96" spans="1:11" x14ac:dyDescent="0.35">
      <c r="A96" s="10">
        <v>45827</v>
      </c>
      <c r="B96" s="11" t="s">
        <v>139</v>
      </c>
      <c r="C96" s="12" t="s">
        <v>140</v>
      </c>
      <c r="D96" s="11" t="s">
        <v>141</v>
      </c>
      <c r="E96" s="13">
        <v>-287564</v>
      </c>
      <c r="F96" s="7" t="s">
        <v>168</v>
      </c>
      <c r="G96" s="21">
        <v>45846</v>
      </c>
      <c r="H96" t="str">
        <f>VLOOKUP(E96,[1]Sheet1!$E:$J,6,FALSE)</f>
        <v>Payment</v>
      </c>
      <c r="I96" t="str">
        <f>VLOOKUP(E96,[1]Sheet1!$E:$M,8,FALSE)</f>
        <v>General, Admin &amp; Marketing Expenses</v>
      </c>
      <c r="J96" t="str">
        <f>VLOOKUP(E96,[1]Sheet1!$E:$M,9,FALSE)</f>
        <v>Books</v>
      </c>
      <c r="K96" t="str">
        <f>VLOOKUP(E96,[1]Sheet1!$E:$N,10,FALSE)</f>
        <v>CHC</v>
      </c>
    </row>
    <row r="97" spans="1:11" x14ac:dyDescent="0.35">
      <c r="A97" s="6">
        <v>45829</v>
      </c>
      <c r="B97" s="7" t="s">
        <v>142</v>
      </c>
      <c r="C97" s="8" t="s">
        <v>80</v>
      </c>
      <c r="D97" s="7" t="s">
        <v>143</v>
      </c>
      <c r="E97" s="9">
        <v>-170115</v>
      </c>
      <c r="F97" s="7" t="s">
        <v>168</v>
      </c>
      <c r="G97" s="22">
        <f>VLOOKUP(E97,[1]Sheet1!$E:$G,3,FALSE)</f>
        <v>45831</v>
      </c>
      <c r="H97" t="str">
        <f>VLOOKUP(E97,[1]Sheet1!$E:$J,6,FALSE)</f>
        <v>Payment</v>
      </c>
      <c r="I97" t="str">
        <f>VLOOKUP(E97,[1]Sheet1!$E:$M,8,FALSE)</f>
        <v>Rent Expense</v>
      </c>
      <c r="J97" t="str">
        <f>VLOOKUP(E97,[1]Sheet1!$E:$M,9,FALSE)</f>
        <v>Rent Expense</v>
      </c>
      <c r="K97" t="str">
        <f>VLOOKUP(E97,[1]Sheet1!$E:$N,10,FALSE)</f>
        <v>CHC</v>
      </c>
    </row>
    <row r="98" spans="1:11" x14ac:dyDescent="0.35">
      <c r="A98" s="10">
        <v>45836</v>
      </c>
      <c r="B98" s="11" t="s">
        <v>144</v>
      </c>
      <c r="C98" s="12" t="s">
        <v>145</v>
      </c>
      <c r="D98" s="11" t="s">
        <v>146</v>
      </c>
      <c r="E98" s="13">
        <v>-2351628</v>
      </c>
      <c r="F98" s="7" t="s">
        <v>168</v>
      </c>
      <c r="G98" s="21">
        <v>45842</v>
      </c>
      <c r="H98" t="str">
        <f>VLOOKUP(E98,[1]Sheet1!$E:$J,6,FALSE)</f>
        <v>Payment</v>
      </c>
      <c r="I98" t="str">
        <f>VLOOKUP(E98,[1]Sheet1!$E:$M,8,FALSE)</f>
        <v>Registration &amp; Affiliation</v>
      </c>
      <c r="J98" t="str">
        <f>VLOOKUP(E98,[1]Sheet1!$E:$M,9,FALSE)</f>
        <v>Registration &amp; Affiliation</v>
      </c>
      <c r="K98" t="str">
        <f>VLOOKUP(E98,[1]Sheet1!$E:$N,10,FALSE)</f>
        <v>CHC</v>
      </c>
    </row>
    <row r="99" spans="1:11" x14ac:dyDescent="0.35">
      <c r="A99" s="6">
        <v>45836</v>
      </c>
      <c r="B99" s="7" t="s">
        <v>147</v>
      </c>
      <c r="C99" s="8" t="s">
        <v>148</v>
      </c>
      <c r="D99" s="7" t="s">
        <v>149</v>
      </c>
      <c r="E99" s="9">
        <v>-166439</v>
      </c>
      <c r="F99" s="7" t="s">
        <v>168</v>
      </c>
      <c r="G99" s="21">
        <v>45877</v>
      </c>
      <c r="H99" t="str">
        <f>VLOOKUP(E99,[1]Sheet1!$E:$J,6,FALSE)</f>
        <v>Payment</v>
      </c>
      <c r="I99" t="str">
        <f>VLOOKUP(E99,[1]Sheet1!$E:$M,8,FALSE)</f>
        <v>General, Admin &amp; Marketing Expenses</v>
      </c>
      <c r="J99" t="str">
        <f>VLOOKUP(E99,[1]Sheet1!$E:$M,9,FALSE)</f>
        <v>General Expenses</v>
      </c>
      <c r="K99" t="str">
        <f>VLOOKUP(E99,[1]Sheet1!$E:$N,10,FALSE)</f>
        <v>CHC</v>
      </c>
    </row>
    <row r="100" spans="1:11" x14ac:dyDescent="0.35">
      <c r="A100" s="17"/>
      <c r="B100" s="18"/>
      <c r="C100" s="19"/>
      <c r="D100" s="18"/>
      <c r="E100" s="20">
        <f>SUM(E48:E99)</f>
        <v>-13605452</v>
      </c>
      <c r="F100" s="18"/>
    </row>
    <row r="101" spans="1:11" x14ac:dyDescent="0.35">
      <c r="A101" s="14" t="s">
        <v>153</v>
      </c>
      <c r="B101" s="15"/>
      <c r="C101" s="15"/>
      <c r="D101" s="15"/>
      <c r="E101" s="16" t="e">
        <f>E100+#REF!</f>
        <v>#REF!</v>
      </c>
      <c r="F101" s="15"/>
    </row>
  </sheetData>
  <autoFilter ref="A4:L101">
    <sortState ref="A5:L101">
      <sortCondition ref="B4:B101"/>
    </sortState>
  </autoFilter>
  <sortState ref="A49:F103">
    <sortCondition ref="B52:B103"/>
  </sortState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2026-08-27T10:58:43Z</dcterms:created>
  <dcterms:modified xsi:type="dcterms:W3CDTF">2026-08-28T05:20:21Z</dcterms:modified>
</cp:coreProperties>
</file>